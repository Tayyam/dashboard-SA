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xr:revisionPtr revIDLastSave="0" documentId="13_ncr:1_{26A01557-4F6A-4E59-956F-2F615AC81150}" xr6:coauthVersionLast="47" xr6:coauthVersionMax="47" xr10:uidLastSave="{00000000-0000-0000-0000-000000000000}"/>
  <bookViews>
    <workbookView xWindow="-108" yWindow="-108" windowWidth="30936" windowHeight="16776" activeTab="9" xr2:uid="{084E1782-8083-4BA1-B75D-C83113727C17}"/>
  </bookViews>
  <sheets>
    <sheet name="readme" sheetId="19" r:id="rId1"/>
    <sheet name="normalize" sheetId="10" r:id="rId2"/>
    <sheet name="pilgrims_source" sheetId="20" r:id="rId3"/>
    <sheet name="flights" sheetId="18" r:id="rId4"/>
    <sheet name="flights_actual_B2B" sheetId="22" r:id="rId5"/>
    <sheet name="flights_actual_B2C" sheetId="23" r:id="rId6"/>
    <sheet name="packages_flights" sheetId="17" r:id="rId7"/>
    <sheet name="All_flights_simple" sheetId="27" r:id="rId8"/>
    <sheet name="packages" sheetId="2" r:id="rId9"/>
    <sheet name="main" sheetId="25" r:id="rId10"/>
  </sheets>
  <definedNames>
    <definedName name="_Fill" hidden="1">#REF!</definedName>
    <definedName name="AccessCode" hidden="1">""""</definedName>
    <definedName name="AllAndMore">#REF!</definedName>
    <definedName name="AllAndMore.">#REF!</definedName>
    <definedName name="ARBA">#REF!</definedName>
    <definedName name="ARBA.">#REF!</definedName>
    <definedName name="Area">#REF!</definedName>
    <definedName name="Asset_Cat">#REF!</definedName>
    <definedName name="Asset_Type">#REF!</definedName>
    <definedName name="AutoMagic">#REF!</definedName>
    <definedName name="AutoMagic.">#REF!</definedName>
    <definedName name="City">#REF!</definedName>
    <definedName name="Cons.Start.Date">#REF!</definedName>
    <definedName name="Country">#REF!</definedName>
    <definedName name="CozmaCare">#REF!</definedName>
    <definedName name="CozmaCare.">#REF!</definedName>
    <definedName name="currency">#REF!</definedName>
    <definedName name="Currency_1">#REF!</definedName>
    <definedName name="Currency_2">#REF!</definedName>
    <definedName name="datatype">#REF!</definedName>
    <definedName name="Datatype1">#REF!</definedName>
    <definedName name="DataTypeL">#REF!</definedName>
    <definedName name="dataTypeM">#REF!</definedName>
    <definedName name="date">#REF!</definedName>
    <definedName name="Emp_Id">INDIRECT("Sheet1!A"&amp;Scroll_Value&amp;":A"&amp;Scroll_Value+Emp_On_Chart)</definedName>
    <definedName name="Emp_On_Chart">#REF!</definedName>
    <definedName name="Exchrate">#REF!</definedName>
    <definedName name="ExternalData_1" localSheetId="4" hidden="1">flights_actual_B2B!$A$1:$AG$26</definedName>
    <definedName name="ExternalData_1" localSheetId="8" hidden="1">packages!$A$1:$L$29</definedName>
    <definedName name="ExternalData_1" localSheetId="6" hidden="1">packages_flights!$A$1:$AD$178</definedName>
    <definedName name="ExternalData_1" localSheetId="2" hidden="1">pilgrims_source!$A$1:$V$475</definedName>
    <definedName name="ExternalData_2" localSheetId="3" hidden="1">flights!$A$1:$AD$20</definedName>
    <definedName name="ExternalData_2" localSheetId="5" hidden="1">flights_actual_B2C!$A$1:$L$178</definedName>
    <definedName name="ExternalData_2" localSheetId="9" hidden="1">main!$A$1:$AM$476</definedName>
    <definedName name="ExternalData_3" localSheetId="7" hidden="1">All_flights_simple!$A$1:$L$477</definedName>
    <definedName name="extra_info">#REF!</definedName>
    <definedName name="ExtraInfo">#REF!</definedName>
    <definedName name="F" hidden="1">{#N/A,#N/A,FALSE,"Final Output"}</definedName>
    <definedName name="Facility_Type">#REF!</definedName>
    <definedName name="fill2" hidden="1">#REF!</definedName>
    <definedName name="First_Name">#REF!</definedName>
    <definedName name="Freezone">#REF!</definedName>
    <definedName name="Genius">#REF!</definedName>
    <definedName name="hotel_where">#REF!</definedName>
    <definedName name="HotelSA">#REF!</definedName>
    <definedName name="HR_BUDGET" hidden="1">{#N/A,#N/A,FALSE,"Cover";#N/A,#N/A,FALSE,"Index";#N/A,#N/A,FALSE,"Spec";#N/A,#N/A,FALSE,"Breakdown";#N/A,#N/A,FALSE,"Cost Plan"}</definedName>
    <definedName name="Industrialtype">#REF!</definedName>
    <definedName name="Is_Highlight">AND(Search_Text&lt;&gt;"",NOT(ISERROR(SEARCH(Search_Text,hotel_where))))</definedName>
    <definedName name="Itqan">#REF!</definedName>
    <definedName name="Itqan.">#REF!</definedName>
    <definedName name="Landtype">#REF!</definedName>
    <definedName name="landuse2">#REF!</definedName>
    <definedName name="Last_Name">#REF!</definedName>
    <definedName name="LeisureFIT">#REF!</definedName>
    <definedName name="LF">#REF!</definedName>
    <definedName name="List1">#N/A</definedName>
    <definedName name="List2">#N/A</definedName>
    <definedName name="MPAlloc">#REF!</definedName>
    <definedName name="N" hidden="1">{#N/A,#N/A,FALSE,"Final Output"}</definedName>
    <definedName name="Number_To_Words">SUBSTITUTE(SUBSTITUTE(SUBSTITUTE(TRIM(_xlfn.TEXTSPLIT(#REF!,,"*")),"baht",IF(#REF!="Dollar","Dollar",IF(#REF!="Rupees","Rupees",""))),"satang",IF(#REF!="Dollar","Cents",IF(#REF!="Rupees","Paise",""))),"  "," point ")</definedName>
    <definedName name="Officetype">#REF!</definedName>
    <definedName name="Opening">#REF!</definedName>
    <definedName name="Owner">#REF!</definedName>
    <definedName name="OwnerH">#REF!</definedName>
    <definedName name="Peak">#REF!</definedName>
    <definedName name="period_selected">#REF!</definedName>
    <definedName name="period_selected_to">#REF!</definedName>
    <definedName name="priceformat">#REF!</definedName>
    <definedName name="PricingType">#REF!</definedName>
    <definedName name="ProjectStart">#REF!</definedName>
    <definedName name="Propertytype">#REF!</definedName>
    <definedName name="q">#REF!</definedName>
    <definedName name="qualityO">#REF!</definedName>
    <definedName name="qualityr">#REF!</definedName>
    <definedName name="Quarter">#REF!</definedName>
    <definedName name="Range1">#REF!</definedName>
    <definedName name="Refurbishment">#REF!</definedName>
    <definedName name="Retail">#REF!</definedName>
    <definedName name="retailtype">#REF!</definedName>
    <definedName name="roomtype">#REF!</definedName>
    <definedName name="Sales">INDIRECT("Sheet1!B"&amp;Scroll_Value&amp;":B"&amp;Scroll_Value+Emp_On_Chart)</definedName>
    <definedName name="sales24">#N/A</definedName>
    <definedName name="Scroll_Value">#REF!</definedName>
    <definedName name="Search_In">#REF!</definedName>
    <definedName name="Search_Text">#REF!</definedName>
    <definedName name="Spec">#REF!</definedName>
    <definedName name="sr">#REF!</definedName>
    <definedName name="Star">#REF!</definedName>
    <definedName name="stat">#REF!</definedName>
    <definedName name="status">#REF!</definedName>
    <definedName name="status1">#REF!</definedName>
    <definedName name="Technology">#REF!</definedName>
    <definedName name="Technology.">#REF!</definedName>
    <definedName name="TKeys_5001">#REF!</definedName>
    <definedName name="Town">#REF!</definedName>
    <definedName name="transaction">#REF!</definedName>
    <definedName name="Type">#REF!</definedName>
    <definedName name="TypeR">#REF!</definedName>
    <definedName name="TypeRV">#REF!</definedName>
    <definedName name="TypeVA">#REF!</definedName>
    <definedName name="unittypeRA">#REF!</definedName>
    <definedName name="unittypeRV">#REF!</definedName>
    <definedName name="UOM">#REF!</definedName>
    <definedName name="Usage">#REF!</definedName>
    <definedName name="With_Potential_Increase">#REF!</definedName>
    <definedName name="WithOut_Potential_Increase">#REF!</definedName>
    <definedName name="wrn.All._.Inputs." hidden="1">{#N/A,#N/A,FALSE,"Primary";#N/A,#N/A,FALSE,"Secondary";#N/A,#N/A,FALSE,"Latent";#N/A,#N/A,FALSE,"Demand Inputs";#N/A,#N/A,FALSE,"Supply Addn";#N/A,#N/A,FALSE,"Mkt Pen"}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OCS._.REPORT." hidden="1">{#N/A,#N/A,FALSE,"Cover";#N/A,#N/A,FALSE,"Index";#N/A,#N/A,FALSE,"Spec";#N/A,#N/A,FALSE,"Breakdown";#N/A,#N/A,FALSE,"Cost Plan"}</definedName>
    <definedName name="wrn.Penetration." hidden="1">{#N/A,#N/A,FALSE,"Mkt Pen"}</definedName>
    <definedName name="wrn.Primary._.Competition." hidden="1">{#N/A,#N/A,FALSE,"Primary"}</definedName>
    <definedName name="wrn.Secondary._.Competition." hidden="1">{#N/A,#N/A,FALSE,"Secondary"}</definedName>
    <definedName name="wrn.Supply._.Additions." hidden="1">{#N/A,#N/A,FALSE,"Supply Addn"}</definedName>
    <definedName name="xxa11">#REF!</definedName>
    <definedName name="year">#REF!</definedName>
    <definedName name="YESNO">#REF!</definedName>
    <definedName name="YESNO2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5" l="1"/>
  <c r="V3" i="25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V33" i="25"/>
  <c r="V34" i="25"/>
  <c r="V35" i="25"/>
  <c r="V36" i="25"/>
  <c r="V37" i="25"/>
  <c r="V38" i="25"/>
  <c r="V39" i="25"/>
  <c r="V40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65" i="25"/>
  <c r="V66" i="25"/>
  <c r="V67" i="2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5" i="25"/>
  <c r="V86" i="25"/>
  <c r="V87" i="25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4" i="25"/>
  <c r="V105" i="25"/>
  <c r="V106" i="25"/>
  <c r="V107" i="25"/>
  <c r="V108" i="25"/>
  <c r="V109" i="25"/>
  <c r="V110" i="25"/>
  <c r="V111" i="25"/>
  <c r="V112" i="25"/>
  <c r="V113" i="25"/>
  <c r="V114" i="25"/>
  <c r="V115" i="25"/>
  <c r="V116" i="25"/>
  <c r="V117" i="25"/>
  <c r="V118" i="25"/>
  <c r="V119" i="25"/>
  <c r="V120" i="25"/>
  <c r="V121" i="25"/>
  <c r="V122" i="25"/>
  <c r="V123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7" i="25"/>
  <c r="V138" i="25"/>
  <c r="V139" i="25"/>
  <c r="V140" i="25"/>
  <c r="V141" i="25"/>
  <c r="V142" i="25"/>
  <c r="V143" i="25"/>
  <c r="V144" i="25"/>
  <c r="V145" i="25"/>
  <c r="V146" i="25"/>
  <c r="V147" i="25"/>
  <c r="V148" i="25"/>
  <c r="V149" i="25"/>
  <c r="V150" i="25"/>
  <c r="V151" i="25"/>
  <c r="V152" i="25"/>
  <c r="V153" i="25"/>
  <c r="V154" i="25"/>
  <c r="V155" i="25"/>
  <c r="V156" i="25"/>
  <c r="V157" i="25"/>
  <c r="V158" i="25"/>
  <c r="V159" i="25"/>
  <c r="V160" i="25"/>
  <c r="V161" i="25"/>
  <c r="V162" i="25"/>
  <c r="V163" i="25"/>
  <c r="V164" i="25"/>
  <c r="V165" i="25"/>
  <c r="V166" i="25"/>
  <c r="V167" i="25"/>
  <c r="V168" i="25"/>
  <c r="V169" i="25"/>
  <c r="V170" i="25"/>
  <c r="V171" i="25"/>
  <c r="V172" i="25"/>
  <c r="V173" i="25"/>
  <c r="V174" i="25"/>
  <c r="V175" i="25"/>
  <c r="V176" i="25"/>
  <c r="V177" i="25"/>
  <c r="V178" i="25"/>
  <c r="V179" i="25"/>
  <c r="V180" i="25"/>
  <c r="V181" i="25"/>
  <c r="V182" i="25"/>
  <c r="V183" i="25"/>
  <c r="V184" i="25"/>
  <c r="V185" i="25"/>
  <c r="V186" i="25"/>
  <c r="V187" i="25"/>
  <c r="V188" i="25"/>
  <c r="V189" i="25"/>
  <c r="V190" i="25"/>
  <c r="V191" i="25"/>
  <c r="V192" i="25"/>
  <c r="V193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13" i="25"/>
  <c r="V214" i="25"/>
  <c r="V215" i="25"/>
  <c r="V216" i="25"/>
  <c r="V217" i="25"/>
  <c r="V218" i="25"/>
  <c r="V219" i="25"/>
  <c r="V220" i="25"/>
  <c r="V221" i="25"/>
  <c r="V222" i="25"/>
  <c r="V223" i="25"/>
  <c r="V224" i="25"/>
  <c r="V225" i="25"/>
  <c r="V226" i="25"/>
  <c r="V227" i="25"/>
  <c r="V228" i="25"/>
  <c r="V229" i="25"/>
  <c r="V230" i="25"/>
  <c r="V231" i="25"/>
  <c r="V232" i="25"/>
  <c r="V233" i="25"/>
  <c r="V234" i="25"/>
  <c r="V235" i="25"/>
  <c r="V236" i="25"/>
  <c r="V237" i="25"/>
  <c r="V238" i="25"/>
  <c r="V239" i="25"/>
  <c r="V240" i="25"/>
  <c r="V241" i="25"/>
  <c r="V242" i="25"/>
  <c r="V243" i="25"/>
  <c r="V244" i="25"/>
  <c r="V245" i="25"/>
  <c r="V246" i="25"/>
  <c r="V247" i="25"/>
  <c r="V248" i="25"/>
  <c r="V249" i="25"/>
  <c r="V250" i="25"/>
  <c r="V251" i="25"/>
  <c r="V252" i="25"/>
  <c r="V253" i="25"/>
  <c r="V254" i="25"/>
  <c r="V255" i="25"/>
  <c r="V256" i="25"/>
  <c r="V257" i="25"/>
  <c r="V258" i="25"/>
  <c r="V259" i="25"/>
  <c r="V260" i="25"/>
  <c r="V261" i="25"/>
  <c r="V262" i="25"/>
  <c r="V263" i="25"/>
  <c r="V264" i="25"/>
  <c r="V265" i="25"/>
  <c r="V266" i="25"/>
  <c r="V267" i="25"/>
  <c r="V268" i="25"/>
  <c r="V269" i="25"/>
  <c r="V270" i="25"/>
  <c r="V271" i="25"/>
  <c r="V272" i="25"/>
  <c r="V273" i="25"/>
  <c r="V274" i="25"/>
  <c r="V275" i="25"/>
  <c r="V276" i="25"/>
  <c r="V277" i="25"/>
  <c r="V278" i="25"/>
  <c r="V279" i="25"/>
  <c r="V280" i="25"/>
  <c r="V281" i="25"/>
  <c r="V282" i="25"/>
  <c r="V283" i="25"/>
  <c r="V284" i="25"/>
  <c r="V285" i="25"/>
  <c r="V286" i="25"/>
  <c r="V287" i="25"/>
  <c r="V288" i="25"/>
  <c r="V289" i="25"/>
  <c r="V290" i="25"/>
  <c r="V291" i="25"/>
  <c r="V292" i="25"/>
  <c r="V293" i="25"/>
  <c r="V294" i="25"/>
  <c r="V295" i="25"/>
  <c r="V296" i="25"/>
  <c r="V297" i="25"/>
  <c r="V298" i="25"/>
  <c r="V299" i="25"/>
  <c r="V300" i="25"/>
  <c r="V301" i="25"/>
  <c r="V302" i="25"/>
  <c r="V303" i="25"/>
  <c r="V304" i="25"/>
  <c r="V305" i="25"/>
  <c r="V306" i="25"/>
  <c r="V307" i="25"/>
  <c r="V308" i="25"/>
  <c r="V309" i="25"/>
  <c r="V310" i="25"/>
  <c r="V311" i="25"/>
  <c r="V312" i="25"/>
  <c r="V313" i="25"/>
  <c r="V314" i="25"/>
  <c r="V315" i="25"/>
  <c r="V316" i="25"/>
  <c r="V317" i="25"/>
  <c r="V318" i="25"/>
  <c r="V319" i="25"/>
  <c r="V320" i="25"/>
  <c r="V321" i="25"/>
  <c r="V322" i="25"/>
  <c r="V323" i="25"/>
  <c r="V324" i="25"/>
  <c r="V325" i="25"/>
  <c r="V326" i="25"/>
  <c r="V327" i="25"/>
  <c r="V328" i="25"/>
  <c r="V329" i="25"/>
  <c r="V330" i="25"/>
  <c r="V331" i="25"/>
  <c r="V332" i="25"/>
  <c r="V333" i="25"/>
  <c r="V334" i="25"/>
  <c r="V335" i="25"/>
  <c r="V336" i="25"/>
  <c r="V337" i="25"/>
  <c r="V338" i="25"/>
  <c r="V339" i="25"/>
  <c r="V340" i="25"/>
  <c r="V341" i="25"/>
  <c r="V342" i="25"/>
  <c r="V343" i="25"/>
  <c r="V344" i="25"/>
  <c r="V345" i="25"/>
  <c r="V346" i="25"/>
  <c r="V347" i="25"/>
  <c r="V348" i="25"/>
  <c r="V349" i="25"/>
  <c r="V350" i="25"/>
  <c r="V351" i="25"/>
  <c r="V352" i="25"/>
  <c r="V353" i="25"/>
  <c r="V354" i="25"/>
  <c r="V355" i="25"/>
  <c r="V356" i="25"/>
  <c r="V357" i="25"/>
  <c r="V358" i="25"/>
  <c r="V359" i="25"/>
  <c r="V360" i="25"/>
  <c r="V361" i="25"/>
  <c r="V362" i="25"/>
  <c r="V363" i="25"/>
  <c r="V364" i="25"/>
  <c r="V365" i="25"/>
  <c r="V366" i="25"/>
  <c r="V367" i="25"/>
  <c r="V368" i="25"/>
  <c r="V369" i="25"/>
  <c r="V370" i="25"/>
  <c r="V371" i="25"/>
  <c r="V372" i="25"/>
  <c r="V373" i="25"/>
  <c r="V374" i="25"/>
  <c r="V375" i="25"/>
  <c r="V376" i="25"/>
  <c r="V377" i="25"/>
  <c r="V378" i="25"/>
  <c r="V379" i="25"/>
  <c r="V380" i="25"/>
  <c r="V381" i="25"/>
  <c r="V382" i="25"/>
  <c r="V383" i="25"/>
  <c r="V384" i="25"/>
  <c r="V385" i="25"/>
  <c r="V386" i="25"/>
  <c r="V387" i="25"/>
  <c r="V388" i="25"/>
  <c r="V389" i="25"/>
  <c r="V390" i="25"/>
  <c r="V391" i="25"/>
  <c r="V392" i="25"/>
  <c r="V393" i="25"/>
  <c r="V394" i="25"/>
  <c r="V395" i="25"/>
  <c r="V396" i="25"/>
  <c r="V397" i="25"/>
  <c r="V398" i="25"/>
  <c r="V399" i="25"/>
  <c r="V400" i="25"/>
  <c r="V401" i="25"/>
  <c r="V402" i="25"/>
  <c r="V403" i="25"/>
  <c r="V404" i="25"/>
  <c r="V405" i="25"/>
  <c r="V406" i="25"/>
  <c r="V407" i="25"/>
  <c r="V408" i="25"/>
  <c r="V409" i="25"/>
  <c r="V410" i="25"/>
  <c r="V411" i="25"/>
  <c r="V412" i="25"/>
  <c r="V413" i="25"/>
  <c r="V414" i="25"/>
  <c r="V415" i="25"/>
  <c r="V416" i="25"/>
  <c r="V417" i="25"/>
  <c r="V418" i="25"/>
  <c r="V419" i="25"/>
  <c r="V420" i="25"/>
  <c r="V421" i="25"/>
  <c r="V422" i="25"/>
  <c r="V423" i="25"/>
  <c r="V424" i="25"/>
  <c r="V425" i="25"/>
  <c r="V426" i="25"/>
  <c r="V427" i="25"/>
  <c r="V428" i="25"/>
  <c r="V429" i="25"/>
  <c r="V430" i="25"/>
  <c r="V431" i="25"/>
  <c r="V432" i="25"/>
  <c r="V433" i="25"/>
  <c r="V434" i="25"/>
  <c r="V435" i="25"/>
  <c r="V436" i="25"/>
  <c r="V437" i="25"/>
  <c r="V438" i="25"/>
  <c r="V439" i="25"/>
  <c r="V440" i="25"/>
  <c r="V441" i="25"/>
  <c r="V442" i="25"/>
  <c r="V443" i="25"/>
  <c r="V444" i="25"/>
  <c r="V445" i="25"/>
  <c r="V446" i="25"/>
  <c r="V447" i="25"/>
  <c r="V448" i="25"/>
  <c r="V449" i="25"/>
  <c r="V450" i="25"/>
  <c r="V451" i="25"/>
  <c r="V452" i="25"/>
  <c r="V453" i="25"/>
  <c r="V454" i="25"/>
  <c r="V455" i="25"/>
  <c r="V456" i="25"/>
  <c r="V457" i="25"/>
  <c r="V458" i="25"/>
  <c r="V459" i="25"/>
  <c r="V460" i="25"/>
  <c r="V461" i="25"/>
  <c r="V462" i="25"/>
  <c r="V463" i="25"/>
  <c r="V464" i="25"/>
  <c r="V465" i="25"/>
  <c r="V466" i="25"/>
  <c r="V467" i="25"/>
  <c r="V468" i="25"/>
  <c r="V469" i="25"/>
  <c r="V470" i="25"/>
  <c r="V471" i="25"/>
  <c r="V472" i="25"/>
  <c r="V473" i="25"/>
  <c r="V474" i="25"/>
  <c r="V475" i="25"/>
  <c r="V476" i="25"/>
  <c r="W2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W71" i="25"/>
  <c r="W72" i="25"/>
  <c r="W73" i="25"/>
  <c r="W74" i="25"/>
  <c r="W75" i="25"/>
  <c r="W76" i="25"/>
  <c r="W77" i="25"/>
  <c r="W78" i="25"/>
  <c r="W79" i="25"/>
  <c r="W80" i="25"/>
  <c r="W81" i="25"/>
  <c r="W82" i="25"/>
  <c r="W83" i="25"/>
  <c r="W84" i="25"/>
  <c r="W85" i="25"/>
  <c r="W86" i="25"/>
  <c r="W87" i="25"/>
  <c r="W88" i="25"/>
  <c r="W89" i="25"/>
  <c r="W90" i="25"/>
  <c r="W91" i="25"/>
  <c r="W92" i="25"/>
  <c r="W93" i="25"/>
  <c r="W94" i="25"/>
  <c r="W95" i="25"/>
  <c r="W96" i="25"/>
  <c r="W97" i="25"/>
  <c r="W98" i="25"/>
  <c r="W99" i="25"/>
  <c r="W100" i="25"/>
  <c r="W101" i="25"/>
  <c r="W102" i="25"/>
  <c r="W103" i="25"/>
  <c r="W104" i="25"/>
  <c r="W105" i="25"/>
  <c r="W106" i="25"/>
  <c r="W107" i="25"/>
  <c r="W108" i="25"/>
  <c r="W109" i="25"/>
  <c r="W110" i="25"/>
  <c r="W111" i="25"/>
  <c r="W112" i="25"/>
  <c r="W113" i="25"/>
  <c r="W114" i="25"/>
  <c r="W115" i="25"/>
  <c r="W116" i="25"/>
  <c r="W117" i="25"/>
  <c r="W118" i="25"/>
  <c r="W119" i="25"/>
  <c r="W120" i="25"/>
  <c r="W121" i="25"/>
  <c r="W122" i="25"/>
  <c r="W123" i="25"/>
  <c r="W124" i="25"/>
  <c r="W125" i="25"/>
  <c r="W126" i="25"/>
  <c r="W127" i="25"/>
  <c r="W128" i="25"/>
  <c r="W129" i="25"/>
  <c r="W130" i="25"/>
  <c r="W131" i="25"/>
  <c r="W132" i="25"/>
  <c r="W133" i="25"/>
  <c r="W134" i="25"/>
  <c r="W135" i="25"/>
  <c r="W136" i="25"/>
  <c r="W137" i="25"/>
  <c r="W138" i="25"/>
  <c r="W139" i="25"/>
  <c r="W140" i="25"/>
  <c r="W141" i="25"/>
  <c r="W142" i="25"/>
  <c r="W143" i="25"/>
  <c r="W144" i="25"/>
  <c r="W145" i="25"/>
  <c r="W146" i="25"/>
  <c r="W147" i="25"/>
  <c r="W148" i="25"/>
  <c r="W149" i="25"/>
  <c r="W150" i="25"/>
  <c r="W151" i="25"/>
  <c r="W152" i="25"/>
  <c r="W153" i="25"/>
  <c r="W154" i="25"/>
  <c r="W155" i="25"/>
  <c r="W156" i="25"/>
  <c r="W157" i="25"/>
  <c r="W158" i="25"/>
  <c r="W159" i="25"/>
  <c r="W160" i="25"/>
  <c r="W161" i="25"/>
  <c r="W162" i="25"/>
  <c r="W163" i="25"/>
  <c r="W164" i="25"/>
  <c r="W165" i="25"/>
  <c r="W166" i="25"/>
  <c r="W167" i="25"/>
  <c r="W168" i="25"/>
  <c r="W169" i="25"/>
  <c r="W170" i="25"/>
  <c r="W171" i="25"/>
  <c r="W172" i="25"/>
  <c r="W173" i="25"/>
  <c r="W174" i="25"/>
  <c r="W175" i="25"/>
  <c r="W176" i="25"/>
  <c r="W177" i="25"/>
  <c r="W178" i="25"/>
  <c r="W179" i="25"/>
  <c r="W180" i="25"/>
  <c r="W181" i="25"/>
  <c r="W182" i="25"/>
  <c r="W183" i="25"/>
  <c r="W184" i="25"/>
  <c r="W185" i="25"/>
  <c r="W186" i="25"/>
  <c r="W187" i="25"/>
  <c r="W188" i="25"/>
  <c r="W189" i="25"/>
  <c r="W190" i="25"/>
  <c r="W191" i="25"/>
  <c r="W192" i="25"/>
  <c r="W193" i="25"/>
  <c r="W194" i="25"/>
  <c r="W195" i="25"/>
  <c r="W196" i="25"/>
  <c r="W197" i="25"/>
  <c r="W198" i="25"/>
  <c r="W199" i="25"/>
  <c r="W200" i="25"/>
  <c r="W201" i="25"/>
  <c r="W202" i="25"/>
  <c r="W203" i="25"/>
  <c r="W204" i="25"/>
  <c r="W205" i="25"/>
  <c r="W206" i="25"/>
  <c r="W207" i="25"/>
  <c r="W208" i="25"/>
  <c r="W209" i="25"/>
  <c r="W210" i="25"/>
  <c r="W211" i="25"/>
  <c r="W212" i="25"/>
  <c r="W213" i="25"/>
  <c r="W214" i="25"/>
  <c r="W215" i="25"/>
  <c r="W216" i="25"/>
  <c r="W217" i="25"/>
  <c r="W218" i="25"/>
  <c r="W219" i="25"/>
  <c r="W220" i="25"/>
  <c r="W221" i="25"/>
  <c r="W222" i="25"/>
  <c r="W223" i="25"/>
  <c r="W224" i="25"/>
  <c r="W225" i="25"/>
  <c r="W226" i="25"/>
  <c r="W227" i="25"/>
  <c r="W228" i="25"/>
  <c r="W229" i="25"/>
  <c r="W230" i="25"/>
  <c r="W231" i="25"/>
  <c r="W232" i="25"/>
  <c r="W233" i="25"/>
  <c r="W234" i="25"/>
  <c r="W235" i="25"/>
  <c r="W236" i="25"/>
  <c r="W237" i="25"/>
  <c r="W238" i="25"/>
  <c r="W239" i="25"/>
  <c r="W240" i="25"/>
  <c r="W241" i="25"/>
  <c r="W242" i="25"/>
  <c r="W243" i="25"/>
  <c r="W244" i="25"/>
  <c r="W245" i="25"/>
  <c r="W246" i="25"/>
  <c r="W247" i="25"/>
  <c r="W248" i="25"/>
  <c r="W249" i="25"/>
  <c r="W250" i="25"/>
  <c r="W251" i="25"/>
  <c r="W252" i="25"/>
  <c r="W253" i="25"/>
  <c r="W254" i="25"/>
  <c r="W255" i="25"/>
  <c r="W256" i="25"/>
  <c r="W257" i="25"/>
  <c r="W258" i="25"/>
  <c r="W259" i="25"/>
  <c r="W260" i="25"/>
  <c r="W261" i="25"/>
  <c r="W262" i="25"/>
  <c r="W263" i="25"/>
  <c r="W264" i="25"/>
  <c r="W265" i="25"/>
  <c r="W266" i="25"/>
  <c r="W267" i="25"/>
  <c r="W268" i="25"/>
  <c r="W269" i="25"/>
  <c r="W270" i="25"/>
  <c r="W271" i="25"/>
  <c r="W272" i="25"/>
  <c r="W273" i="25"/>
  <c r="W274" i="25"/>
  <c r="W275" i="25"/>
  <c r="W276" i="25"/>
  <c r="W277" i="25"/>
  <c r="W278" i="25"/>
  <c r="W279" i="25"/>
  <c r="W280" i="25"/>
  <c r="W281" i="25"/>
  <c r="W282" i="25"/>
  <c r="W283" i="25"/>
  <c r="W284" i="25"/>
  <c r="W285" i="25"/>
  <c r="W286" i="25"/>
  <c r="W287" i="25"/>
  <c r="W288" i="25"/>
  <c r="W289" i="25"/>
  <c r="W290" i="25"/>
  <c r="W291" i="25"/>
  <c r="W292" i="25"/>
  <c r="W293" i="25"/>
  <c r="W294" i="25"/>
  <c r="W295" i="25"/>
  <c r="W296" i="25"/>
  <c r="W297" i="25"/>
  <c r="W298" i="25"/>
  <c r="W299" i="25"/>
  <c r="W300" i="25"/>
  <c r="W301" i="25"/>
  <c r="W302" i="25"/>
  <c r="W303" i="25"/>
  <c r="W304" i="25"/>
  <c r="W305" i="25"/>
  <c r="W306" i="25"/>
  <c r="W307" i="25"/>
  <c r="W308" i="25"/>
  <c r="W309" i="25"/>
  <c r="W310" i="25"/>
  <c r="W311" i="25"/>
  <c r="W312" i="25"/>
  <c r="W313" i="25"/>
  <c r="W314" i="25"/>
  <c r="W315" i="25"/>
  <c r="W316" i="25"/>
  <c r="W317" i="25"/>
  <c r="W318" i="25"/>
  <c r="W319" i="25"/>
  <c r="W320" i="25"/>
  <c r="W321" i="25"/>
  <c r="W322" i="25"/>
  <c r="W323" i="25"/>
  <c r="W324" i="25"/>
  <c r="W325" i="25"/>
  <c r="W326" i="25"/>
  <c r="W327" i="25"/>
  <c r="W328" i="25"/>
  <c r="W329" i="25"/>
  <c r="W330" i="25"/>
  <c r="W331" i="25"/>
  <c r="W332" i="25"/>
  <c r="W333" i="25"/>
  <c r="W334" i="25"/>
  <c r="W335" i="25"/>
  <c r="W336" i="25"/>
  <c r="W337" i="25"/>
  <c r="W338" i="25"/>
  <c r="W339" i="25"/>
  <c r="W340" i="25"/>
  <c r="W341" i="25"/>
  <c r="W342" i="25"/>
  <c r="W343" i="25"/>
  <c r="W344" i="25"/>
  <c r="W345" i="25"/>
  <c r="W346" i="25"/>
  <c r="W347" i="25"/>
  <c r="W348" i="25"/>
  <c r="W349" i="25"/>
  <c r="W350" i="25"/>
  <c r="W351" i="25"/>
  <c r="W352" i="25"/>
  <c r="W353" i="25"/>
  <c r="W354" i="25"/>
  <c r="W355" i="25"/>
  <c r="W356" i="25"/>
  <c r="W357" i="25"/>
  <c r="W358" i="25"/>
  <c r="W359" i="25"/>
  <c r="W360" i="25"/>
  <c r="W361" i="25"/>
  <c r="W362" i="25"/>
  <c r="W363" i="25"/>
  <c r="W364" i="25"/>
  <c r="W365" i="25"/>
  <c r="W366" i="25"/>
  <c r="W367" i="25"/>
  <c r="W368" i="25"/>
  <c r="W369" i="25"/>
  <c r="W370" i="25"/>
  <c r="W371" i="25"/>
  <c r="W372" i="25"/>
  <c r="W373" i="25"/>
  <c r="W374" i="25"/>
  <c r="W375" i="25"/>
  <c r="W376" i="25"/>
  <c r="W377" i="25"/>
  <c r="W378" i="25"/>
  <c r="W379" i="25"/>
  <c r="W380" i="25"/>
  <c r="W381" i="25"/>
  <c r="W382" i="25"/>
  <c r="W383" i="25"/>
  <c r="W384" i="25"/>
  <c r="W385" i="25"/>
  <c r="W386" i="25"/>
  <c r="W387" i="25"/>
  <c r="W388" i="25"/>
  <c r="W389" i="25"/>
  <c r="W390" i="25"/>
  <c r="W391" i="25"/>
  <c r="W392" i="25"/>
  <c r="W393" i="25"/>
  <c r="W394" i="25"/>
  <c r="W395" i="25"/>
  <c r="W396" i="25"/>
  <c r="W397" i="25"/>
  <c r="W398" i="25"/>
  <c r="W399" i="25"/>
  <c r="W400" i="25"/>
  <c r="W401" i="25"/>
  <c r="W402" i="25"/>
  <c r="W403" i="25"/>
  <c r="W404" i="25"/>
  <c r="W405" i="25"/>
  <c r="W406" i="25"/>
  <c r="W407" i="25"/>
  <c r="W408" i="25"/>
  <c r="W409" i="25"/>
  <c r="W410" i="25"/>
  <c r="W411" i="25"/>
  <c r="W412" i="25"/>
  <c r="W413" i="25"/>
  <c r="W414" i="25"/>
  <c r="W415" i="25"/>
  <c r="W416" i="25"/>
  <c r="W417" i="25"/>
  <c r="W418" i="25"/>
  <c r="W419" i="25"/>
  <c r="W420" i="25"/>
  <c r="W421" i="25"/>
  <c r="W422" i="25"/>
  <c r="W423" i="25"/>
  <c r="W424" i="25"/>
  <c r="W425" i="25"/>
  <c r="W426" i="25"/>
  <c r="W427" i="25"/>
  <c r="W428" i="25"/>
  <c r="W429" i="25"/>
  <c r="W430" i="25"/>
  <c r="W431" i="25"/>
  <c r="W432" i="25"/>
  <c r="W433" i="25"/>
  <c r="W434" i="25"/>
  <c r="W435" i="25"/>
  <c r="W436" i="25"/>
  <c r="W437" i="25"/>
  <c r="W438" i="25"/>
  <c r="W439" i="25"/>
  <c r="W440" i="25"/>
  <c r="W441" i="25"/>
  <c r="W442" i="25"/>
  <c r="W443" i="25"/>
  <c r="W444" i="25"/>
  <c r="W445" i="25"/>
  <c r="W446" i="25"/>
  <c r="W447" i="25"/>
  <c r="W448" i="25"/>
  <c r="W449" i="25"/>
  <c r="W450" i="25"/>
  <c r="W451" i="25"/>
  <c r="W452" i="25"/>
  <c r="W453" i="25"/>
  <c r="W454" i="25"/>
  <c r="W455" i="25"/>
  <c r="W456" i="25"/>
  <c r="W457" i="25"/>
  <c r="W458" i="25"/>
  <c r="W459" i="25"/>
  <c r="W460" i="25"/>
  <c r="W461" i="25"/>
  <c r="W462" i="25"/>
  <c r="W463" i="25"/>
  <c r="W464" i="25"/>
  <c r="W465" i="25"/>
  <c r="W466" i="25"/>
  <c r="W467" i="25"/>
  <c r="W468" i="25"/>
  <c r="W469" i="25"/>
  <c r="W470" i="25"/>
  <c r="W471" i="25"/>
  <c r="W472" i="25"/>
  <c r="W473" i="25"/>
  <c r="W474" i="25"/>
  <c r="W475" i="25"/>
  <c r="W476" i="25"/>
  <c r="X2" i="25"/>
  <c r="X3" i="25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65" i="25"/>
  <c r="X66" i="25"/>
  <c r="X67" i="25"/>
  <c r="X68" i="25"/>
  <c r="X69" i="25"/>
  <c r="X70" i="25"/>
  <c r="X71" i="25"/>
  <c r="X72" i="25"/>
  <c r="X73" i="25"/>
  <c r="X74" i="25"/>
  <c r="X75" i="25"/>
  <c r="X76" i="25"/>
  <c r="X77" i="25"/>
  <c r="X78" i="25"/>
  <c r="X79" i="25"/>
  <c r="X80" i="25"/>
  <c r="X81" i="25"/>
  <c r="X82" i="25"/>
  <c r="X83" i="25"/>
  <c r="X84" i="25"/>
  <c r="X85" i="25"/>
  <c r="X86" i="25"/>
  <c r="X87" i="25"/>
  <c r="X88" i="25"/>
  <c r="X89" i="25"/>
  <c r="X90" i="25"/>
  <c r="X91" i="25"/>
  <c r="X92" i="25"/>
  <c r="X93" i="25"/>
  <c r="X94" i="25"/>
  <c r="X95" i="25"/>
  <c r="X96" i="25"/>
  <c r="X97" i="25"/>
  <c r="X98" i="25"/>
  <c r="X99" i="25"/>
  <c r="X100" i="25"/>
  <c r="X101" i="25"/>
  <c r="X102" i="25"/>
  <c r="X103" i="25"/>
  <c r="X104" i="25"/>
  <c r="X105" i="25"/>
  <c r="X106" i="25"/>
  <c r="X107" i="25"/>
  <c r="X108" i="25"/>
  <c r="X109" i="25"/>
  <c r="X110" i="25"/>
  <c r="X111" i="25"/>
  <c r="X112" i="25"/>
  <c r="X113" i="25"/>
  <c r="X114" i="25"/>
  <c r="X115" i="25"/>
  <c r="X116" i="25"/>
  <c r="X117" i="25"/>
  <c r="X118" i="25"/>
  <c r="X119" i="25"/>
  <c r="X120" i="25"/>
  <c r="X121" i="25"/>
  <c r="X122" i="25"/>
  <c r="X123" i="25"/>
  <c r="X124" i="25"/>
  <c r="X125" i="25"/>
  <c r="X126" i="25"/>
  <c r="X127" i="25"/>
  <c r="X128" i="25"/>
  <c r="X129" i="25"/>
  <c r="X130" i="25"/>
  <c r="X131" i="25"/>
  <c r="X132" i="25"/>
  <c r="X133" i="25"/>
  <c r="X134" i="25"/>
  <c r="X135" i="25"/>
  <c r="X136" i="25"/>
  <c r="X137" i="25"/>
  <c r="X138" i="25"/>
  <c r="X139" i="25"/>
  <c r="X140" i="25"/>
  <c r="X141" i="25"/>
  <c r="X142" i="25"/>
  <c r="X143" i="25"/>
  <c r="X144" i="25"/>
  <c r="X145" i="25"/>
  <c r="X146" i="25"/>
  <c r="X147" i="25"/>
  <c r="X148" i="25"/>
  <c r="X149" i="25"/>
  <c r="X150" i="25"/>
  <c r="X151" i="25"/>
  <c r="X152" i="25"/>
  <c r="X153" i="25"/>
  <c r="X154" i="25"/>
  <c r="X155" i="25"/>
  <c r="X156" i="25"/>
  <c r="X157" i="25"/>
  <c r="X158" i="25"/>
  <c r="X159" i="25"/>
  <c r="X160" i="25"/>
  <c r="X161" i="25"/>
  <c r="X162" i="25"/>
  <c r="X163" i="25"/>
  <c r="X164" i="25"/>
  <c r="X165" i="25"/>
  <c r="X166" i="25"/>
  <c r="X167" i="25"/>
  <c r="X168" i="25"/>
  <c r="X169" i="25"/>
  <c r="X170" i="25"/>
  <c r="X171" i="25"/>
  <c r="X172" i="25"/>
  <c r="X173" i="25"/>
  <c r="X174" i="25"/>
  <c r="X175" i="25"/>
  <c r="X176" i="25"/>
  <c r="X177" i="25"/>
  <c r="X178" i="25"/>
  <c r="X179" i="25"/>
  <c r="X180" i="25"/>
  <c r="X181" i="25"/>
  <c r="X182" i="25"/>
  <c r="X183" i="25"/>
  <c r="X184" i="25"/>
  <c r="X185" i="25"/>
  <c r="X186" i="25"/>
  <c r="X187" i="25"/>
  <c r="X188" i="25"/>
  <c r="X189" i="25"/>
  <c r="X190" i="25"/>
  <c r="X191" i="25"/>
  <c r="X192" i="25"/>
  <c r="X193" i="25"/>
  <c r="X194" i="25"/>
  <c r="X195" i="25"/>
  <c r="X196" i="25"/>
  <c r="X197" i="25"/>
  <c r="X198" i="25"/>
  <c r="X199" i="25"/>
  <c r="X200" i="25"/>
  <c r="X201" i="25"/>
  <c r="X202" i="25"/>
  <c r="X203" i="25"/>
  <c r="X204" i="25"/>
  <c r="X205" i="25"/>
  <c r="X206" i="25"/>
  <c r="X207" i="25"/>
  <c r="X208" i="25"/>
  <c r="X209" i="25"/>
  <c r="X210" i="25"/>
  <c r="X211" i="25"/>
  <c r="X212" i="25"/>
  <c r="X213" i="25"/>
  <c r="X214" i="25"/>
  <c r="X215" i="25"/>
  <c r="X216" i="25"/>
  <c r="X217" i="25"/>
  <c r="X218" i="25"/>
  <c r="X219" i="25"/>
  <c r="X220" i="25"/>
  <c r="X221" i="25"/>
  <c r="X222" i="25"/>
  <c r="X223" i="25"/>
  <c r="X224" i="25"/>
  <c r="X225" i="25"/>
  <c r="X226" i="25"/>
  <c r="X227" i="25"/>
  <c r="X228" i="25"/>
  <c r="X229" i="25"/>
  <c r="X230" i="25"/>
  <c r="X231" i="25"/>
  <c r="X232" i="25"/>
  <c r="X233" i="25"/>
  <c r="X234" i="25"/>
  <c r="X235" i="25"/>
  <c r="X236" i="25"/>
  <c r="X237" i="25"/>
  <c r="X238" i="25"/>
  <c r="X239" i="25"/>
  <c r="X240" i="25"/>
  <c r="X241" i="25"/>
  <c r="X242" i="25"/>
  <c r="X243" i="25"/>
  <c r="X244" i="25"/>
  <c r="X245" i="25"/>
  <c r="X246" i="25"/>
  <c r="X247" i="25"/>
  <c r="X248" i="25"/>
  <c r="X249" i="25"/>
  <c r="X250" i="25"/>
  <c r="X251" i="25"/>
  <c r="X252" i="25"/>
  <c r="X253" i="25"/>
  <c r="X254" i="25"/>
  <c r="X255" i="25"/>
  <c r="X256" i="25"/>
  <c r="X257" i="25"/>
  <c r="X258" i="25"/>
  <c r="X259" i="25"/>
  <c r="X260" i="25"/>
  <c r="X261" i="25"/>
  <c r="X262" i="25"/>
  <c r="X263" i="25"/>
  <c r="X264" i="25"/>
  <c r="X265" i="25"/>
  <c r="X266" i="25"/>
  <c r="X267" i="25"/>
  <c r="X268" i="25"/>
  <c r="X269" i="25"/>
  <c r="X270" i="25"/>
  <c r="X271" i="25"/>
  <c r="X272" i="25"/>
  <c r="X273" i="25"/>
  <c r="X274" i="25"/>
  <c r="X275" i="25"/>
  <c r="X276" i="25"/>
  <c r="X277" i="25"/>
  <c r="X278" i="25"/>
  <c r="X279" i="25"/>
  <c r="X280" i="25"/>
  <c r="X281" i="25"/>
  <c r="X282" i="25"/>
  <c r="X283" i="25"/>
  <c r="X284" i="25"/>
  <c r="X285" i="25"/>
  <c r="X286" i="25"/>
  <c r="X287" i="25"/>
  <c r="X288" i="25"/>
  <c r="X289" i="25"/>
  <c r="X290" i="25"/>
  <c r="X291" i="25"/>
  <c r="X292" i="25"/>
  <c r="X293" i="25"/>
  <c r="X294" i="25"/>
  <c r="X295" i="25"/>
  <c r="X296" i="25"/>
  <c r="X297" i="25"/>
  <c r="X298" i="25"/>
  <c r="X299" i="25"/>
  <c r="X300" i="25"/>
  <c r="X301" i="25"/>
  <c r="X302" i="25"/>
  <c r="X303" i="25"/>
  <c r="X304" i="25"/>
  <c r="X305" i="25"/>
  <c r="X306" i="25"/>
  <c r="X307" i="25"/>
  <c r="X308" i="25"/>
  <c r="X309" i="25"/>
  <c r="X310" i="25"/>
  <c r="X311" i="25"/>
  <c r="X312" i="25"/>
  <c r="X313" i="25"/>
  <c r="X314" i="25"/>
  <c r="X315" i="25"/>
  <c r="X316" i="25"/>
  <c r="X317" i="25"/>
  <c r="X318" i="25"/>
  <c r="X319" i="25"/>
  <c r="X320" i="25"/>
  <c r="X321" i="25"/>
  <c r="X322" i="25"/>
  <c r="X323" i="25"/>
  <c r="X324" i="25"/>
  <c r="X325" i="25"/>
  <c r="X326" i="25"/>
  <c r="X327" i="25"/>
  <c r="X328" i="25"/>
  <c r="X329" i="25"/>
  <c r="X330" i="25"/>
  <c r="X331" i="25"/>
  <c r="X332" i="25"/>
  <c r="X333" i="25"/>
  <c r="X334" i="25"/>
  <c r="X335" i="25"/>
  <c r="X336" i="25"/>
  <c r="X337" i="25"/>
  <c r="X338" i="25"/>
  <c r="X339" i="25"/>
  <c r="X340" i="25"/>
  <c r="X341" i="25"/>
  <c r="X342" i="25"/>
  <c r="X343" i="25"/>
  <c r="X344" i="25"/>
  <c r="X345" i="25"/>
  <c r="X346" i="25"/>
  <c r="X347" i="25"/>
  <c r="X348" i="25"/>
  <c r="X349" i="25"/>
  <c r="X350" i="25"/>
  <c r="X351" i="25"/>
  <c r="X352" i="25"/>
  <c r="X353" i="25"/>
  <c r="X354" i="25"/>
  <c r="X355" i="25"/>
  <c r="X356" i="25"/>
  <c r="X357" i="25"/>
  <c r="X358" i="25"/>
  <c r="X359" i="25"/>
  <c r="X360" i="25"/>
  <c r="X361" i="25"/>
  <c r="X362" i="25"/>
  <c r="X363" i="25"/>
  <c r="X364" i="25"/>
  <c r="X365" i="25"/>
  <c r="X366" i="25"/>
  <c r="X367" i="25"/>
  <c r="X368" i="25"/>
  <c r="X369" i="25"/>
  <c r="X370" i="25"/>
  <c r="X371" i="25"/>
  <c r="X372" i="25"/>
  <c r="X373" i="25"/>
  <c r="X374" i="25"/>
  <c r="X375" i="25"/>
  <c r="X376" i="25"/>
  <c r="X377" i="25"/>
  <c r="X378" i="25"/>
  <c r="X379" i="25"/>
  <c r="X380" i="25"/>
  <c r="X381" i="25"/>
  <c r="X382" i="25"/>
  <c r="X383" i="25"/>
  <c r="X384" i="25"/>
  <c r="X385" i="25"/>
  <c r="X386" i="25"/>
  <c r="X387" i="25"/>
  <c r="X388" i="25"/>
  <c r="X389" i="25"/>
  <c r="X390" i="25"/>
  <c r="X391" i="25"/>
  <c r="X392" i="25"/>
  <c r="X393" i="25"/>
  <c r="X394" i="25"/>
  <c r="X395" i="25"/>
  <c r="X396" i="25"/>
  <c r="X397" i="25"/>
  <c r="X398" i="25"/>
  <c r="X399" i="25"/>
  <c r="X400" i="25"/>
  <c r="X401" i="25"/>
  <c r="X402" i="25"/>
  <c r="X403" i="25"/>
  <c r="X404" i="25"/>
  <c r="X405" i="25"/>
  <c r="X406" i="25"/>
  <c r="X407" i="25"/>
  <c r="X408" i="25"/>
  <c r="X409" i="25"/>
  <c r="X410" i="25"/>
  <c r="X411" i="25"/>
  <c r="X412" i="25"/>
  <c r="X413" i="25"/>
  <c r="X414" i="25"/>
  <c r="X415" i="25"/>
  <c r="X416" i="25"/>
  <c r="X417" i="25"/>
  <c r="X418" i="25"/>
  <c r="X419" i="25"/>
  <c r="X420" i="25"/>
  <c r="X421" i="25"/>
  <c r="X422" i="25"/>
  <c r="X423" i="25"/>
  <c r="X424" i="25"/>
  <c r="X425" i="25"/>
  <c r="X426" i="25"/>
  <c r="X427" i="25"/>
  <c r="X428" i="25"/>
  <c r="X429" i="25"/>
  <c r="X430" i="25"/>
  <c r="X431" i="25"/>
  <c r="X432" i="25"/>
  <c r="X433" i="25"/>
  <c r="X434" i="25"/>
  <c r="X435" i="25"/>
  <c r="X436" i="25"/>
  <c r="X437" i="25"/>
  <c r="X438" i="25"/>
  <c r="X439" i="25"/>
  <c r="X440" i="25"/>
  <c r="X441" i="25"/>
  <c r="X442" i="25"/>
  <c r="X443" i="25"/>
  <c r="X444" i="25"/>
  <c r="X445" i="25"/>
  <c r="X446" i="25"/>
  <c r="X447" i="25"/>
  <c r="X448" i="25"/>
  <c r="X449" i="25"/>
  <c r="X450" i="25"/>
  <c r="X451" i="25"/>
  <c r="X452" i="25"/>
  <c r="X453" i="25"/>
  <c r="X454" i="25"/>
  <c r="X455" i="25"/>
  <c r="X456" i="25"/>
  <c r="X457" i="25"/>
  <c r="X458" i="25"/>
  <c r="X459" i="25"/>
  <c r="X460" i="25"/>
  <c r="X461" i="25"/>
  <c r="X462" i="25"/>
  <c r="X463" i="25"/>
  <c r="X464" i="25"/>
  <c r="X465" i="25"/>
  <c r="X466" i="25"/>
  <c r="X467" i="25"/>
  <c r="X468" i="25"/>
  <c r="X469" i="25"/>
  <c r="X470" i="25"/>
  <c r="X471" i="25"/>
  <c r="X472" i="25"/>
  <c r="X473" i="25"/>
  <c r="X474" i="25"/>
  <c r="X475" i="25"/>
  <c r="X476" i="25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9E24F-E90D-48CF-8592-25A3C7AFE307}" keepAlive="1" name="Query - actual_flights_B2B" description="Connection to the 'actual_flights_B2B' query in the workbook." type="5" refreshedVersion="8" background="1" saveData="1">
    <dbPr connection="Provider=Microsoft.Mashup.OleDb.1;Data Source=$Workbook$;Location=actual_flights_B2B;Extended Properties=&quot;&quot;" command="SELECT * FROM [actual_flights_B2B]"/>
  </connection>
  <connection id="2" xr16:uid="{8A5452F3-D21D-4030-85AC-607C66BAC4C2}" keepAlive="1" name="Query - actual_flights_B2B_normalize" description="Connection to the 'actual_flights_B2B_normalize' query in the workbook." type="5" refreshedVersion="8" background="1" saveData="1">
    <dbPr connection="Provider=Microsoft.Mashup.OleDb.1;Data Source=$Workbook$;Location=actual_flights_B2B_normalize;Extended Properties=&quot;&quot;" command="SELECT * FROM [actual_flights_B2B_normalize]"/>
  </connection>
  <connection id="3" xr16:uid="{A1908FD7-777A-48C6-8515-435AA2CAACFA}" keepAlive="1" name="Query - actual_flights_B2C" description="Connection to the 'actual_flights_B2C' query in the workbook." type="5" refreshedVersion="8" background="1" saveData="1">
    <dbPr connection="Provider=Microsoft.Mashup.OleDb.1;Data Source=$Workbook$;Location=actual_flights_B2C;Extended Properties=&quot;&quot;" command="SELECT * FROM [actual_flights_B2C]"/>
  </connection>
  <connection id="4" xr16:uid="{AF7A0668-1E8B-4FDD-B9A8-3B41E99B5150}" keepAlive="1" name="Query - All_flights_simple" description="Connection to the 'All_flights_simple' query in the workbook." type="5" refreshedVersion="0" background="1">
    <dbPr connection="Provider=Microsoft.Mashup.OleDb.1;Data Source=$Workbook$;Location=All_flights_simple;Extended Properties=&quot;&quot;" command="SELECT * FROM [All_flights_simple]"/>
  </connection>
  <connection id="5" xr16:uid="{A8527A3A-3F56-4173-A98A-01CA12671C1D}" keepAlive="1" name="Query - All_flights_simple1" description="Connection to the 'All_flights_simple' query in the workbook." type="5" refreshedVersion="8" background="1" saveData="1">
    <dbPr connection="Provider=Microsoft.Mashup.OleDb.1;Data Source=$Workbook$;Location=All_flights_simple;Extended Properties=&quot;&quot;" command="SELECT * FROM [All_flights_simple]"/>
  </connection>
  <connection id="6" xr16:uid="{DB1520FE-70B4-492F-820E-E24FB92E849C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7" xr16:uid="{DE29C28C-7628-4DC5-A853-D1C890C7028F}" keepAlive="1" name="Query - flights(1)" description="Connection to the 'flights' query in the workbook." type="5" refreshedVersion="8" background="1" saveData="1">
    <dbPr connection="Provider=Microsoft.Mashup.OleDb.1;Data Source=$Workbook$;Location=flights;Extended Properties=&quot;&quot;" command="SELECT * FROM [flights]"/>
  </connection>
  <connection id="8" xr16:uid="{F4E63E26-A342-4C1C-9E24-60D42D104205}" keepAlive="1" name="Query - flights_packages" description="Connection to the 'flights_packages' query in the workbook." type="5" refreshedVersion="8" background="1" saveData="1">
    <dbPr connection="Provider=Microsoft.Mashup.OleDb.1;Data Source=$Workbook$;Location=flights_packages;Extended Properties=&quot;&quot;" command="SELECT * FROM [flights_packages]"/>
  </connection>
  <connection id="9" xr16:uid="{F8706144-6D5E-42C5-B51F-35AC39CEE4A2}" keepAlive="1" name="Query - Func_Travel" description="Connection to the 'Func_Travel' query in the workbook." type="5" refreshedVersion="8" background="1" saveData="1">
    <dbPr connection="Provider=Microsoft.Mashup.OleDb.1;Data Source=$Workbook$;Location=Func_Travel;Extended Properties=&quot;&quot;" command="SELECT * FROM [Func_Travel]"/>
  </connection>
  <connection id="10" xr16:uid="{C52FC8C4-2A84-48F2-804F-077E54A76080}" keepAlive="1" name="Query - packages" description="Connection to the 'packages' query in the workbook." type="5" refreshedVersion="8" background="1" saveData="1">
    <dbPr connection="Provider=Microsoft.Mashup.OleDb.1;Data Source=$Workbook$;Location=packages;Extended Properties=&quot;&quot;" command="SELECT * FROM [packages]"/>
  </connection>
  <connection id="11" xr16:uid="{54B1C4A5-88C5-445F-A73E-A97B17E88BC3}" keepAlive="1" name="Query - pilgrims(1)" description="Connection to the 'pilgrims' query in the workbook." type="5" refreshedVersion="8" background="1" saveData="1">
    <dbPr connection="Provider=Microsoft.Mashup.OleDb.1;Data Source=$Workbook$;Location=pilgrims;Extended Properties=&quot;&quot;" command="SELECT * FROM [pilgrims]"/>
  </connection>
  <connection id="12" xr16:uid="{C456C869-6DCB-4997-811C-3AF94FE30968}" keepAlive="1" name="Query - pilgrims_raw" description="Connection to the 'pilgrims_raw' query in the workbook." type="5" refreshedVersion="8" background="1" saveData="1">
    <dbPr connection="Provider=Microsoft.Mashup.OleDb.1;Data Source=$Workbook$;Location=pilgrims_raw;Extended Properties=&quot;&quot;" command="SELECT * FROM [pilgrims_raw]"/>
  </connection>
  <connection id="13" xr16:uid="{D2C37645-362E-47D8-A15C-154DA4E0820F}" keepAlive="1" name="استعلام - ‏‏rename_package" description="‏‏الاتصال بالاستعلام 'rename_package' في المصنف." type="5" refreshedVersion="0" background="1">
    <dbPr connection="Provider=Microsoft.Mashup.OleDb.1;Data Source=$Workbook$;Location=rename_package;Extended Properties=&quot;&quot;" command="SELECT * FROM [rename_package]"/>
  </connection>
</connections>
</file>

<file path=xl/sharedStrings.xml><?xml version="1.0" encoding="utf-8"?>
<sst xmlns="http://schemas.openxmlformats.org/spreadsheetml/2006/main" count="26144" uniqueCount="1994">
  <si>
    <t>start_date</t>
  </si>
  <si>
    <t>end_date</t>
  </si>
  <si>
    <t>Saudia  A11</t>
  </si>
  <si>
    <t>2026-05-23</t>
  </si>
  <si>
    <t>2026-06-02</t>
  </si>
  <si>
    <t>Movenpick Anwar Almadinah Hotel</t>
  </si>
  <si>
    <t>2026-05-30</t>
  </si>
  <si>
    <t>Saudia  G33</t>
  </si>
  <si>
    <t>2026-05-21</t>
  </si>
  <si>
    <t>2026-06-06</t>
  </si>
  <si>
    <t>Crowne Plaza Madinah</t>
  </si>
  <si>
    <t>2026-05-24</t>
  </si>
  <si>
    <t>Makkah Clock Royal Tower A Fairmont Hotel</t>
  </si>
  <si>
    <t>2026-05-31</t>
  </si>
  <si>
    <t>Saudia  A9</t>
  </si>
  <si>
    <t>Swissotel Al Maqam Makkah</t>
  </si>
  <si>
    <t>2026-05-25</t>
  </si>
  <si>
    <t>Saudia  G6</t>
  </si>
  <si>
    <t>Saudia  A3</t>
  </si>
  <si>
    <t>2026-05-18</t>
  </si>
  <si>
    <t>Daral Taqwa Hotel</t>
  </si>
  <si>
    <t>Swissotel Makkah Hotel</t>
  </si>
  <si>
    <t>Saudia  G3</t>
  </si>
  <si>
    <t>Saudia  A4</t>
  </si>
  <si>
    <t>Saudia  G1</t>
  </si>
  <si>
    <t>Saudia  A7</t>
  </si>
  <si>
    <t>Saudia  A2</t>
  </si>
  <si>
    <t>Saudia  H 3</t>
  </si>
  <si>
    <t>Madinah Hilton Hotel</t>
  </si>
  <si>
    <t>Saudia  H 6</t>
  </si>
  <si>
    <t>Saudia  G2</t>
  </si>
  <si>
    <t>Saudia  A6</t>
  </si>
  <si>
    <t>Saudia  A5</t>
  </si>
  <si>
    <t>Saudia  A1</t>
  </si>
  <si>
    <t>Saudia  A10</t>
  </si>
  <si>
    <t>Saudia  H7</t>
  </si>
  <si>
    <t>Saudia  H 2</t>
  </si>
  <si>
    <t>Saudia  H 1</t>
  </si>
  <si>
    <t>Saudia  H 5</t>
  </si>
  <si>
    <t>Saudia  H 4</t>
  </si>
  <si>
    <t>Saudia  H8</t>
  </si>
  <si>
    <t>Saudia  G 7</t>
  </si>
  <si>
    <t>Saudia G 8</t>
  </si>
  <si>
    <t>Saudia  G4</t>
  </si>
  <si>
    <t>Saudia G 5</t>
  </si>
  <si>
    <t>Saudia  A8</t>
  </si>
  <si>
    <t>first_hotel_name</t>
  </si>
  <si>
    <t>first_hotel_check_in</t>
  </si>
  <si>
    <t>first_hotel_check_out</t>
  </si>
  <si>
    <t>second_hotel_name</t>
  </si>
  <si>
    <t>second_hotel_check_in</t>
  </si>
  <si>
    <t>second_hotel_check_out</t>
  </si>
  <si>
    <t>Madinah</t>
  </si>
  <si>
    <t>Makkah</t>
  </si>
  <si>
    <t>first_hotel_location</t>
  </si>
  <si>
    <t>second_hotel_location</t>
  </si>
  <si>
    <t>package_name</t>
  </si>
  <si>
    <t>SV020</t>
  </si>
  <si>
    <t>New York</t>
  </si>
  <si>
    <t>Jeddah</t>
  </si>
  <si>
    <t>SV021</t>
  </si>
  <si>
    <t>SV036</t>
  </si>
  <si>
    <t>Washington</t>
  </si>
  <si>
    <t>SV035</t>
  </si>
  <si>
    <t>SV038</t>
  </si>
  <si>
    <t>Madina</t>
  </si>
  <si>
    <t>SV062</t>
  </si>
  <si>
    <t>Toronto</t>
  </si>
  <si>
    <t>SV061</t>
  </si>
  <si>
    <t>SV042</t>
  </si>
  <si>
    <t>Los Angeles</t>
  </si>
  <si>
    <t>SV041</t>
  </si>
  <si>
    <t>SV1423</t>
  </si>
  <si>
    <t>SV1421</t>
  </si>
  <si>
    <t>Riyadh</t>
  </si>
  <si>
    <t>SV1016</t>
  </si>
  <si>
    <t>SV1431</t>
  </si>
  <si>
    <t>A01</t>
  </si>
  <si>
    <t>A10</t>
  </si>
  <si>
    <t>A11</t>
  </si>
  <si>
    <t>G33</t>
  </si>
  <si>
    <t>A02</t>
  </si>
  <si>
    <t>A03</t>
  </si>
  <si>
    <t>A04</t>
  </si>
  <si>
    <t>A05</t>
  </si>
  <si>
    <t>A06</t>
  </si>
  <si>
    <t>A07</t>
  </si>
  <si>
    <t>A08</t>
  </si>
  <si>
    <t>A09</t>
  </si>
  <si>
    <t>G07</t>
  </si>
  <si>
    <t>G01</t>
  </si>
  <si>
    <t>G02</t>
  </si>
  <si>
    <t>G03</t>
  </si>
  <si>
    <t>G04</t>
  </si>
  <si>
    <t>G06</t>
  </si>
  <si>
    <t>H01</t>
  </si>
  <si>
    <t>H02</t>
  </si>
  <si>
    <t>H03</t>
  </si>
  <si>
    <t>H04</t>
  </si>
  <si>
    <t>H05</t>
  </si>
  <si>
    <t>H06</t>
  </si>
  <si>
    <t>H07</t>
  </si>
  <si>
    <t>H08</t>
  </si>
  <si>
    <t>G05</t>
  </si>
  <si>
    <t>G08</t>
  </si>
  <si>
    <t>departure1_flight_number</t>
  </si>
  <si>
    <t>departure1_from_city</t>
  </si>
  <si>
    <t>departure1_to_city</t>
  </si>
  <si>
    <t>departure1_date_from</t>
  </si>
  <si>
    <t>departure1_time_from</t>
  </si>
  <si>
    <t>departure1_date_to</t>
  </si>
  <si>
    <t>departure1_time_to</t>
  </si>
  <si>
    <t>departure2_flight_number</t>
  </si>
  <si>
    <t>departure2_from_city</t>
  </si>
  <si>
    <t>departure2_to_city</t>
  </si>
  <si>
    <t>departure2_date_from</t>
  </si>
  <si>
    <t>departure2_time_from</t>
  </si>
  <si>
    <t>departure2_date_to</t>
  </si>
  <si>
    <t>departure2_time_to</t>
  </si>
  <si>
    <t>return1_flight_number</t>
  </si>
  <si>
    <t>return1_from_city</t>
  </si>
  <si>
    <t>return1_to_city</t>
  </si>
  <si>
    <t>return1_date_from</t>
  </si>
  <si>
    <t>return1_time_from</t>
  </si>
  <si>
    <t>return1_date_to</t>
  </si>
  <si>
    <t>return1_time_to</t>
  </si>
  <si>
    <t>return2_flight_number</t>
  </si>
  <si>
    <t>return2_from_city</t>
  </si>
  <si>
    <t>return2_to_city</t>
  </si>
  <si>
    <t>return2_date_from</t>
  </si>
  <si>
    <t>return2_time_from</t>
  </si>
  <si>
    <t>return2_date_to</t>
  </si>
  <si>
    <t>return2_time_to</t>
  </si>
  <si>
    <t>SV1424</t>
  </si>
  <si>
    <t>SV1428</t>
  </si>
  <si>
    <t>SV1430</t>
  </si>
  <si>
    <t>SV1420</t>
  </si>
  <si>
    <t>SV1465</t>
  </si>
  <si>
    <t>SV1471</t>
  </si>
  <si>
    <t>SV037</t>
  </si>
  <si>
    <t>London</t>
  </si>
  <si>
    <t>SV 1424</t>
  </si>
  <si>
    <t>SV 119</t>
  </si>
  <si>
    <t>SV 1421</t>
  </si>
  <si>
    <t>source</t>
  </si>
  <si>
    <t>normalize</t>
  </si>
  <si>
    <t>unique_id</t>
  </si>
  <si>
    <t>ID</t>
  </si>
  <si>
    <t>SV020New YorkJeddah5/17/202611:00 AM5/18/20265:40 AMSV1424JeddahMadina5/18/20268:20 AM5/18/20269:25 AMSV021JeddahNew York5/31/20263:05 AM5/31/20269:00 AM</t>
  </si>
  <si>
    <t>SV038WashingtonMadina5/18/20266:50 PM5/19/20269:05 PMSV035JeddahWashington5/31/20269:25 AM5/31/20263:45 PM</t>
  </si>
  <si>
    <t>SV062TorontoJeddah5/17/20267:00 PM5/18/20261:55 PMSV1430JeddahMadina5/18/20268:20 PM5/18/20269:25 PMSV061JeddahToronto5/30/20269:15 AM5/30/20263:25 PM</t>
  </si>
  <si>
    <t>SV042Los AngelesJeddah5/16/20269:00 PM5/17/202610:20 PMSV1420JeddahMadina5/18/20261:30 AM5/18/20262:35 AMSV041JeddahLos Angeles5/30/20269:50 AM5/30/20264:05 PM</t>
  </si>
  <si>
    <t>SV036WashingtonJeddah5/17/20266:50 PM5/18/20263:55 PMSV035JeddahWashington5/30/20269:25 AM5/30/20263:45 PM</t>
  </si>
  <si>
    <t>SV062TorontoJeddah5/17/20267:00 PM5/18/20261:55 PMSV1428JeddahMadina5/18/20264:40 PM5/18/20265:45 PMSV061JeddahToronto5/30/20269:15 AM5/30/20263:25 PM</t>
  </si>
  <si>
    <t>SV062TorontoJeddah5/19/20267:00 PM5/20/20261:55 PMSV1428JeddahMadina5/20/20264:40 PM5/20/20265:45 PMSV061JeddahToronto5/31/20269:15 AM5/31/20263:25 PM</t>
  </si>
  <si>
    <t>SV038WashingtonRiyadh5/18/20266:50 PM5/19/20262:30 PMSV1465RiyadhMadina5/19/20267:30 PM5/19/20269:05 PMSV035JeddahWashington5/31/20269:25 AM5/31/20263:45 PM</t>
  </si>
  <si>
    <t>SV036WashingtonJeddah5/17/20266:50 PM5/18/20261:55 PMSV035JeddahWashington5/30/20269:25 AM5/30/20263:45 PM</t>
  </si>
  <si>
    <t>SV036WashingtonJeddah5/17/20266:50 PM5/18/20261:55 PMSV1428JeddahMadina5/18/20264:40 PM5/18/20265:45 PMSV035JeddahWashington5/30/20268:25 AM5/30/20263:45 PM</t>
  </si>
  <si>
    <t>SV038Los AngelesJeddah5/21/20269:00 PM5/22/20261:20 AMSV1423MadinaJeddah6/4/20266:05 AM6/4/20267:15 AMSV041JeddahLos Angeles6/4/20269:50 AM6/4/20264:05 PM</t>
  </si>
  <si>
    <t>SV062TorontoJeddah5/21/20267:00 PM5/22/20261:55 PMSV1421MadinaJeddah6/4/20263:35 AM6/4/20264:45 AMSV061JeddahToronto6/4/20269:15 AM6/4/20263:25 PM</t>
  </si>
  <si>
    <t>SV042Los AngelesJeddah5/21/20269:00 PM5/22/202610:20 PMSV1421MadinaLos Angeles6/4/20263:35 AM6/4/20264:05 PM</t>
  </si>
  <si>
    <t>SV038WashingtonRiyadh5/20/20266:50 PM5/21/20262:30 PMSV1471RiyadhMadina5/21/20264:55 PM5/21/20266:30 PMSV1016JeddahRiyadh6/1/20265:00 AM6/1/20266:50 AMSV037RiyadhWashington6/1/20268:50 AM6/1/20263:45 PM</t>
  </si>
  <si>
    <t>SV036WashingtonJeddah5/21/20266:50 PM5/22/20261:55 PMSV1423MadinaJeddah6/2/20266:05 AM6/2/20267:15 AMSV035JeddahWashington6/2/20269:25 AM6/4/20263:45 PM</t>
  </si>
  <si>
    <t>SV020New YorkJeddah5/20/202611:00 AM5/21/20265:40 AMSV1431MadinaNew York6/2/202610:20 PM6/3/20269:00 AM</t>
  </si>
  <si>
    <t>SV020New YorkJeddah5/20/202611:00 AM5/21/20265:40 AMSV1431MadinaJeddah6/2/202610:20 PM6/2/202611:30 PMSV021JeddahNew York6/3/20263:05 AM6/3/20269:00 AM</t>
  </si>
  <si>
    <t>file</t>
  </si>
  <si>
    <t>type</t>
  </si>
  <si>
    <t>packages</t>
  </si>
  <si>
    <t>packages_flights</t>
  </si>
  <si>
    <t>flights</t>
  </si>
  <si>
    <t>extract from packages_flights</t>
  </si>
  <si>
    <t>value</t>
  </si>
  <si>
    <t>main source</t>
  </si>
  <si>
    <t>function</t>
  </si>
  <si>
    <t xml:space="preserve"> السعودية ت 6</t>
  </si>
  <si>
    <t xml:space="preserve"> السعودية ت 3</t>
  </si>
  <si>
    <t xml:space="preserve"> السعودية ت 4</t>
  </si>
  <si>
    <t xml:space="preserve"> السعودية ت 2</t>
  </si>
  <si>
    <t xml:space="preserve"> السعودية ت 8</t>
  </si>
  <si>
    <t xml:space="preserve"> السعودية ت 7</t>
  </si>
  <si>
    <t xml:space="preserve"> السعودية ت 5</t>
  </si>
  <si>
    <t xml:space="preserve"> السعودية ت 1</t>
  </si>
  <si>
    <t>السعودية ج 8</t>
  </si>
  <si>
    <t xml:space="preserve"> السعودية ج 7</t>
  </si>
  <si>
    <t>السعودية أ 11</t>
  </si>
  <si>
    <t xml:space="preserve"> السعودية ج 6</t>
  </si>
  <si>
    <t xml:space="preserve"> السعودية ج 5</t>
  </si>
  <si>
    <t xml:space="preserve"> السعودية ج 4</t>
  </si>
  <si>
    <t xml:space="preserve"> السعودية ج 33</t>
  </si>
  <si>
    <t xml:space="preserve"> السعودية ج 3</t>
  </si>
  <si>
    <t xml:space="preserve"> السعودية ج 2</t>
  </si>
  <si>
    <t xml:space="preserve"> السعودية ج 1</t>
  </si>
  <si>
    <t xml:space="preserve"> السعودية أ 10</t>
  </si>
  <si>
    <t xml:space="preserve"> السعودية أ 9</t>
  </si>
  <si>
    <t xml:space="preserve"> السعودية أ 8</t>
  </si>
  <si>
    <t xml:space="preserve"> السعودية أ 7</t>
  </si>
  <si>
    <t xml:space="preserve"> السعودية أ 5</t>
  </si>
  <si>
    <t xml:space="preserve"> السعودية أ 4</t>
  </si>
  <si>
    <t xml:space="preserve"> السعودية أ 3</t>
  </si>
  <si>
    <t xml:space="preserve"> السعودية أ 2</t>
  </si>
  <si>
    <t xml:space="preserve"> السعودية أ 1</t>
  </si>
  <si>
    <t xml:space="preserve"> السعودية أ 6</t>
  </si>
  <si>
    <t>id</t>
  </si>
  <si>
    <t>package_name_AR</t>
  </si>
  <si>
    <t>Capacity</t>
  </si>
  <si>
    <t>normalizer and capacity (sv team)</t>
  </si>
  <si>
    <t>نوع النقل (الوصول)</t>
  </si>
  <si>
    <t>وقت الوصول - النقل</t>
  </si>
  <si>
    <t>نوع النقل (المغادرة)</t>
  </si>
  <si>
    <t>وقت المغادرة - النقل</t>
  </si>
  <si>
    <t>MAMMOUD</t>
  </si>
  <si>
    <t>HAMADA</t>
  </si>
  <si>
    <t/>
  </si>
  <si>
    <t>الولايات المتحدة الأمريكية</t>
  </si>
  <si>
    <t>B2B</t>
  </si>
  <si>
    <t>طلب تأشيرة جديد</t>
  </si>
  <si>
    <t>أبراج الخطوط السعودية</t>
  </si>
  <si>
    <t>Package SAR</t>
  </si>
  <si>
    <t>مواصلات الباقة</t>
  </si>
  <si>
    <t>MAHITAJ</t>
  </si>
  <si>
    <t>RASHID</t>
  </si>
  <si>
    <t>كندا</t>
  </si>
  <si>
    <t>RIAD</t>
  </si>
  <si>
    <t>KAIF</t>
  </si>
  <si>
    <t>SOHANA</t>
  </si>
  <si>
    <t>MAHIN</t>
  </si>
  <si>
    <t>FATEMEH</t>
  </si>
  <si>
    <t>TOFT</t>
  </si>
  <si>
    <t>ADIL</t>
  </si>
  <si>
    <t>KHAN</t>
  </si>
  <si>
    <t>GHAZI</t>
  </si>
  <si>
    <t>SHAYMA</t>
  </si>
  <si>
    <t>ANSARI</t>
  </si>
  <si>
    <t>NAVEED</t>
  </si>
  <si>
    <t>RUHMA</t>
  </si>
  <si>
    <t>SHAHMEER</t>
  </si>
  <si>
    <t>NAVID</t>
  </si>
  <si>
    <t>MINHAS</t>
  </si>
  <si>
    <t>AIZAZ</t>
  </si>
  <si>
    <t>ATHAR</t>
  </si>
  <si>
    <t>MOHAMMED</t>
  </si>
  <si>
    <t>ISLAM</t>
  </si>
  <si>
    <t>AISHA</t>
  </si>
  <si>
    <t>MASOOD</t>
  </si>
  <si>
    <t>MOHAMMAD</t>
  </si>
  <si>
    <t>HUSAIN</t>
  </si>
  <si>
    <t>SADIA</t>
  </si>
  <si>
    <t>YOUNUS</t>
  </si>
  <si>
    <t xml:space="preserve">MANSUR </t>
  </si>
  <si>
    <t>FARIHA</t>
  </si>
  <si>
    <t>NAZIYA</t>
  </si>
  <si>
    <t>REHMAN</t>
  </si>
  <si>
    <t>SALMA</t>
  </si>
  <si>
    <t>HANEEF</t>
  </si>
  <si>
    <t>SAMINA</t>
  </si>
  <si>
    <t>HANEFF</t>
  </si>
  <si>
    <t>ADNAN</t>
  </si>
  <si>
    <t>HAIDER</t>
  </si>
  <si>
    <t>AZZA</t>
  </si>
  <si>
    <t>ABDAL HALIM</t>
  </si>
  <si>
    <t>ZAKIUDDIN</t>
  </si>
  <si>
    <t>B2C</t>
  </si>
  <si>
    <t>NUSUK-26-02-00445707</t>
  </si>
  <si>
    <t>A26020195353250</t>
  </si>
  <si>
    <t>https://doc.almosafer.com/api/download/3b4463102ae15e56140c6ca4623547baALM2b316959364a51736d4434302f715146723579314d336874536b2b716f446d5475504351685861454e506835492b61364b593862573652364969755373645166416d2b2f35324d4e344768694b444636644e52557935364e4a6e4d796c6d506e6d31577943486a4c48416c6b6a696954474d576f5478346d6d7a686d565779304e57592f2f6c6a705372396966743970743650535a413d3d.pdf</t>
  </si>
  <si>
    <t>AFAF</t>
  </si>
  <si>
    <t>SIDDIQUI</t>
  </si>
  <si>
    <t>NUSUK-26-02-00458345</t>
  </si>
  <si>
    <t>A260201115173250</t>
  </si>
  <si>
    <t>https://doc.almosafer.com/api/download/2e675e6d9311ffff0f525ae9b98e2211ALM656b696f436d71462b5a366d70546366584c78474a4a4731724a494e6c74314e436c62333977364e6c39416c4c454d4c302b516a6e32375157685a47724f654b305242446c7a616e4851787a6b4741794e5071304c664c4c4d4b6d64465238346532576f7171337a5173576c6f39387373624d566d594359444253673365334c696f52463038584d7170574b555857784e65706d31673d3d.pdf</t>
  </si>
  <si>
    <t>SYED</t>
  </si>
  <si>
    <t>AHMED</t>
  </si>
  <si>
    <t>AMINA</t>
  </si>
  <si>
    <t>IAN</t>
  </si>
  <si>
    <t>MARTIN</t>
  </si>
  <si>
    <t>SABA</t>
  </si>
  <si>
    <t>LODHI</t>
  </si>
  <si>
    <t>AASIM</t>
  </si>
  <si>
    <t>AFZAL</t>
  </si>
  <si>
    <t>MARIUM</t>
  </si>
  <si>
    <t>AHMAD</t>
  </si>
  <si>
    <t>FARAH</t>
  </si>
  <si>
    <t>SONYA</t>
  </si>
  <si>
    <t>SHAHID</t>
  </si>
  <si>
    <t>SARIB</t>
  </si>
  <si>
    <t>FAISEL</t>
  </si>
  <si>
    <t>HUSSEIN</t>
  </si>
  <si>
    <t>SHERIN</t>
  </si>
  <si>
    <t>IJAZ</t>
  </si>
  <si>
    <t>NAEEM</t>
  </si>
  <si>
    <t>SATTAUR</t>
  </si>
  <si>
    <t>MOHD</t>
  </si>
  <si>
    <t>AZHER UDDIN</t>
  </si>
  <si>
    <t>SHAHEDA NOOR</t>
  </si>
  <si>
    <t>AZHER</t>
  </si>
  <si>
    <t>NASIRALI</t>
  </si>
  <si>
    <t>EMADI</t>
  </si>
  <si>
    <t>MALEKA</t>
  </si>
  <si>
    <t>ASMA</t>
  </si>
  <si>
    <t>NUZRA</t>
  </si>
  <si>
    <t>HASAN</t>
  </si>
  <si>
    <t>IMAM</t>
  </si>
  <si>
    <t>AMY</t>
  </si>
  <si>
    <t>TAIMOUR</t>
  </si>
  <si>
    <t>EDWARD</t>
  </si>
  <si>
    <t>ANG</t>
  </si>
  <si>
    <t>MAIMA AULIA</t>
  </si>
  <si>
    <t>SYAKHROZA</t>
  </si>
  <si>
    <t>المملكة المتحدة</t>
  </si>
  <si>
    <t>NUSUK-26-02-01040944</t>
  </si>
  <si>
    <t>A260201107183250</t>
  </si>
  <si>
    <t>https://doc.almosafer.com/api/download/c4d6e53d75e4cf43c572cbcd465c0c52ALM512b52747a6c306d774c77515a7a3430363948304b685656714355593457796f65634444585650752b64614a564247446d39512b726b444a4d4b7935622b494e46614a786c7955796e6577474a32727230645378454c4c7535573839676c7454763433323478726e3773474c78616a53356d466954453064314a69385744584e2b4d3466564465614364754a754553417649373734773d3d.pdf</t>
  </si>
  <si>
    <t>ADHIGUNA SURYA</t>
  </si>
  <si>
    <t>KUNCORO</t>
  </si>
  <si>
    <t>WALID</t>
  </si>
  <si>
    <t>BEDIER</t>
  </si>
  <si>
    <t>ألمانيا</t>
  </si>
  <si>
    <t>NUSUK-26-02-01024042</t>
  </si>
  <si>
    <t>A260201143833250</t>
  </si>
  <si>
    <t>https://doc.almosafer.com/api/download/a7a1edc8ee786b239eaee96c9131a228ALM6f31662b7557504a6c6d374f48514248576b3950414c424c564754674530656845557037324d66636631415234502f5948586f43614d6947685759415968377a6d497433652f586479686b58346c6857666a574e563231363441596b4a55354d6770596478783232434f4a522b2b674f71464a447554586d424b484c504977484e4e5630416a53534878587255615361432b383838513d3d.pdf</t>
  </si>
  <si>
    <t>NIHAD</t>
  </si>
  <si>
    <t>HASSAN</t>
  </si>
  <si>
    <t>WARSI</t>
  </si>
  <si>
    <t>SARWAT</t>
  </si>
  <si>
    <t>ANWER</t>
  </si>
  <si>
    <t>INSAF</t>
  </si>
  <si>
    <t>NUSUK-26-02-01032528</t>
  </si>
  <si>
    <t>A260201111983250</t>
  </si>
  <si>
    <t>https://doc.almosafer.com/api/download/c74f149bf3c8f085bcabf8e95e77fdaeALM4b426246367344317170413932436a414242337551364c77755232374162394f575744366c79534d675359624d58474d354937554a41586a6e7637535146756a7a3155664d4e31373372467254632b2f6d31457474526e4d474d50455a773575774a4378434d736a5473744143736e74316b2f7558656f30757058326f32745664566b5a74596c524d6b344750787658456d684356773d3d.pdf</t>
  </si>
  <si>
    <t>OMAR</t>
  </si>
  <si>
    <t>ALOMARY</t>
  </si>
  <si>
    <t>JUMAN</t>
  </si>
  <si>
    <t>DOLEH ALOMARY</t>
  </si>
  <si>
    <t>FATOUMATA</t>
  </si>
  <si>
    <t>DOUMBIA</t>
  </si>
  <si>
    <t>DALIA</t>
  </si>
  <si>
    <t>ALY</t>
  </si>
  <si>
    <t>NUSUK-26-02-01041534</t>
  </si>
  <si>
    <t>A260201146433250</t>
  </si>
  <si>
    <t>https://doc.almosafer.com/api/download/19d63d3b9e33929da8031fe1e7af3c04ALM445a726e5853784d3858644a614c74496b454d3878307462474c4a6b593271336b77444e5732654f5973685973383866336a53553670703047464f4b2b2b413145526a2f6b656139444f334554616d37646459455554506e6e536473384734343557595a4b56457545536b685a35344259396153345468506d5245566b53456145545463326b6159374d5154444c316439644e7a72673d3d.pdf</t>
  </si>
  <si>
    <t>NADEEM</t>
  </si>
  <si>
    <t>ASHRAF</t>
  </si>
  <si>
    <t>FIZZA</t>
  </si>
  <si>
    <t>KUSAI</t>
  </si>
  <si>
    <t>ABUHAMED</t>
  </si>
  <si>
    <t>NUSUK-26-02-01037431</t>
  </si>
  <si>
    <t>A260201111583250</t>
  </si>
  <si>
    <t>https://doc.almosafer.com/api/download/78738911bf746a03610d5d3cd25234a6ALM496a472b3772417063506c3836493652335035345a3045464e6f2f436158566d4f356b30576e6a4b35544c7046436d6a4b563777335038767947553469573445566b54532b4b6b63564e5861414330486c34646c77554b55334d41695746346b583946306c4c37594f6d415078717178304a5a64684f546949382f5a4f416a3169572b67456c697934634152624b41753865774b5a513d3d.pdf</t>
  </si>
  <si>
    <t>IDREES</t>
  </si>
  <si>
    <t>MIR</t>
  </si>
  <si>
    <t>NUSUK-26-02-01016553</t>
  </si>
  <si>
    <t>A26020191253250</t>
  </si>
  <si>
    <t>https://doc.almosafer.com/api/download/5e573ad69ac582225144011d261a8e9cALM647165326b762f565a6d4d674d584d4e657330706b366f4567582f492b795037597a74546e6955733550316f775569594f44636e693138326d635a7a36624b33766e4d56666b3659314d39365034707171316c47667959502b35333664727577795234704f42736b4250573332633135686f7075674d49447a6c6741424c4d4d4874687a59436f2b2b2b4d6a6c414b55757a695938413d3d.pdf</t>
  </si>
  <si>
    <t>SUHAIB</t>
  </si>
  <si>
    <t>ABDULQUDDOS</t>
  </si>
  <si>
    <t>SAMINA AL</t>
  </si>
  <si>
    <t>QUDDOS</t>
  </si>
  <si>
    <t>ADAM</t>
  </si>
  <si>
    <t>BAWAMIA</t>
  </si>
  <si>
    <t>أستراليا</t>
  </si>
  <si>
    <t>NUSUK-26-02-01039938</t>
  </si>
  <si>
    <t>A26020192923250</t>
  </si>
  <si>
    <t>https://doc.almosafer.com/api/download/c767cfdb3e60180a2d6a654178381ad8ALM6a356d716e425647747450642f4131693136354d6a7a7a6d6a56766753776f762f39757033594a75437a415230396764466a6972525379707559396535646e4943352b504d6a7a6c51557762784a56524a497169366b44522b2f383959787745466b684e564c463655464252574b5a376b4e6d6c44784d47416b6f7244566c492f467457536567374f5977486f326859423473596a673d3d.pdf</t>
  </si>
  <si>
    <t>ASIF</t>
  </si>
  <si>
    <t>CHAUDHRY</t>
  </si>
  <si>
    <t>BUSHRA</t>
  </si>
  <si>
    <t>MUSTAFA</t>
  </si>
  <si>
    <t>SARAH</t>
  </si>
  <si>
    <t>FARID CHAUDHRY</t>
  </si>
  <si>
    <t>SHAREEFA</t>
  </si>
  <si>
    <t>ISMAIL</t>
  </si>
  <si>
    <t>NUSUK-26-02-01039437</t>
  </si>
  <si>
    <t>A260201107763250</t>
  </si>
  <si>
    <t>https://doc.almosafer.com/api/download/a08e5a91d118f2ee550e9d38fed188ecALM4d4748504635596c6b6b2b6a513045626961397745567445774f49643276516f55474a6f466a4441757349737873645a33507a533234766c3844533641307a4b61524970744f4b2b50454365324a3170774f53777673646447597467374255694a71572f447376486d7861616d4a6276677557785731447933306b66452f564b4f564c45453579505477344e4f6a697249687a4f35773d3d.pdf</t>
  </si>
  <si>
    <t>HAMZA</t>
  </si>
  <si>
    <t>SABEEN</t>
  </si>
  <si>
    <t>NAJAM</t>
  </si>
  <si>
    <t>NUSUK-26-02-01011508</t>
  </si>
  <si>
    <t>A260201108533250</t>
  </si>
  <si>
    <t>https://doc.almosafer.com/api/download/d6eb2ed6551a3a69083a107241456c67ALM484c554e3757636e4c5673344c706956592f6b4a4446704d39566335414a34415335565a354e457255735836307157477a4f5a5a38485a45636e4d4c4d4c3439396937504e544371326842362b447444614e54707752556234367675644b6d2f37614d534c325567444a595a634b66705a4c756636506c2f363849453452613379394959496b72736b515250447947634d2b396146673d3d.pdf</t>
  </si>
  <si>
    <t>SHARDA</t>
  </si>
  <si>
    <t>BAKSH</t>
  </si>
  <si>
    <t>ABDOOL</t>
  </si>
  <si>
    <t>RAHAMAN</t>
  </si>
  <si>
    <t>DILSHAD</t>
  </si>
  <si>
    <t>RAHMAN</t>
  </si>
  <si>
    <t>LUTFUR</t>
  </si>
  <si>
    <t>LOUAI</t>
  </si>
  <si>
    <t xml:space="preserve">ABUHAMED </t>
  </si>
  <si>
    <t>NUSUK-26-02-01039943</t>
  </si>
  <si>
    <t>A26020195093250</t>
  </si>
  <si>
    <t>https://doc.almosafer.com/api/download/6aaec3106d557370c65686183af9d4feALM417631644634546f39394e71546d65485956786c733979785269714f5937682b382b6a5a2b616742444a2f704f6a7933323436337277367a47786a4968592f354a6675394a6649326a726773544e7532696b4c776c7562326d7272735878597046614b4c7747485552572b4265554c3861657234714c3550506e376a726e714579444c6d326c554a39354a58446b57412b71554d6f773d3d.pdf</t>
  </si>
  <si>
    <t xml:space="preserve">MALAK </t>
  </si>
  <si>
    <t>BESHNA</t>
  </si>
  <si>
    <t>FAHEEM</t>
  </si>
  <si>
    <t>VARACHIA</t>
  </si>
  <si>
    <t>جنوب افريقيا</t>
  </si>
  <si>
    <t>NUSUK-26-02-01014511</t>
  </si>
  <si>
    <t>A260201112343250</t>
  </si>
  <si>
    <t>https://doc.almosafer.com/api/download/9e8d74239c7d3a77a48dd544adb0df46ALM6d395159586b742b78764f416f45374a436270626c2b3473554c4168534d6870672b56566d5536566537586c624d4f4831636b6b62565332554a53364c42327941754575624b71773043513361333749437a6a766b643774362b704f78515877574a663638614a517837787a4c5271676c335369533357394255686d4a766a3469585a7232636a31466c2b6957494338386d674b46673d3d.pdf</t>
  </si>
  <si>
    <t>SAFWANAH</t>
  </si>
  <si>
    <t>FUDHAIL</t>
  </si>
  <si>
    <t>NUSUK-26-02-01030038</t>
  </si>
  <si>
    <t>A260201101953250</t>
  </si>
  <si>
    <t>https://doc.almosafer.com/api/download/e1d707b8360c7b17ff08603ccd37dacbALM306158734f68756e567a5a3853306f795366594a696b577338393870445150354a756463765a475279307765693261324a684b4e4c452b4e676973516b396b32677136314d376f58784758626766317045513337384a79432b56616950373879432b4f594131673267625a456b3669455a5354302f6c52324f7265417455624b334c75633944666b3172566b5733443743794f3358513d3d.pdf</t>
  </si>
  <si>
    <t>HUMAIRA</t>
  </si>
  <si>
    <t>GUMAN</t>
  </si>
  <si>
    <t>NUSUK-26-02-01021657</t>
  </si>
  <si>
    <t>A260201131763250</t>
  </si>
  <si>
    <t>https://doc.almosafer.com/api/download/48a044d0d19ca5d30f1961b83fecb027ALM4c494874786e3467386a306c32566b472f6243684b6558596e6d6852723564482f764763314e4b472f564b76432b6c4f3979564b5a5761375455432f51316b6b7074615253367367393145387a56693371433941576e45504f2b476b505a426776654c336d49467a7555664a3366623071496d4561756c5a4c5946494f776139753935534d646261304b6133763035526a4c733743513d3d.pdf</t>
  </si>
  <si>
    <t>ROHINA</t>
  </si>
  <si>
    <t>JEHANGIR</t>
  </si>
  <si>
    <t>IMADUDDIN</t>
  </si>
  <si>
    <t>NUSUK-26-02-01008613</t>
  </si>
  <si>
    <t>A260201102183250</t>
  </si>
  <si>
    <t>https://doc.almosafer.com/api/download/37a48e5b9328811d1a29feb8bd609946ALM63624364304f5171436745327931504b4f75324d6431637a736162364455363054623830476635495961785432775a614c4e6f4561516856635663416471596d326635623262653963486c6743566b4e5739436d33486f3964657545586c414f3277565571744a6f58314b723446676f4b43355646507864455638644b4b31346651762b624c6c526f5732364345716b6b5946632f413d3d.pdf</t>
  </si>
  <si>
    <t>KIRAN</t>
  </si>
  <si>
    <t>SIDDIQI</t>
  </si>
  <si>
    <t>ARSHAD</t>
  </si>
  <si>
    <t>NUSUK-26-02-01013013</t>
  </si>
  <si>
    <t>A260201108113250</t>
  </si>
  <si>
    <t>https://doc.almosafer.com/api/download/fff9800d02e3f907dfb3a2775b0b48a5ALM4c7a63636f2b7278565361496c71436c3750436a6d3753486c4b662b3873484a4a516339473156486e5667686e694977534b61434a674f516d3930447237562b34357674466a3975464a38446e4a634e63594a327634355447386868754e427530424d46664e4a6538684f38526430684943735935363534594a76316f7a62624c4b3465335a76336a433945684669443968453052513d3d.pdf</t>
  </si>
  <si>
    <t>NAEEMA</t>
  </si>
  <si>
    <t>ALMA</t>
  </si>
  <si>
    <t>MRZLJAK</t>
  </si>
  <si>
    <t>WAEL G</t>
  </si>
  <si>
    <t>IBRAHIM</t>
  </si>
  <si>
    <t>RIHAM</t>
  </si>
  <si>
    <t>ELKHOULI</t>
  </si>
  <si>
    <t>MOAZ W</t>
  </si>
  <si>
    <t>REEM</t>
  </si>
  <si>
    <t>MOHAMED</t>
  </si>
  <si>
    <t>MASOUD</t>
  </si>
  <si>
    <t>NUSUK-26-02-01023493</t>
  </si>
  <si>
    <t>A260201113043250</t>
  </si>
  <si>
    <t>https://doc.almosafer.com/api/download/8752840195aaede810f1c11dbb6b73a8ALM507a413337314c6751413679644f6d5a45374d797678452b334a594350667055776543704335516a47564c507641386d5139787638666551504e4b4e336257486659524b54664964466858316d6e784a3838495343586d6d397966575355483452695948462b347136422b626f6435366565595033574e6c38577757374b476f7336564b36434946786d5a766e6451734a36625045773d3d.pdf</t>
  </si>
  <si>
    <t>NANCY</t>
  </si>
  <si>
    <t>MOHAMEDAMIN</t>
  </si>
  <si>
    <t>ROBALE</t>
  </si>
  <si>
    <t xml:space="preserve">SAMIRA </t>
  </si>
  <si>
    <t>HEYI</t>
  </si>
  <si>
    <t>SAAD</t>
  </si>
  <si>
    <t>KAMAL</t>
  </si>
  <si>
    <t>NUSUK-26-02-01020603</t>
  </si>
  <si>
    <t>A26020192653250</t>
  </si>
  <si>
    <t>https://doc.almosafer.com/api/download/1f36f3b996e6679dbff42a414f90e5d6ALM574272704f45746f74547834312b772b51423658582b73702f584352454f58745a686e6e585431504a612b59456e697174422f6568676e78757277466c7638457a3759516150506a5a61487330734e6c70534754324f4c386e30485077353558546c727936434448667a794b793858626f2b2b63516470784b6f796a31462f6f426d49442f51615141444a676e6435384865484476673d3d.pdf</t>
  </si>
  <si>
    <t>AMBER</t>
  </si>
  <si>
    <t>HANAN</t>
  </si>
  <si>
    <t>DAOUD</t>
  </si>
  <si>
    <t>FATIMA</t>
  </si>
  <si>
    <t>SABOUI</t>
  </si>
  <si>
    <t>ALI</t>
  </si>
  <si>
    <t>NABIL</t>
  </si>
  <si>
    <t>ADAWI</t>
  </si>
  <si>
    <t>ANN KYEONG</t>
  </si>
  <si>
    <t>KIM</t>
  </si>
  <si>
    <t>RANA</t>
  </si>
  <si>
    <t>MIAH</t>
  </si>
  <si>
    <t>NUSUK-26-02-01031029</t>
  </si>
  <si>
    <t>A260201101003250</t>
  </si>
  <si>
    <t>https://doc.almosafer.com/api/download/5247e325870fe70cd68479645269ea60ALM6d437a6e56787567346f76645234314d39316e2b555161734f71584e69684f4d6c6d344d4e2f6b656c69544e716c414a73534b47616c2f4a2b50435739636f51677a4c72384d597a585a75464f5079714b796b6356647044574f4b77766569664151626c36614473315873544363782b766772364734377149346d577a3037554567747436377a7455766b5a714c66777a474d595a513d3d.pdf</t>
  </si>
  <si>
    <t>FAYEZ</t>
  </si>
  <si>
    <t>REZK</t>
  </si>
  <si>
    <t>NUSUK-26-02-01016592</t>
  </si>
  <si>
    <t>A260201122783250</t>
  </si>
  <si>
    <t>https://doc.almosafer.com/api/download/8bfab00a553339fb87d80e0d218a2f98ALM434851706778726b73493744454c786c73516b454858315447584b4357735176455247386846714f5571334a4b653279336f545163426e3370344f73662b67786b74674b783633634c2b77594c43336a656e337261764f70724c334e686d784c5262695a48506e6e42747a76335a41704152374a714b7a41714364424e3553732b686634784c4c37637841716a6364704b59346c62413d3d.pdf</t>
  </si>
  <si>
    <t>RAMI</t>
  </si>
  <si>
    <t>ZAKIR SHAH</t>
  </si>
  <si>
    <t>MAJEDA</t>
  </si>
  <si>
    <t>KHATUN</t>
  </si>
  <si>
    <t>ASEM</t>
  </si>
  <si>
    <t>RAZZAQ</t>
  </si>
  <si>
    <t>JUNAID</t>
  </si>
  <si>
    <t>NAZEER</t>
  </si>
  <si>
    <t>NEELOFUR</t>
  </si>
  <si>
    <t>NUSRAT</t>
  </si>
  <si>
    <t>TAHA</t>
  </si>
  <si>
    <t>AMAR</t>
  </si>
  <si>
    <t>ALLAA</t>
  </si>
  <si>
    <t>ABOUZEDAN</t>
  </si>
  <si>
    <t>NUSUK-26-02-01041923</t>
  </si>
  <si>
    <t>A260201111433250</t>
  </si>
  <si>
    <t>https://doc.almosafer.com/api/download/c342a17710d6c245c4766716afd1cdbeALM714344444448564a46362b3044676675416175632f624c6839356241396f4d6638522f504c7746334d7643744c6e744937514f5057476b476e2f3447364b615873576547464a366a746359564b337a73396b58324836456751466c2f78356a6e58777a74416a3043793948587847614c536a345764754153676b2b796b5056754471364a7564742b2b6a3476474a66794b71716968413d3d.pdf</t>
  </si>
  <si>
    <t>AMAL</t>
  </si>
  <si>
    <t>ABDO</t>
  </si>
  <si>
    <t>HIREN</t>
  </si>
  <si>
    <t>PATEL</t>
  </si>
  <si>
    <t>YOGINI</t>
  </si>
  <si>
    <t>الهند</t>
  </si>
  <si>
    <t>SARA</t>
  </si>
  <si>
    <t>IQBAL</t>
  </si>
  <si>
    <t>NUSUK-26-02-01015567</t>
  </si>
  <si>
    <t>A26020199053250</t>
  </si>
  <si>
    <t>https://doc.almosafer.com/api/download/31d1a2bea697829f57c66d9e8dda1331ALM2f4f542b646b6a66395a3272746d526b2f3739487847507453745a664c6a7178434d726f634d513077614b66504f4a2b6f64643648306d434e4a69693834333372746b73334a6c30766e434e6f3770453363646c725854335550556e6230586e6848746e34522f6c6e7a3449556769472f57746d73684771587158566a49472f644e637a78514b2f2f76775a344c544f5045305969673d3d.pdf</t>
  </si>
  <si>
    <t>JAVAID</t>
  </si>
  <si>
    <t>MAJIDA</t>
  </si>
  <si>
    <t>ZAKARIYA</t>
  </si>
  <si>
    <t>FATHI</t>
  </si>
  <si>
    <t>GHORBEL</t>
  </si>
  <si>
    <t>NUSUK-26-02-01024543</t>
  </si>
  <si>
    <t>A26020186373250</t>
  </si>
  <si>
    <t>https://doc.almosafer.com/api/download/a69f69870d91e66b0d45fcf2a3ca21aaALM6a6e326d31444d6b744335584b6f2f5a4d4432426b4e37502f435a6c70426d6d5a71556155637345454e7676496c6c764e71356452597a4f66484461636c7061696c4e366273384e44686a364a2f32383048534e344e4c69444f574b52622f79325132694a59436c4f7462484d3956454855756969434d507345536c743871336b2b5a4a684d4331667271664535616e4c584a4242673d3d.pdf</t>
  </si>
  <si>
    <t>DORON</t>
  </si>
  <si>
    <t>JHIRAD</t>
  </si>
  <si>
    <t>NUSUK-26-02-01033518</t>
  </si>
  <si>
    <t>A260201107773250</t>
  </si>
  <si>
    <t>https://doc.almosafer.com/api/download/42716702a7ebe2ffb036b308ee933a69ALM552f3241644a4530544f3169496d743056516d714b5346673168796748467a586e44754155694f74576941446a6857535a6d6157663948666e6878674e63315630575a75644a637a7738617453354669684271657534484b2b714163543366526d56586d316d5363746b7343642f76587671614678434c45704f4b4e4e7832312f4e565a4b36387750494856553452724a36575969413d3d.pdf</t>
  </si>
  <si>
    <t>PARVEEN</t>
  </si>
  <si>
    <t>AUCKBARAULLEE</t>
  </si>
  <si>
    <t>JANNA</t>
  </si>
  <si>
    <t>SALEH</t>
  </si>
  <si>
    <t>EL HUSAYNI</t>
  </si>
  <si>
    <t>NUSUK-26-02-01023066</t>
  </si>
  <si>
    <t>A260201104463250</t>
  </si>
  <si>
    <t>https://doc.almosafer.com/api/download/e42f064cce1b7653bf1ad8c22ebe89fcALM636367714c38757149763278664c616748584f786f3143566f555a66567472456b6458485475736e4d454d617434594153594844546a7231465475654d6d464b6e6c71754b48545642784269794c525575673069696d3734503770466f4d7846745472644d4d78677474664734765a4c485769647850713748694f472f306c3138597357626f7647507678494e7a57707162715867513d3d.pdf</t>
  </si>
  <si>
    <t>SUHAIR</t>
  </si>
  <si>
    <t>JANOUDI</t>
  </si>
  <si>
    <t>FAREED</t>
  </si>
  <si>
    <t>SHAIKH</t>
  </si>
  <si>
    <t>NOREEN</t>
  </si>
  <si>
    <t>BASIR</t>
  </si>
  <si>
    <t>AMEER</t>
  </si>
  <si>
    <t>DAVE</t>
  </si>
  <si>
    <t>RIMA</t>
  </si>
  <si>
    <t>EL HERTE</t>
  </si>
  <si>
    <t>لبنان</t>
  </si>
  <si>
    <t>KANWAL</t>
  </si>
  <si>
    <t>MIRZA</t>
  </si>
  <si>
    <t>SEEMA</t>
  </si>
  <si>
    <t>HICHAM</t>
  </si>
  <si>
    <t>EL MANIARI</t>
  </si>
  <si>
    <t>فرنسا</t>
  </si>
  <si>
    <t>NUSUK-26-02-00459293</t>
  </si>
  <si>
    <t>A260201103463250</t>
  </si>
  <si>
    <t>https://doc.almosafer.com/api/download/8728c7c3a614d31300f926c6e9b38066ALM783642496b3739414f316b4358447a6d636c6b546c50746b54392b5550365263494178354f6a486173666c3035776f48683850375264414934666c7456496f426a3270442b4c7145372f2b4c2f6651514f4149504679497471725036564d455432326c4b7a495336586c6f7a6d6f72374642344c42306430642f63496c3550614b6c6b38384264585a7754737a49486e55754b4673513d3d.pdf</t>
  </si>
  <si>
    <t>NAYEEM</t>
  </si>
  <si>
    <t>MOHAMMADABDULLA</t>
  </si>
  <si>
    <t>NUSUK-26-02-01021630</t>
  </si>
  <si>
    <t>A260201126813250</t>
  </si>
  <si>
    <t>https://doc.almosafer.com/api/download/5e7c7bf196a18c3408788a9a0e63ed02ALM544f6238787179744e59724f3251484e793961454874456e7a4e64386e4e323833535859643449614370533579332b6c774b546e4d68476239765868776753386a48484f586d7259535a36795957614c586a362b37346469754c375657596379625437333347436536354458662b4248744b66622f45334d535855314d7657356a474c614a506b54735041514d2b743467676f564a413d3d.pdf</t>
  </si>
  <si>
    <t>ARSHIA</t>
  </si>
  <si>
    <t>SURTI</t>
  </si>
  <si>
    <t>OSMAN</t>
  </si>
  <si>
    <t>LAILA</t>
  </si>
  <si>
    <t>NAQIB OSMAN</t>
  </si>
  <si>
    <t>ANGEL</t>
  </si>
  <si>
    <t>ARNAOUT</t>
  </si>
  <si>
    <t>NUSUK-26-02-01032569</t>
  </si>
  <si>
    <t>A260201131493250</t>
  </si>
  <si>
    <t>https://doc.almosafer.com/api/download/7fe89fe561f94217f7f7fe310d6e6928ALM6d4374382b716d646a54344d5348702f452b4e4e384f5235785a6248436d36563042616674436571727767477035356a327137693269704f614352614c4f4636686b74626f764a4a65764b654d424e3163656556372f7271427a4747644c4256354669455934644d5379536e466d5a4c426533492b4b7a59674a6b67546570774d384f454876334e506370796d727450676e414f4c513d3d.pdf</t>
  </si>
  <si>
    <t>NADIA</t>
  </si>
  <si>
    <t>MONCEF</t>
  </si>
  <si>
    <t>ELFEJJI</t>
  </si>
  <si>
    <t>HAQ</t>
  </si>
  <si>
    <t>MARIAM</t>
  </si>
  <si>
    <t>ALAOUI MAMOUN</t>
  </si>
  <si>
    <t>المغرب</t>
  </si>
  <si>
    <t>NUSUK-26-02-01008333</t>
  </si>
  <si>
    <t>A26020197013250</t>
  </si>
  <si>
    <t>https://doc.almosafer.com/api/download/6d9c2095bb7d5734a643c6984e3521bcALM7632396c41476c507a4f4e566a32733031412f4b504f686156513162624d6f4768684a624f4b663172692f673464634c334d6d67772b7a6537626e4863654c6a4b67634350695043384a38394e7153543379656d444c2b696f703151436d6134305657344e6a717459764a353443594249356164324772795055525336363550494167392b66414a526c6d505a7931723755595249413d3d.pdf</t>
  </si>
  <si>
    <t>LARBI</t>
  </si>
  <si>
    <t>MSIK</t>
  </si>
  <si>
    <t>MAHNAZ</t>
  </si>
  <si>
    <t>RIZVI</t>
  </si>
  <si>
    <t>IYAD</t>
  </si>
  <si>
    <t>KWAIK</t>
  </si>
  <si>
    <t>NUSUK-26-02-01039929</t>
  </si>
  <si>
    <t>A26020188603250</t>
  </si>
  <si>
    <t>https://doc.almosafer.com/api/download/6e507f1d9f26deec1acefcb82fe3123aALM546b4f362b39754d2b79536b7474525a706638685152646e4b524f7470484a714b5562322f2b6f616a417962416f7143763678733570756463664465474842634766446b78562b4878577863746f3345354a6543346b53767957672f537959307745665663634936547262787a324b69437556594c5a41496e31566767744c50776d416d30427876612b35484156463549354c4664673d3d.pdf</t>
  </si>
  <si>
    <t>HODA</t>
  </si>
  <si>
    <t>MARWA</t>
  </si>
  <si>
    <t>ABDELBARY</t>
  </si>
  <si>
    <t>SAIF</t>
  </si>
  <si>
    <t>NUSUK-26-02-01030550</t>
  </si>
  <si>
    <t>A260201109433250</t>
  </si>
  <si>
    <t>https://doc.almosafer.com/api/download/0690a5e7b60a5706b7bacd7f8f96ac2dALM67387a706f4c6b58592b4a7a6c6d792f6d36743171684f484d726e6435574948676f5a624e6d72782f542b6a617944786e644245563352546e56744658313950744955703257786478575671525955664e612b3665677843554154685878724c4b794775735237766b6d31536f4f6c4e7979426559512f574a7539656d6142386d65452b3579316a76306d33395a2b3836466a5a63773d3d.pdf</t>
  </si>
  <si>
    <t>SELMA</t>
  </si>
  <si>
    <t>DAHLOUK</t>
  </si>
  <si>
    <t>SHAWON</t>
  </si>
  <si>
    <t>ZINAT</t>
  </si>
  <si>
    <t>MD</t>
  </si>
  <si>
    <t>MONIRUZZAMAN</t>
  </si>
  <si>
    <t>SHAHNAJ</t>
  </si>
  <si>
    <t>SHARMIN</t>
  </si>
  <si>
    <t>MANEKIA</t>
  </si>
  <si>
    <t>NUSUK-26-02-01027142</t>
  </si>
  <si>
    <t>A260201133273250</t>
  </si>
  <si>
    <t>https://doc.almosafer.com/api/download/dfd389aa8a5b0b863bded803baa53771ALM2b6d54576f494f326f6d3331696a5141423350644a724168543055726f5a2f357135717958387073397451446a3148796d704d74696e787545755a4368694273584d6d55476b36382b6137736b576d675a3376527245534e76515a7661514f317763422f4343516b656a484d5167395977676c4c62387655414e32626865373379622b6a4a68494f394d7942384173426f374b4f51413d3d.pdf</t>
  </si>
  <si>
    <t>ARSHI</t>
  </si>
  <si>
    <t>NAHLA</t>
  </si>
  <si>
    <t>QOTAYNAH</t>
  </si>
  <si>
    <t>ABDULWAHED</t>
  </si>
  <si>
    <t>FAHAM</t>
  </si>
  <si>
    <t>FARHANA</t>
  </si>
  <si>
    <t>MAHBUB</t>
  </si>
  <si>
    <t>YASEMIN</t>
  </si>
  <si>
    <t>TARAKCI</t>
  </si>
  <si>
    <t>NUSUK-26-02-01021104</t>
  </si>
  <si>
    <t>A260201107153250</t>
  </si>
  <si>
    <t>https://doc.almosafer.com/api/download/19a7905af63dc0a13a8d9af64f1935d2ALM33775369417555324e2b4a6b7374336f6b6f7a532b6c36524844564f51632b61674c2f3443644361776e307031562f2f6472565a646b5a385641705746474c316f666c76556b4971786b6a68634857584a506c7a30534e674e55565162564d416f6b3368396f484a73485351695a5834686e462f7851574d75486467447646567a476c6d363874436d59324878413442422f714537773d3d.pdf</t>
  </si>
  <si>
    <t xml:space="preserve">SAAD </t>
  </si>
  <si>
    <t xml:space="preserve">HAMDAN </t>
  </si>
  <si>
    <t>GREGORY</t>
  </si>
  <si>
    <t>WILLIAMS</t>
  </si>
  <si>
    <t>ISHRAT</t>
  </si>
  <si>
    <t>QUADRI</t>
  </si>
  <si>
    <t>NUSUK-26-02-01032495</t>
  </si>
  <si>
    <t>A26020193263250</t>
  </si>
  <si>
    <t>https://doc.almosafer.com/api/download/4f618cae2093065490591ed8726a19ebALM3077764866346d34574c54513454412b515251476f364c774b78696754764172584e7045676158763341464576496275756f6c4c536f6f67526848746e326a4b2f764a2f30684359624b4e5433794f3430556d3571794b3170745750503568644b5853454c567877626678556a6c5070682b5a3531616c4a3750742f654c2f6e305a5553612f68714949614c32704b6a6e504f627a413d3d.pdf</t>
  </si>
  <si>
    <t>LUBNA</t>
  </si>
  <si>
    <t>RUBY</t>
  </si>
  <si>
    <t>ALVI</t>
  </si>
  <si>
    <t>NIZAM</t>
  </si>
  <si>
    <t>HOSANEE</t>
  </si>
  <si>
    <t>ZEIDAH</t>
  </si>
  <si>
    <t>SHAZEEDA</t>
  </si>
  <si>
    <t>HACK</t>
  </si>
  <si>
    <t>NUSUK-26-02-00456810</t>
  </si>
  <si>
    <t>A260201115363250</t>
  </si>
  <si>
    <t>https://doc.almosafer.com/api/download/b8f286f4c5a40b1588afe63938c850f3ALM69323945786e535669576b6e4f4b565942434e2b514c70795438384f44372b7a327538415a75636334467754684f6e6d3647593043794d6849314742334d47316e427672554d745165376e2b4a454e72686166546c4b526b62454d33524c6665554645684332746956415171394d6e7263644f4f754e46342b7373647842642f506a7049587963444e50307277515446465975474a673d3d.pdf</t>
  </si>
  <si>
    <t>BIBI</t>
  </si>
  <si>
    <t>MADOKA</t>
  </si>
  <si>
    <t>SAITO</t>
  </si>
  <si>
    <t>اليابان</t>
  </si>
  <si>
    <t>NUSUK-26-02-01030018</t>
  </si>
  <si>
    <t>A26020189423250</t>
  </si>
  <si>
    <t>https://doc.almosafer.com/api/download/ae6b71771030b107da06a1f025d0fbe7ALM364470316c5351737931343169764839473037697248385a50706a6a314b546e5847474473366d6c526c47724e463374452f534948354d487353307053583857302b4a5777366579325a46325831724a7a39706767686b4143515553357a39767734694c5133682b575a31386d45684a5147544b4a7a6264587273614f664c746c396c5335374f2b36524759504142664930487356413d3d.pdf</t>
  </si>
  <si>
    <t>FAZIL</t>
  </si>
  <si>
    <t>HABIBULLA</t>
  </si>
  <si>
    <t>ANM</t>
  </si>
  <si>
    <t>ULLAH</t>
  </si>
  <si>
    <t>ZUBAIDA</t>
  </si>
  <si>
    <t>BHUIYAN</t>
  </si>
  <si>
    <t>SHANAZ</t>
  </si>
  <si>
    <t>HASSAN NIMER</t>
  </si>
  <si>
    <t>MUSAITIF</t>
  </si>
  <si>
    <t>NUSUK-26-02-01021129</t>
  </si>
  <si>
    <t>A260201112353250</t>
  </si>
  <si>
    <t>https://doc.almosafer.com/api/download/b6f2038db39c492a39a1330668885cd8ALM694e79336568473035654b694b634f6a62584a47484469436d734336434e3436613051543455304350436c697a6e4749514a693862707334363556537850484c5a376465644c4275737976415173546e6e6e4330502f4a67777475747937384a414a35314c49414e6a4762616658596f4638464b363668567833755771635238456d4867655250585763624a6e72644b52386c7831513d3d.pdf</t>
  </si>
  <si>
    <t>LINDA M</t>
  </si>
  <si>
    <t xml:space="preserve">KHARIEAH NIMER </t>
  </si>
  <si>
    <t>AMIRA A</t>
  </si>
  <si>
    <t>ABDEL JABBAR</t>
  </si>
  <si>
    <t>SHAZIA</t>
  </si>
  <si>
    <t>MIAN</t>
  </si>
  <si>
    <t>NUSUK-26-02-01025539</t>
  </si>
  <si>
    <t>A26020198833250</t>
  </si>
  <si>
    <t>https://doc.almosafer.com/api/download/32d94a8665d2ee4849516e9c44e4de11ALM585354736b6b586c735a665772537a314474346470717a47464241622f46796336477536613472684132504f38426d5a584337693562397864576f6430384e78346a36334e45734754376c635833764e614b396c5a454452595a4c34594a4442395a2f6b3753534735532f5844566e74776b3933546b4b676e66524a2f673562666239705436732b71776f38624177445946735437513d3d.pdf</t>
  </si>
  <si>
    <t>SADAT</t>
  </si>
  <si>
    <t>KHALID</t>
  </si>
  <si>
    <t>MAHMOOD</t>
  </si>
  <si>
    <t>NUSUK-26-02-01023976</t>
  </si>
  <si>
    <t>A260201106103250</t>
  </si>
  <si>
    <t>https://doc.almosafer.com/api/download/e76ac5860040f0cfd3d5a215554624f1ALM6e50767a75674f794a6e34667567336c5963332b4c62792f3630556867542b7256416d4543632b33796157465052696b6e786e5473424841754d706f54566556635635545234724131486c5055654a704b63796e534a53686859574a754b567269706f654d45694970314c717175314231694b697a39624364306e5a6d4e31734375726a64675033344577717a636e75547433636b673d3d.pdf</t>
  </si>
  <si>
    <t>SOBIA</t>
  </si>
  <si>
    <t>JALAL</t>
  </si>
  <si>
    <t>AFSHEEN</t>
  </si>
  <si>
    <t>IFRA</t>
  </si>
  <si>
    <t>HUMZA</t>
  </si>
  <si>
    <t>WASEEM</t>
  </si>
  <si>
    <t>MOIN</t>
  </si>
  <si>
    <t>BASMA</t>
  </si>
  <si>
    <t>SAYEED</t>
  </si>
  <si>
    <t>NUSUK-26-02-01032966</t>
  </si>
  <si>
    <t>A26020192993250</t>
  </si>
  <si>
    <t>https://doc.almosafer.com/api/download/4e428c0a023b8d1faa82c0290d85e4f2ALM327630516235752b2f4234574a436268583154342b4464716d597073424a517651344f64305a2b655930447132384d6d455733413166746168795472703041574165477430785676436a7a4a6453783366624a664d4747586170553238703548584f453132575a38326874466d5438376b65716750595a574c7949793131506266705a557070785655716e73734875693344436251413d3d.pdf</t>
  </si>
  <si>
    <t>NAZNEEM</t>
  </si>
  <si>
    <t>ZUBAIRALI</t>
  </si>
  <si>
    <t>NOORJAHAN</t>
  </si>
  <si>
    <t>SHAHINA</t>
  </si>
  <si>
    <t>SUMAN</t>
  </si>
  <si>
    <t>USHAH</t>
  </si>
  <si>
    <t>HAMID</t>
  </si>
  <si>
    <t>ASGHAR</t>
  </si>
  <si>
    <t>JAMAL</t>
  </si>
  <si>
    <t>DAJANI</t>
  </si>
  <si>
    <t>RUNA</t>
  </si>
  <si>
    <t>NUSEIBEH</t>
  </si>
  <si>
    <t>SANIA</t>
  </si>
  <si>
    <t>ZAHID</t>
  </si>
  <si>
    <t>ZAFRINA</t>
  </si>
  <si>
    <t>CHOWDHURY</t>
  </si>
  <si>
    <t>JAFFERY</t>
  </si>
  <si>
    <t>MUQHEET</t>
  </si>
  <si>
    <t>NUSUK-26-02-01020635</t>
  </si>
  <si>
    <t>A260201106793250</t>
  </si>
  <si>
    <t>https://doc.almosafer.com/api/download/7a3701875c75baa794eabb90e84ab6b8ALM46673052716b6e736d652f653138444e4577444b697152716c552f6251466554476c72593545632b31553059496d7431786264377475416e497135756c4232374b446c75362b31746d6e4374333239556b2f685a734541794b2f364661525a3065477a64483970686d75664738684961512b482b6d45366a61533155754a7855786a416b396e366f3575536d616e6251464b315265773d3d.pdf</t>
  </si>
  <si>
    <t>ATIKA</t>
  </si>
  <si>
    <t>BARACHE</t>
  </si>
  <si>
    <t>NUSUK-26-02-01018614</t>
  </si>
  <si>
    <t>A260201105253250</t>
  </si>
  <si>
    <t>https://doc.almosafer.com/api/download/60eebda7362bbde4d618e8b4bf9b111bALM4874465932476f56485272494b794c664c454a3443353250335345346b35734c5a5634755265556c5a6554394e7348522b37467072637056527732594161667242636b4630425858726842517a5267664e6b5572326952534c4b6c75674a47662f4e5479636737614e7a2f737239577051613858656d6e772b454d7139674246557a35382f3847506b3473614e44386d4165364858773d3d.pdf</t>
  </si>
  <si>
    <t>SABRINA</t>
  </si>
  <si>
    <t>ZUBAIR</t>
  </si>
  <si>
    <t>ARAIN</t>
  </si>
  <si>
    <t>SHERZOD</t>
  </si>
  <si>
    <t>MURATOV</t>
  </si>
  <si>
    <t>ALMUEZ</t>
  </si>
  <si>
    <t>ABDUKADR</t>
  </si>
  <si>
    <t>NUSUK-26-02-01036453</t>
  </si>
  <si>
    <t>A260201126403250</t>
  </si>
  <si>
    <t>https://doc.almosafer.com/api/download/b2e000ef4756a7fe04de84401a10dda1ALM30365230687476726b43424c752b706e4546314673576866722b484d394f6564616e78647963526a69506d4e3630443063346e4c4c436d6643425a656f5979535439505579426b6459395747474b7a526c6c653641676b524a50623867617853454861334b71352f4e58334372795145493455774945546e526d7031486d526d2f4155346546574c515558735a41346e2b36546c69413d3d.pdf</t>
  </si>
  <si>
    <t>ALA</t>
  </si>
  <si>
    <t>UDDIN</t>
  </si>
  <si>
    <t>ALMAS</t>
  </si>
  <si>
    <t>MAMDOUH</t>
  </si>
  <si>
    <t>BADAWI</t>
  </si>
  <si>
    <t>NUSUK-26-02-01030543</t>
  </si>
  <si>
    <t>A260201106523250</t>
  </si>
  <si>
    <t>https://doc.almosafer.com/api/download/dd750ad104b283b0b5c1fe4879c9e75aALM765a564c6e57326e67716d5162434744636a364673364e58556a734e414d356b77612b70642f5867376c32734f4a37682f4a444b526f71495a633067434d3141493567536e505045315974674272432b32657548715368426b70545166434374634d4d5679766934473762594157716871423574414156676c557475615952496b4b31793145477450643546382b58704c55707063673d3d.pdf</t>
  </si>
  <si>
    <t>MONA</t>
  </si>
  <si>
    <t>KARIMA</t>
  </si>
  <si>
    <t>RADWAN</t>
  </si>
  <si>
    <t>JESSICA</t>
  </si>
  <si>
    <t>TAREK</t>
  </si>
  <si>
    <t>HEBA</t>
  </si>
  <si>
    <t>HUDA</t>
  </si>
  <si>
    <t>ABU JARAD</t>
  </si>
  <si>
    <t>MOHAMED YOUSSEF</t>
  </si>
  <si>
    <t>BOUAOUINA</t>
  </si>
  <si>
    <t>تونس</t>
  </si>
  <si>
    <t>BARMARE</t>
  </si>
  <si>
    <t>NUSUK-26-02-01016070</t>
  </si>
  <si>
    <t>A260201102873250</t>
  </si>
  <si>
    <t>https://doc.almosafer.com/api/download/2e26d908b412f6f4eae931823ab2598bALM505a64325835646a542f746a6b72743463324e6d43374b4432474b307461623542413148644d725950356e44436e692f343565337a737839426f485773586e66386b56694a6353533334663476554d34734e5648587050466830585356306364722b6a637372495855652f4133597142396b31734470786c5632764e635572536c3963694842306c43334f545476536b3679704b72513d3d.pdf</t>
  </si>
  <si>
    <t>AHLMAHZ</t>
  </si>
  <si>
    <t>NEGASH</t>
  </si>
  <si>
    <t>NUSUK-26-02-00459317</t>
  </si>
  <si>
    <t>A260201114553250</t>
  </si>
  <si>
    <t>https://doc.almosafer.com/api/download/13df4cf2440d6187c13b646adaab4351ALM6e4d39656f3468503947756a2b6832774f343150684e414457587346364154507276746a474a56327a426e4e795177505264736c6e304d412b6542714a43486a365048454777595070787577756c4434676c724c4d3432665973792b792b63616d7552505543444746662b513272556a746148627773434e613132764b47796365633671344a65576d2b3063705057506f52494e71513d3d.pdf</t>
  </si>
  <si>
    <t>PARVEZ</t>
  </si>
  <si>
    <t>SAMIA</t>
  </si>
  <si>
    <t>QAZI</t>
  </si>
  <si>
    <t>QAZI QAISAR</t>
  </si>
  <si>
    <t>ANJUM</t>
  </si>
  <si>
    <t>MAQBOOL</t>
  </si>
  <si>
    <t>TANVEER P</t>
  </si>
  <si>
    <t>TAREG</t>
  </si>
  <si>
    <t>GHREDISH</t>
  </si>
  <si>
    <t>NUSUK-26-02-01023984</t>
  </si>
  <si>
    <t>A260201109953250</t>
  </si>
  <si>
    <t>https://doc.almosafer.com/api/download/ac1abe9e0e7cba7e64a197db0da2d2eaALM6d3071644e5556685879577a2b596b61453152673371787774373243766771384e356848736f702b675539517065526a6c382f733065766946355a703156764e537a486c555966456a4c723264423664784c557751756d76323431746938485261587550337359464c55553563357736546e56495a6c5a472b66672f4a4962355254447869506b5572547641756f65335069717049773d3d.pdf</t>
  </si>
  <si>
    <t>MUHAMMAD</t>
  </si>
  <si>
    <t>JANJUA</t>
  </si>
  <si>
    <t>SHEETAL</t>
  </si>
  <si>
    <t>PARDESHI</t>
  </si>
  <si>
    <t>MAIMOUNA</t>
  </si>
  <si>
    <t>ALBERTORIO</t>
  </si>
  <si>
    <t>BATOOL</t>
  </si>
  <si>
    <t>AL SHAER</t>
  </si>
  <si>
    <t>MOUTASIM</t>
  </si>
  <si>
    <t>MAROUAN</t>
  </si>
  <si>
    <t>YOUSSI</t>
  </si>
  <si>
    <t>MAYSOON</t>
  </si>
  <si>
    <t>AL HIHI</t>
  </si>
  <si>
    <t>ADEL</t>
  </si>
  <si>
    <t>DYUB</t>
  </si>
  <si>
    <t>YASSER</t>
  </si>
  <si>
    <t>ELSHATORY</t>
  </si>
  <si>
    <t>AMIRA</t>
  </si>
  <si>
    <t>ELDESOKY</t>
  </si>
  <si>
    <t>MALIK KASIM</t>
  </si>
  <si>
    <t>NUSUK-26-02-01042905</t>
  </si>
  <si>
    <t>A260201114493250</t>
  </si>
  <si>
    <t>https://doc.almosafer.com/api/download/96df88ae5fde52723c8e7a382dfbc0a0ALM5247375141774a4f6d433544366e324a6576325a54696f50704e594e554a754f4f3364547a756e3761566d6248566d4a2b4c544c2b6e7a4674594c615337732b71624642316247385658453542485a71416a55344f69586b6a6e2f556e764855325667427275536d416241384636636832456d3941376a56346b396861584867396258475133676d2b416c6e6e595271616951464a773d3d.pdf</t>
  </si>
  <si>
    <t>NOSHEEN NASEER</t>
  </si>
  <si>
    <t>ASAD</t>
  </si>
  <si>
    <t>HUSSAINI</t>
  </si>
  <si>
    <t>SHEIKH</t>
  </si>
  <si>
    <t>HAQUE</t>
  </si>
  <si>
    <t>TANIA</t>
  </si>
  <si>
    <t>RABBANI</t>
  </si>
  <si>
    <t>ELSEHETY</t>
  </si>
  <si>
    <t>AMIR</t>
  </si>
  <si>
    <t>SAEED</t>
  </si>
  <si>
    <t>NUSUK-26-02-01033490</t>
  </si>
  <si>
    <t>A26020190103250</t>
  </si>
  <si>
    <t>https://doc.almosafer.com/api/download/e12da8606b6099cceda26c9691612a2dALM436a62666234693453564f386633682f61553764556c65536c4655453474652f746d4e506654687a7a5361754d2f56556a596339376d496f55546152364d4953506237434f4972426e624d5347544b712b5935696b4479633738654c726749784c53736932543674475358444f5139384f6379736f5a4d645146305063734442754d486e3772746e576470483545326a3950584e77673d3d.pdf</t>
  </si>
  <si>
    <t>SANILA</t>
  </si>
  <si>
    <t xml:space="preserve">AHMED ESSOP </t>
  </si>
  <si>
    <t>MOOSA BUX</t>
  </si>
  <si>
    <t>NUSUK-26-02-01039946</t>
  </si>
  <si>
    <t>A26020199113250</t>
  </si>
  <si>
    <t>https://doc.almosafer.com/api/download/f9695acb987c406efd42c6f0e5aa3409ALM63374242486e727a4d63363357446e6d4d43415762732f514e7275587539713475555761327673694d636a4d6d5a35495248783967787368334650574659446e6e2f3262304b4544304435614243693731644c702f34594738307553372f76416156727a4153663167684b443862464c467346436d76384c3639595a4631376a4e54575535357342595566654b445a6230676c7255773d3d.pdf</t>
  </si>
  <si>
    <t>SALMAH</t>
  </si>
  <si>
    <t>HAFFEJEE</t>
  </si>
  <si>
    <t>RAHAT</t>
  </si>
  <si>
    <t>GODIL</t>
  </si>
  <si>
    <t>WAQQAS</t>
  </si>
  <si>
    <t>AFIF</t>
  </si>
  <si>
    <t>KHALED</t>
  </si>
  <si>
    <t>BADAWY</t>
  </si>
  <si>
    <t>ZUHAIR</t>
  </si>
  <si>
    <t>HAWA</t>
  </si>
  <si>
    <t>ZAINAB</t>
  </si>
  <si>
    <t>FARZANA</t>
  </si>
  <si>
    <t>NUSUK-26-02-01029014</t>
  </si>
  <si>
    <t>A260201101433250</t>
  </si>
  <si>
    <t>https://doc.almosafer.com/api/download/0ec03713d2e6064b10201592b55a999fALM6a4531476863644d446757536e47467a6c34682f65366a7a357470384772646557566a4c7471385a61756c5041414d45796d426869722b626d2b7961536c49317146675833444b642b5a6e4d2f5137326966795050754753762f786d696f32654c514666302f584e4d2b45495833483332653153722b664e617a312b784857314861486e6644664672504b6f786373713032433336413d3d.pdf</t>
  </si>
  <si>
    <t>HIRA</t>
  </si>
  <si>
    <t>RAFIQ</t>
  </si>
  <si>
    <t>AAMNA</t>
  </si>
  <si>
    <t>JAVED</t>
  </si>
  <si>
    <t>NADER</t>
  </si>
  <si>
    <t>FAROOQ RAMZAN</t>
  </si>
  <si>
    <t>NUSUK-26-02-01039945</t>
  </si>
  <si>
    <t>A26020197683250</t>
  </si>
  <si>
    <t>https://doc.almosafer.com/api/download/baf8004bb6f7218c44a4bb76bfc1db6bALM3470536b364c7559675a6854464e77785857586d3667435456755a745a785441674b463469786f45746968635037364843615176743069665a43326f6977565631376132687437475247726448542f704f4573767253334d30316e4558344a75646d36526d51722f635366514456515a7644475a46314759755761706c6162555a5461434c672b4a41374e696735726b514a4a6f33673d3d.pdf</t>
  </si>
  <si>
    <t>NAILA FAROOQ</t>
  </si>
  <si>
    <t>RAMZANALI</t>
  </si>
  <si>
    <t>TAIBA</t>
  </si>
  <si>
    <t>GUL</t>
  </si>
  <si>
    <t>NUSUK-26-02-00443678</t>
  </si>
  <si>
    <t>A26020187983250</t>
  </si>
  <si>
    <t>https://doc.almosafer.com/api/download/0d447cc7a9eff1e217061bc1f3c2e1a8ALM732b782f6b6662545132316a43374a6b58792f53474a52434959746a4b374d7476686f632f6666702b642f6d56775a53676d6f674b4a507249612f5a5a7641436869552b4156515452515235774b4d766166614652414548684c435241614455543379796733305635756579555237502b2f4f6d5175534f78706c3142424c353448484f77614f4f6a78696f5447517a424d544136413d3d.pdf</t>
  </si>
  <si>
    <t>MUNSHI</t>
  </si>
  <si>
    <t>FURHATH</t>
  </si>
  <si>
    <t>ARNOB</t>
  </si>
  <si>
    <t>NUSUK-26-02-01016597</t>
  </si>
  <si>
    <t>A260201125883250</t>
  </si>
  <si>
    <t>https://doc.almosafer.com/api/download/f057fc47b386cb94da3e513a2899cc79ALM503837465658464d72506f6671474534584876564a71646352447871352b4c37374d5a325130797733766e7559425064635a30337677695a4163754f4161706f456d726e5a5343394871557946546742315a4649634637494a674e773341427941674a425675646f7456376f6250764b44314f55794d6d4a453842584d464e624f78385961375161766868683737663078676b665a773d3d.pdf</t>
  </si>
  <si>
    <t>SADAF</t>
  </si>
  <si>
    <t>YAASER</t>
  </si>
  <si>
    <t>WAHEEDA</t>
  </si>
  <si>
    <t>OUAHIBA</t>
  </si>
  <si>
    <t>BENGUEDOUAR</t>
  </si>
  <si>
    <t>AGHA</t>
  </si>
  <si>
    <t>NUSUK-26-02-00451185</t>
  </si>
  <si>
    <t>A260201123103250</t>
  </si>
  <si>
    <t>https://doc.almosafer.com/api/download/8a97008d30bc7cf574180ae9bb27dcf8ALM627144624d6f636b4b44385858336a37756159556d66723855493561573744744e2b524e637365716a6d45356f3763582f5a5330387176736c6e5a354468434f6c4b795a2f5454565a6c447649725448695763412b6c69654b6a327173527452455a74783361635235574e654542343668386d6f495345465030306c64633941793577315a5076364d3267716a72785936445a6f49513d3d.pdf</t>
  </si>
  <si>
    <t>ACILLE</t>
  </si>
  <si>
    <t>ADHAL</t>
  </si>
  <si>
    <t>FAREEHA</t>
  </si>
  <si>
    <t>MAJEED</t>
  </si>
  <si>
    <t>MUHAMMAD SIAFUL</t>
  </si>
  <si>
    <t>YASMIN KHUDEZA</t>
  </si>
  <si>
    <t>FAREHA</t>
  </si>
  <si>
    <t>SIRAJ</t>
  </si>
  <si>
    <t>ANWAR ALDORISIO</t>
  </si>
  <si>
    <t>ANDREW</t>
  </si>
  <si>
    <t>ALDORISIO</t>
  </si>
  <si>
    <t>MUGIBUL</t>
  </si>
  <si>
    <t>NUSUK-26-02-01010616</t>
  </si>
  <si>
    <t>A260201109583250</t>
  </si>
  <si>
    <t>https://doc.almosafer.com/api/download/86cd9242720e06d8e9bcc581ad7365abALM497732652f6d6f54506935333574673533324274437a74704c6e74396c30432b39356831666854336b7461506c3176616c2f37657243586e62334e56423741785370385362627341536f2b41397443793061516e70474c466c4158594b6a48624f6750666155526c504d69626d666e5970486d773375304a624637313165445830665a2b72534a36547561776434534134342b6265413d3d.pdf</t>
  </si>
  <si>
    <t>SHAMMI</t>
  </si>
  <si>
    <t>RAFIUL</t>
  </si>
  <si>
    <t>RAMISAH</t>
  </si>
  <si>
    <t>NORA</t>
  </si>
  <si>
    <t>FLEMMING</t>
  </si>
  <si>
    <t>MICHAEL</t>
  </si>
  <si>
    <t>SAFI</t>
  </si>
  <si>
    <t>SAMEEA</t>
  </si>
  <si>
    <t>HAMMAD</t>
  </si>
  <si>
    <t>YAZAAN</t>
  </si>
  <si>
    <t>SYED MURTUZA</t>
  </si>
  <si>
    <t>HUSSAIN</t>
  </si>
  <si>
    <t>NUSUK-26-02-01010139</t>
  </si>
  <si>
    <t>A260201101273250</t>
  </si>
  <si>
    <t>https://doc.almosafer.com/api/download/a2e5b84eed2b8585e064ef2af87f2a63ALM304b6959514a584232716d774c30676c432f6a7a5933575a4a5952794330684f47564a534e34436f694a7453346b6d37624c56743853532b685850645a4f3768744e454734303547386e64795a71364932584739324a523633707935345a757862545a495575673551674b3032676a5757456e506d706b6b7745473678522f53664c4d57662b514b526668466543304e6e5245744a413d3d.pdf</t>
  </si>
  <si>
    <t>SYED SHAHID</t>
  </si>
  <si>
    <t>HABIBA</t>
  </si>
  <si>
    <t>FARAH SYED</t>
  </si>
  <si>
    <t>GHOUSE</t>
  </si>
  <si>
    <t>SOHAIL</t>
  </si>
  <si>
    <t>ATIYA</t>
  </si>
  <si>
    <t>AIJAZ</t>
  </si>
  <si>
    <t>MUSLEH</t>
  </si>
  <si>
    <t>NABIL SALAH</t>
  </si>
  <si>
    <t>WAFA NABIL</t>
  </si>
  <si>
    <t>TAMAM ATA</t>
  </si>
  <si>
    <t>KAMLEH</t>
  </si>
  <si>
    <t>SHAMAILA</t>
  </si>
  <si>
    <t>SHAHIDA</t>
  </si>
  <si>
    <t>RAZIA</t>
  </si>
  <si>
    <t>HASHMI</t>
  </si>
  <si>
    <t>ZESHAUN</t>
  </si>
  <si>
    <t>KHAWAJA</t>
  </si>
  <si>
    <t>NUSUK-26-02-01020597</t>
  </si>
  <si>
    <t>A26020191813250</t>
  </si>
  <si>
    <t>https://doc.almosafer.com/api/download/09687d8694c6a282a14413ca77afda3bALM6a31586f46564f3876683744394b367a3935476c32685059685a51632f594b7a6c7236337579744c477a795361634a38723633716f6f4450383750624672344d59506256714861336572397a456e473671474d3441737364762b3751764943613248547257565963367152706c52496575547659447a626f6239764964486f4a33584633647848547339326f59783564307a4a7375413d3d.pdf</t>
  </si>
  <si>
    <t>ZAHRA</t>
  </si>
  <si>
    <t>NUSUK-26-02-01020070</t>
  </si>
  <si>
    <t>A26020187443250</t>
  </si>
  <si>
    <t>https://doc.almosafer.com/api/download/15b232d0a9fba8c03d79a8151fe53829ALM4b4542695671783535304138554d796d6552377a6d44713041693274714a4f38545044553870575574304a4f5341503336517444687245724c52476d7747756e3139307574466e706b373139506f633242536270346a507a4268414d4f445279704d4b626e425a66456e564d7a78555739397a386d78367a726d4a4d4f34614253562b476d76476330335345362b486a55624a7054673d3d.pdf</t>
  </si>
  <si>
    <t>NIGAREEN</t>
  </si>
  <si>
    <t>FARHAT</t>
  </si>
  <si>
    <t>NAFISAH</t>
  </si>
  <si>
    <t>ATIEQUE</t>
  </si>
  <si>
    <t>NAZIR</t>
  </si>
  <si>
    <t>AROOJ</t>
  </si>
  <si>
    <t>ARIFA</t>
  </si>
  <si>
    <t>HAROON</t>
  </si>
  <si>
    <t>NUSUK-26-02-01032516</t>
  </si>
  <si>
    <t>A260201107753250</t>
  </si>
  <si>
    <t>https://doc.almosafer.com/api/download/8a032aee6598527be613d5ba97f702b3ALM6268494d6b385468435073506f6661774c44347a746979594d4332526353684f4c637150586866494d764d486250567365762f444179556f335766554c4d53514b31374c3258782f32586a343569685934697471706b78697353357746666b3850304a304c667835466e747a706d507a44472f644d576744382b44534837556f645239673945656946734374566b6668726a533942513d3d.pdf</t>
  </si>
  <si>
    <t>UZMA MARIAM</t>
  </si>
  <si>
    <t>UMER</t>
  </si>
  <si>
    <t>MUMTAZ</t>
  </si>
  <si>
    <t>NUSUK-26-02-01008622</t>
  </si>
  <si>
    <t>A260201106213250</t>
  </si>
  <si>
    <t>https://doc.almosafer.com/api/download/280bda2351ac5781a51fee416c2976d9ALM71424f585a6664413947424c35612f53796a4f796f412f68615665496e4a464b737576462b666e3431333447594b4a6d35486669684e324a4a5577736b5a3473323333574f434e716b7873613946305a567346326e686b693457616f326c565069736a7a496c584f5a77385643593473632f4c68316b45705274317670506b4745415434332b48614f5247535a38362f666f385233673d3d.pdf</t>
  </si>
  <si>
    <t>RUKHSANA</t>
  </si>
  <si>
    <t>YASMEEN</t>
  </si>
  <si>
    <t>MARIA</t>
  </si>
  <si>
    <t>WAHEED</t>
  </si>
  <si>
    <t>NUSUK-26-02-01024627</t>
  </si>
  <si>
    <t>A260201129723250</t>
  </si>
  <si>
    <t>https://doc.almosafer.com/api/download/95c97d2c0abaaf812713605ac1cd40a6ALM3059344e64774154536356344541672b4b4364413835796a6a6b474171747345336e6430516946746d6f5775754448392f34644b6d6f5439364b63563259337276444e6f544379734e76374b5a2b746f5076453052346a614c34587a2b79534b3369365a4e48716956326c465a5a57616b484a4e4f676f57665338552f564a643745714e76334e7375394e4333436f346a48306573773d3d.pdf</t>
  </si>
  <si>
    <t>ASIMA</t>
  </si>
  <si>
    <t>YUNUS</t>
  </si>
  <si>
    <t>JAWAD</t>
  </si>
  <si>
    <t>FAROOQ</t>
  </si>
  <si>
    <t>EJAZ</t>
  </si>
  <si>
    <t>BADRAN</t>
  </si>
  <si>
    <t>REHAM</t>
  </si>
  <si>
    <t>SHEHATA</t>
  </si>
  <si>
    <t>ABDUS</t>
  </si>
  <si>
    <t>VIQAR</t>
  </si>
  <si>
    <t>SALATEEN PASHA</t>
  </si>
  <si>
    <t>NASIR</t>
  </si>
  <si>
    <t>EL HACHMIA</t>
  </si>
  <si>
    <t>FRICHICHE</t>
  </si>
  <si>
    <t>SWALIHA</t>
  </si>
  <si>
    <t>SARFARAZ</t>
  </si>
  <si>
    <t>NUSUK-26-02-01037423</t>
  </si>
  <si>
    <t>A260201104643250</t>
  </si>
  <si>
    <t>https://doc.almosafer.com/api/download/aed262e4da97be49fc93a1f7ca332011ALM736642684b4f2f667053334668695437526d5476564f543564556e37744579616b746644716b3933793342533564675071725634593879487553566a2f594630536846324d46597166394d433752654f684b4e2f50366f6965527274666757455a5a4b53515664393837716e78574f7a6b637a57696f72453053323977374a3777595634334a6f64344764422b6d5a75386a50676c413d3d.pdf</t>
  </si>
  <si>
    <t>AMEIN</t>
  </si>
  <si>
    <t>JOURNI</t>
  </si>
  <si>
    <t>NUSUK-26-02-01033529</t>
  </si>
  <si>
    <t>A260201112513250</t>
  </si>
  <si>
    <t>https://doc.almosafer.com/api/download/ecf75d11776999ff367223c5ab65ada3ALM4a696e7437646648344e53306d72522f4170364f5a6869716942337864505172723469433374553162666c5231545a674734676f515147527239394b6337337a7541346668592b364e7170346b6367625a44452f67766873753378305834394d624332457275387551384a58385a7157334a6376714c396a3379396f4e6968444a32525338376463386737532f58517763667a4441513d3d.pdf</t>
  </si>
  <si>
    <t>SOLA</t>
  </si>
  <si>
    <t>سانت كتس ونيفيس</t>
  </si>
  <si>
    <t>NUSUK-26-02-01021113</t>
  </si>
  <si>
    <t>A260201109103250</t>
  </si>
  <si>
    <t>https://doc.almosafer.com/api/download/05f59789eaa7f3f1f9ba5ffaa5d9f118ALM4f6f73523679646a687264616c6c7031664a43634b44716c6355706c78426d327158417656786f62444a727a6f567275354e4c34375132386539586f70564b37796c79512b334f71476c33397879373349696f63776d31724a76576176613370586643646a77734641744d544376627a4b6e7930346c31577849615777456846632b4d5a4135686750514b77454359675539454765673d3d.pdf</t>
  </si>
  <si>
    <t>FATMA</t>
  </si>
  <si>
    <t>HABIBI</t>
  </si>
  <si>
    <t>MUHAMMED</t>
  </si>
  <si>
    <t>MOOLA</t>
  </si>
  <si>
    <t>NUSUK-26-02-01027493</t>
  </si>
  <si>
    <t>A26020187073250</t>
  </si>
  <si>
    <t>https://doc.almosafer.com/api/download/1100ae2b6415ea59cd7787af8ef93484ALM346b63736d2b67726b79634e4d656b70612f5937686e76536c59746f785859575a7a3254697a3977764c764b426172324a32444d75474f6668446d472b3763417675424e7741366771734854486e4d4a343873736c5164746471456b556a723368466f515a2b364c6837734b3970476a55487251786b646b49425350496d4f4f686c78544c565846644b566c55773269745336762b513d3d.pdf</t>
  </si>
  <si>
    <t>SULIMAN PARUK</t>
  </si>
  <si>
    <t>RAEESA</t>
  </si>
  <si>
    <t>UWAIS</t>
  </si>
  <si>
    <t>GONTSE</t>
  </si>
  <si>
    <t>NKUNA</t>
  </si>
  <si>
    <t>MARDIYYAH</t>
  </si>
  <si>
    <t>BASTE</t>
  </si>
  <si>
    <t>MUZYAN</t>
  </si>
  <si>
    <t>SALAH</t>
  </si>
  <si>
    <t>ZUHDI</t>
  </si>
  <si>
    <t>MOHAMAD HISHAM</t>
  </si>
  <si>
    <t>BIN BUANG</t>
  </si>
  <si>
    <t>NUSUK-26-02-01032512</t>
  </si>
  <si>
    <t>A260201106403250</t>
  </si>
  <si>
    <t>https://doc.almosafer.com/api/download/ba1c17df18f62fbf90825bcb619a9ba5ALM3037536f506e5a6468617750784b4a685252323775534d4b61644d79503542762b594a6c5258674d65656e734a6b2b593539526e775046392f45734d6d4f6f2b353049664238563353537243656c5a74394b7049306d6c69347148436145473577623358674f6650762b712f467372456959572b616d6f5a54636f6648425639667533336a4e6b71592f48334366436a3954545446413d3d.pdf</t>
  </si>
  <si>
    <t>NORMALIS</t>
  </si>
  <si>
    <t>NUR NATASHA</t>
  </si>
  <si>
    <t>ELSAYED</t>
  </si>
  <si>
    <t>MOHAMEDEN</t>
  </si>
  <si>
    <t>AHMEDOU ABOUBY</t>
  </si>
  <si>
    <t>ZEYN</t>
  </si>
  <si>
    <t>ESSOP</t>
  </si>
  <si>
    <t>NUSUK-26-02-01024589</t>
  </si>
  <si>
    <t>A260201112503250</t>
  </si>
  <si>
    <t>https://doc.almosafer.com/api/download/a4b551587953932395bde7194eb93b10ALM5852637a7a3342525541556a484571434b4d597555316569685a5771576234635755556738577a4d72513436365330753963477a5068394f51396e796c6f6b7439394154426f32454f6872335752633642486c61395043716e462f5433465775352f4d5936532f724e456b6a4d6a353164545a32516e4175376b7a57624445664f5a7a506a6b543565634163784665505654536765513d3d.pdf</t>
  </si>
  <si>
    <t>NAZMEERA</t>
  </si>
  <si>
    <t>TAYOB</t>
  </si>
  <si>
    <t>ROBERT</t>
  </si>
  <si>
    <t>HULL</t>
  </si>
  <si>
    <t>NUSUK-26-02-01021566</t>
  </si>
  <si>
    <t>A26020192943250</t>
  </si>
  <si>
    <t>https://doc.almosafer.com/api/download/9b80dffda030de87d0adb1478a2a0823ALM706151784f6a5969573331564454737a796c594643526c4476464472557339347979366c7048754b74653444484c3572375446433758316a4b4c35627169647933706d624c5334366f38614a396946462f474259342f4772624e387639786d7579336d45343939782f51356176587066746c464a747868504475636e44505457613970754479416b6d6c3254675654423179526374513d3d.pdf</t>
  </si>
  <si>
    <t xml:space="preserve">HANI SURIYA </t>
  </si>
  <si>
    <t>ماليزيا</t>
  </si>
  <si>
    <t>THANZEELU</t>
  </si>
  <si>
    <t>KILIYANKOTTARAT</t>
  </si>
  <si>
    <t>NUSUK-26-02-01029002</t>
  </si>
  <si>
    <t>A26020190633250</t>
  </si>
  <si>
    <t>https://doc.almosafer.com/api/download/5a6634e774a9f83caab99408eb61b533ALM62675642587056733165616643624c304555715848694732697058385343764a6b3144726a665037785836785433474344774f6d44574a654f57706a5a52656937674a656e66593551536d3970335a4a663732772b6e6b534b5a33316869336638755469686b6b7058585268314b30667a2f5571785239436e306c6c2f55572b4f4d4568766e354b63616a59466331464f6e564f39513d3d.pdf</t>
  </si>
  <si>
    <t>SHAGOOFA</t>
  </si>
  <si>
    <t>SHARAFUDEEN</t>
  </si>
  <si>
    <t>SHABIR UD DEEN</t>
  </si>
  <si>
    <t>THANTREY</t>
  </si>
  <si>
    <t>SAMIR</t>
  </si>
  <si>
    <t>ADEELA</t>
  </si>
  <si>
    <t>NADRA</t>
  </si>
  <si>
    <t>SONGUL</t>
  </si>
  <si>
    <t>TERZI</t>
  </si>
  <si>
    <t>NUSUK-26-02-00448608</t>
  </si>
  <si>
    <t>A26020193883250</t>
  </si>
  <si>
    <t>https://doc.almosafer.com/api/download/a6dbb1521a1ce0aefbd027c8eb53fc31ALM71734e625945427a5a2f35784e577362306b436d2b455134764c4c735a79696834447431493878584a366f4c637031594d54505976305349544f4f6e4d644271414443624e71766733756850583078695458766c74392b6c4e366e42373258446c554f4377524b3270554f71415942744a4437502b58676c3749474b56446b4d417259643339762f356e547963616f68783779702f773d3d.pdf</t>
  </si>
  <si>
    <t>JOSE</t>
  </si>
  <si>
    <t>FIGUEROA</t>
  </si>
  <si>
    <t>BHATTI</t>
  </si>
  <si>
    <t>SHARIFF</t>
  </si>
  <si>
    <t>ANISUL</t>
  </si>
  <si>
    <t>NUSUK-26-02-01027492</t>
  </si>
  <si>
    <t>A26020191713250</t>
  </si>
  <si>
    <t>https://doc.almosafer.com/api/download/be921e52d11ddd9a073fd2868075eab3ALM6e70696e46494f4e6563687a6c70477535374b5974484a704a667130734b2f523538637547416d55692b5768324d54495941356b69646636472f2b626334686732567a796d55566d6c7770794a4f386438313864585a74686b675a6e5459614d564d4d3259673756716b437658546463375339446f48656152436f61544e6961786f6c42514b436f335858307155632f6763505773673d3d.pdf</t>
  </si>
  <si>
    <t>SYEDA</t>
  </si>
  <si>
    <t>SULTANA</t>
  </si>
  <si>
    <t>KALLA</t>
  </si>
  <si>
    <t>NUSUK-26-02-01029543</t>
  </si>
  <si>
    <t>A26020190023250</t>
  </si>
  <si>
    <t>https://doc.almosafer.com/api/download/9d5cf15521004cfde531b93e45a823d9ALM376c6f6453616a4449306f4f776a6f38782b4657784a5a2b3436357773575a61414957597a346244775a396d42546c4d444b45396f6f4268474952566575616a495a65553549396532465a6b516776506738327a4d66714957385a4d68364876332b307350566e69697953593473436e7258736c55303771664e677751375844736d6a6f4c676f774e676b35367835456f506d6c69413d3d.pdf</t>
  </si>
  <si>
    <t>SHARIFA</t>
  </si>
  <si>
    <t>ANAM</t>
  </si>
  <si>
    <t>ABRAR</t>
  </si>
  <si>
    <t>BUTT</t>
  </si>
  <si>
    <t>ASSAR</t>
  </si>
  <si>
    <t>SABAH</t>
  </si>
  <si>
    <t>MAI</t>
  </si>
  <si>
    <t>SOLIMAN</t>
  </si>
  <si>
    <t>NUSUK-26-02-01013996</t>
  </si>
  <si>
    <t>A26020194773250</t>
  </si>
  <si>
    <t>https://doc.almosafer.com/api/download/766613f72f855e6dfb6dee47571bb2daALM77336b6a6b3851377470784b504c712f59764739742f46736462506e62766f4e674f2b475a514e564d666c565638624c584953787a7979416e6d63574f7a37363753612f68556c3171553569664d41666d6d7966367576357330764a4875747751424a446e7a63576c764462775a2b34776a4f4d714c5934416f58725a776457505057534964734c7148377a784256355462517857513d3d.pdf</t>
  </si>
  <si>
    <t>BAKHTIAR</t>
  </si>
  <si>
    <t>ALIYA</t>
  </si>
  <si>
    <t>MAHMOUD</t>
  </si>
  <si>
    <t>HAILAT</t>
  </si>
  <si>
    <t>NUSUK-26-02-00457827</t>
  </si>
  <si>
    <t>A260201102313250</t>
  </si>
  <si>
    <t>https://doc.almosafer.com/api/download/80b6c04f1b12c52f5a03f93bb3bcbe08ALM537a36426858794e4b6778674f7446452f464b66444d5a76647658333050425551556974744b5257677378464b644d5a6c614736454d6d6e594e796545617044794953554a633752484566483576754c7567783642504f3143734b5a4a68302b3171746332435349792f52546d365773322b373376566e415656566672764c64584a6354347a3036685363453950657655374c4666673d3d.pdf</t>
  </si>
  <si>
    <t>FADIA</t>
  </si>
  <si>
    <t>ALRJOOB</t>
  </si>
  <si>
    <t>BOUDRAF</t>
  </si>
  <si>
    <t>NUSUK-26-02-01012499</t>
  </si>
  <si>
    <t>A260201101943250</t>
  </si>
  <si>
    <t>AHMAD HOSAM</t>
  </si>
  <si>
    <t>SHABAIK</t>
  </si>
  <si>
    <t>MAYAS</t>
  </si>
  <si>
    <t>DAMER</t>
  </si>
  <si>
    <t>ABOKHAMIS</t>
  </si>
  <si>
    <t>NUSUK-26-02-00453146</t>
  </si>
  <si>
    <t>A260201113063250</t>
  </si>
  <si>
    <t>https://doc.almosafer.com/api/download/9ab5dd109eda4eb39257dce87ac16e63ALM2f35426c6b624369522b4b6b39306a4b356c52473937312f2b6f626a4f6c695153452f6d47524f313368364338797a45507171477949542b6461724853374e747657386a4733425869495241334d446839524436794d3772415a33652b686c744d417474765034666e506235436e36464f3433764d656635736879717768674f383969774338786a774272574655546c6471496e77413d3d.pdf</t>
  </si>
  <si>
    <t>MULLAH</t>
  </si>
  <si>
    <t>MISHEL</t>
  </si>
  <si>
    <t>SOUAD</t>
  </si>
  <si>
    <t>FETH</t>
  </si>
  <si>
    <t>NAJEH ELIDRISSI</t>
  </si>
  <si>
    <t>ASNA</t>
  </si>
  <si>
    <t>OUMOU KHAIRY</t>
  </si>
  <si>
    <t>BA</t>
  </si>
  <si>
    <t>SEYDOU NOUROU</t>
  </si>
  <si>
    <t>SHAFI</t>
  </si>
  <si>
    <t>ABID</t>
  </si>
  <si>
    <t>BHAT</t>
  </si>
  <si>
    <t>ALI KHAN</t>
  </si>
  <si>
    <t>CHEEMA</t>
  </si>
  <si>
    <t>MADIHA</t>
  </si>
  <si>
    <t>LOUBNA MZAALAK</t>
  </si>
  <si>
    <t>TAZI</t>
  </si>
  <si>
    <t>DARRICK CONWAY</t>
  </si>
  <si>
    <t>SECONI</t>
  </si>
  <si>
    <t>FAIZAN</t>
  </si>
  <si>
    <t>AZMAT</t>
  </si>
  <si>
    <t>JAMIL</t>
  </si>
  <si>
    <t>RIMAH</t>
  </si>
  <si>
    <t>NUSUK-26-02-01030077</t>
  </si>
  <si>
    <t>A260201124163250</t>
  </si>
  <si>
    <t>https://doc.almosafer.com/api/download/2a2377c12872c95e97d90e1688e53ee1ALM55574f622f422b463879634c6e48627a572f456833386d552b6541717830506e654a73494b57303545376a4a5436755836747a655770452f686f724550596c524e354571774138626b4b73696c4853364a356869586e2f2f7778446a4f6f61413441776934646e6e7233366869467a6d773535344149736f724259774f4b62754e683371774a4e4a652f7539624b77583138737977413d3d.pdf</t>
  </si>
  <si>
    <t>ZAHRAH</t>
  </si>
  <si>
    <t>ESSACK</t>
  </si>
  <si>
    <t>NUSUK-26-02-01014514</t>
  </si>
  <si>
    <t>A260201116553250</t>
  </si>
  <si>
    <t>https://doc.almosafer.com/api/download/79a5950c5e1849ceb9b1991f62d7188aALM7a5457306446453071627059757148625470485553306a376679307074325a32724b316f4a7363546856437154354557674b346d5164795a74716341317268464d547a78373777732f335853776959752f305173634a61515262654a736e7053354b41704577374d674346485539334c576d4c313643466650564277555a43436a6f38432b79634757434a507161346d342b6b6163513d3d.pdf</t>
  </si>
  <si>
    <t>AKOOB KHAMISSA</t>
  </si>
  <si>
    <t>MAHA</t>
  </si>
  <si>
    <t>SAIGOL</t>
  </si>
  <si>
    <t>SHARIQ TARIQ</t>
  </si>
  <si>
    <t>ZAMEER</t>
  </si>
  <si>
    <t>ALSUHAIL</t>
  </si>
  <si>
    <t>HADEEL</t>
  </si>
  <si>
    <t>ALAMEER</t>
  </si>
  <si>
    <t>REEHAN</t>
  </si>
  <si>
    <t>HADIA</t>
  </si>
  <si>
    <t>MOHAMMED QAMRUL</t>
  </si>
  <si>
    <t>HOQUE</t>
  </si>
  <si>
    <t>QAMRUN</t>
  </si>
  <si>
    <t>NISA</t>
  </si>
  <si>
    <t>MAROUANE</t>
  </si>
  <si>
    <t>AJMI</t>
  </si>
  <si>
    <t>NUSUK-26-02-01020141</t>
  </si>
  <si>
    <t>A260201118963250</t>
  </si>
  <si>
    <t>https://doc.almosafer.com/api/download/d495a9efb8d78c808a2ebbca3cb911dcALM6879694350416d4b776d71587a3143664c536f7255566e424856527a66575a4d4f444e6579786a6c494673304c376a4d35516b7762344e37467134327a7455513643474b4a5641477a6d7951466a6a783049495856474278314d79396437694c726b502b5666646f52633842545953463253776b5a4a4f417a417562343947747a58627776696d6a4f78496a67593970374e424248513d3d.pdf</t>
  </si>
  <si>
    <t>HAFSA</t>
  </si>
  <si>
    <t>MOHIUDDIN</t>
  </si>
  <si>
    <t>WALEE</t>
  </si>
  <si>
    <t>KAZMI</t>
  </si>
  <si>
    <t>UROOBA</t>
  </si>
  <si>
    <t>MIR WASIF</t>
  </si>
  <si>
    <t>SHUMAILA</t>
  </si>
  <si>
    <t>RUBINA</t>
  </si>
  <si>
    <t>AKM</t>
  </si>
  <si>
    <t>HOSSAIN</t>
  </si>
  <si>
    <t>RUBAYAT</t>
  </si>
  <si>
    <t>TAMER</t>
  </si>
  <si>
    <t>NUSUK-26-02-01009725</t>
  </si>
  <si>
    <t>A260201132793250</t>
  </si>
  <si>
    <t>https://doc.almosafer.com/api/download/4f8699af69742b97b97f6a73ee405abaALM70466a365257626254763962463170544a456e4e4c2b4530346758447542494932645572585657505a3252584732504f5172326b6834504c423766436a7930737942734172587564446d554773596e4f476a4c75765437597958752f4847454343626935597368583031506d752b626e4f746e61487a71364646766f726967482f4241475a526b3547783836344a64536447523276673d3d.pdf</t>
  </si>
  <si>
    <t>BAGHDADI</t>
  </si>
  <si>
    <t>KHALDIA</t>
  </si>
  <si>
    <t>HESHAM</t>
  </si>
  <si>
    <t>NUSUK-26-02-01030166</t>
  </si>
  <si>
    <t>A260201137783250</t>
  </si>
  <si>
    <t>https://doc.almosafer.com/api/download/71f6ad38db70984f47448d77a0069847ALM6259326e4a72394d4f484a4459764c4f395679596d674669533531316d36424e7464384a564e47716e61644a48374779674668446d6376754d346948597739716563753232563838776d62706d452b54517258497a703466616c46655a7777307151455a683841656f5867674c6b7765716766616c5469354b50317a32737a4d615257656d505a396c734d72306d49487738702f73413d3d.pdf</t>
  </si>
  <si>
    <t>ELZARKI</t>
  </si>
  <si>
    <t>NUSUK-26-02-01051945</t>
  </si>
  <si>
    <t>A260201143793250</t>
  </si>
  <si>
    <t>https://doc.almosafer.com/api/download/042a7ae03175386eef0baa574c68c98aALM764b78756a554b69386977345347784a7a39375a32582b3851434f4644784236546b69554d3154306659344e4d3648395778672b797a656830684b4c737863756f6567752b2b307a4138764f4f35343069622f416849385034586c5a2f4f545a672f2f57737333717032776d57586e635637306d55704a6e7942386a565545674a44416d744a516e66416d387563363166706a3851413d3d.pdf</t>
  </si>
  <si>
    <t>ABUBAKER</t>
  </si>
  <si>
    <t>ليسوتو</t>
  </si>
  <si>
    <t>NUSUK-26-02-01043212</t>
  </si>
  <si>
    <t>A260201150143250</t>
  </si>
  <si>
    <t>https://doc.almosafer.com/api/download/8cdb370cb3dd7e196554510d7cc8371dALM49505734527543566d68477454464f2b51785078786b3146374e317643314c4148784661667573732b547041654a443030387a73714d396c492b576567736739794f4b307041785a5149306b4f534f51676479344a51634442367967686d6f66626954314156586e503152364b736c396a594b4c592f4e68484e417a4535616b7752736f2b4a583066784b66566f4d39666d6c5445673d3d.pdf</t>
  </si>
  <si>
    <t>IMRAN</t>
  </si>
  <si>
    <t>NOORMAHOMED</t>
  </si>
  <si>
    <t>NUSUK-26-02-01045947</t>
  </si>
  <si>
    <t>A260201196573250</t>
  </si>
  <si>
    <t>https://doc.almosafer.com/api/download/b18c4abf4f31848ba10194a99d46e268ALM56375a4c63446b72494330525a56654548666a5151384f4c39577674524545484b544a734e314d666a5036367139626f6c423950325545736c556a3077716353554534654557614f42525a2f4d3973586a396262485736646b7a51334c692f694465664e47396d46447a47564e6e746365345969325a66426a5542536951374235636a3754614b495a6b6f5a394e4f716f4d4d7659773d3d.pdf</t>
  </si>
  <si>
    <t>ANISA</t>
  </si>
  <si>
    <t>PARKAR</t>
  </si>
  <si>
    <t>AKBANI</t>
  </si>
  <si>
    <t>NILOFER</t>
  </si>
  <si>
    <t>BENSARIA</t>
  </si>
  <si>
    <t>NUSUK-26-02-01066483</t>
  </si>
  <si>
    <t>A260203195013250</t>
  </si>
  <si>
    <t>https://doc.almosafer.com/api/download/b27091ae4d3eefb14e4596d5d40b1302ALM3036326e2b6d666f4d497a594870546e6a386d74314743324c6e6a4d314f544b4d4c61372b3132777a44732b6c7541765531454969396d634269784576547437474e344d7a4f345333754f654f5039624552474e4d567675466554646378716b7a47436b4d75466b454547594952587a584f35744e43612b7667354b596f696d3331347162545a304a7a47526648504e7275326735673d3d.pdf</t>
  </si>
  <si>
    <t>ABDELGHANINABIL</t>
  </si>
  <si>
    <t>TOUMIAT SOUYAH</t>
  </si>
  <si>
    <t>أسبانيا</t>
  </si>
  <si>
    <t>NUSUK-26-02-01065910</t>
  </si>
  <si>
    <t>A260203177953250</t>
  </si>
  <si>
    <t>https://doc.almosafer.com/api/download/f6aadd71e6434daf7ab3414f85d3742fALM526a55546b66674f53734e4a2f31462f57444e6932757454514a5559634c4b306d564265504f545a61667268634d6271787474794936497a386a396a4e5762555a51534f705246335836712f434330726e3430506e685859486f4b35577a73356d5850707a3977553631446272416554566a644c38315444777064762f30624a6671486b4632573964504b5a5277426b4552795853413d3d.pdf</t>
  </si>
  <si>
    <t>DALILA</t>
  </si>
  <si>
    <t>DROUICHE</t>
  </si>
  <si>
    <t>الجزائر</t>
  </si>
  <si>
    <t>NASSIM</t>
  </si>
  <si>
    <t>BENGANA</t>
  </si>
  <si>
    <t>NUSUK-26-02-01063187</t>
  </si>
  <si>
    <t>A260203196643250</t>
  </si>
  <si>
    <t>https://doc.almosafer.com/api/download/fac5f993b2430003585773e1f93df7d1ALM2f692f6b794d78547a6e4d70303968466e3254494e56747336524532563165635675512f6263556a7370697743466f344743433058644171613354434e6b484d4e646756783856486b4d54365741756346655353464a702b46477a742f5a4e422f45704861446b7a41764d465456612f61694b6257754e505349677557744f4d686f372f47485241545445494d41576c4846523646673d3d.pdf</t>
  </si>
  <si>
    <t>BABY</t>
  </si>
  <si>
    <t>البرتغال</t>
  </si>
  <si>
    <t>NUSUK-26-02-00477112</t>
  </si>
  <si>
    <t>A260207146473250</t>
  </si>
  <si>
    <t>https://doc.almosafer.com/api/download/1ba5a46bd118ce25871167ebfff580e1ALM7077596575674e78445834524f7343377a417331417670764b506c6c6f5849616d5369436e4b644f6159697855324e2f7344432b417142467834343472794e76312b747945566672436b2f45387a6541734a3653494e414749494f6e6b7a7579314d7a43662f4c4a674b31635073444c4b696e36477270656277776e34742b5278365331394a64706f72304d37594934687831566a413d3d.pdf</t>
  </si>
  <si>
    <t>NASIMBANU</t>
  </si>
  <si>
    <t>RAIDHAN</t>
  </si>
  <si>
    <t>SUHAYB</t>
  </si>
  <si>
    <t>ZAVERI</t>
  </si>
  <si>
    <t>NUSUK-26-02-000005940</t>
  </si>
  <si>
    <t>A26022056163250</t>
  </si>
  <si>
    <t>https://doc.almosafer.com/api/download/a0d08047109b7ce091c4bc1be18599c2ALM75774e54496f3257325634355a6e3872366846736a7a625141336e4d2f6f566971306e6253316f446f44545238327962654f4a483844546e4847304f6d4d7676554139626f5a62725a756c527152395070766d32327562797674776c302b575243384e4962545471366f6f345069522f5254516a504476792b556470472f6e3945706267514c516f79757371467a6f6b66572f6641513d3d.pdf</t>
  </si>
  <si>
    <t>ENGAR</t>
  </si>
  <si>
    <t>SHABISH</t>
  </si>
  <si>
    <t>فانويتو</t>
  </si>
  <si>
    <t>NUSUK-26-02-000016270</t>
  </si>
  <si>
    <t>A26022477053250</t>
  </si>
  <si>
    <t>https://doc.almosafer.com/api/download/cb7f0bebb21a9067a3a59701d2e4592cALM42702f462b45316b516b5545475a453737456c4678546258446c704a555a497a743845462b424462366f4c374e675a6b622b496639534c7470364d712f6176346772644d4d70737a64485a4343496c7344454c6c4a463334446156687a4b3771527a6f51764d5051424e6465576f4b4c574d5736382b4d706876767a4e32655357466a6c49577a6d436270342f306c466c6f4a7674513d3d.pdf</t>
  </si>
  <si>
    <t>WANISA</t>
  </si>
  <si>
    <t>ABDULQADER</t>
  </si>
  <si>
    <t>nusuk_id</t>
  </si>
  <si>
    <t>group_id</t>
  </si>
  <si>
    <t>gender</t>
  </si>
  <si>
    <t>first_name</t>
  </si>
  <si>
    <t>last_name</t>
  </si>
  <si>
    <t>birth_date</t>
  </si>
  <si>
    <t>guide_name</t>
  </si>
  <si>
    <t>residence_country</t>
  </si>
  <si>
    <t>nationality</t>
  </si>
  <si>
    <t>package_id</t>
  </si>
  <si>
    <t>Flight_contract_type</t>
  </si>
  <si>
    <t>flight_contract_name</t>
  </si>
  <si>
    <t>visa_status</t>
  </si>
  <si>
    <t>inside_kingdom</t>
  </si>
  <si>
    <t>ticket_number</t>
  </si>
  <si>
    <t>ticket_URL</t>
  </si>
  <si>
    <t>camp</t>
  </si>
  <si>
    <t>pilgrims</t>
  </si>
  <si>
    <t>source ( nusuk)</t>
  </si>
  <si>
    <t>source ( svusenusuk website data )</t>
  </si>
  <si>
    <t>male</t>
  </si>
  <si>
    <t>female</t>
  </si>
  <si>
    <t>8FDRDS</t>
  </si>
  <si>
    <t>7X6SCF</t>
  </si>
  <si>
    <t>9HX8YT</t>
  </si>
  <si>
    <t>8FEBKH</t>
  </si>
  <si>
    <t>9ZI9IX</t>
  </si>
  <si>
    <t>8FEK2D</t>
  </si>
  <si>
    <t>8FGLI6</t>
  </si>
  <si>
    <t>7X5YV2</t>
  </si>
  <si>
    <t>9I3FEB</t>
  </si>
  <si>
    <t>9HWW6X</t>
  </si>
  <si>
    <t>9ZLIRX</t>
  </si>
  <si>
    <t>7X9HHR</t>
  </si>
  <si>
    <t>7X5BBE</t>
  </si>
  <si>
    <t>7X625F</t>
  </si>
  <si>
    <t>7X5D79</t>
  </si>
  <si>
    <t>7YOP5H</t>
  </si>
  <si>
    <t>7YQXDP</t>
  </si>
  <si>
    <t>7G5QRH</t>
  </si>
  <si>
    <t>7G4LNS</t>
  </si>
  <si>
    <t>9IMTFY</t>
  </si>
  <si>
    <t>9IPF5U</t>
  </si>
  <si>
    <t>9IONBE</t>
  </si>
  <si>
    <t>9IQ5P4</t>
  </si>
  <si>
    <t>9ISWHU</t>
  </si>
  <si>
    <t>9IPYNK</t>
  </si>
  <si>
    <t>PNR</t>
  </si>
  <si>
    <t>11:00 AM</t>
  </si>
  <si>
    <t>10:20 PM</t>
  </si>
  <si>
    <t>11:30 PM</t>
  </si>
  <si>
    <t>SV120</t>
  </si>
  <si>
    <t>10:55 PM</t>
  </si>
  <si>
    <t>SV119</t>
  </si>
  <si>
    <t>12:40 PM</t>
  </si>
  <si>
    <t>TOTAL_GEST</t>
  </si>
  <si>
    <t>UniqueID</t>
  </si>
  <si>
    <t>5/17/2026</t>
  </si>
  <si>
    <t>5/18/2026</t>
  </si>
  <si>
    <t>5:40 AM</t>
  </si>
  <si>
    <t>8:20 AM</t>
  </si>
  <si>
    <t>9:25 AM</t>
  </si>
  <si>
    <t>5/31/2026</t>
  </si>
  <si>
    <t>3:05 AM</t>
  </si>
  <si>
    <t>9:00 AM</t>
  </si>
  <si>
    <t>5/20/2026</t>
  </si>
  <si>
    <t>5/21/2026</t>
  </si>
  <si>
    <t>6/2/2026</t>
  </si>
  <si>
    <t>6/3/2026</t>
  </si>
  <si>
    <t>6:50 PM</t>
  </si>
  <si>
    <t>1:55 PM</t>
  </si>
  <si>
    <t>4:40 PM</t>
  </si>
  <si>
    <t>5:45 PM</t>
  </si>
  <si>
    <t>5/30/2026</t>
  </si>
  <si>
    <t>3:45 PM</t>
  </si>
  <si>
    <t>5/19/2026</t>
  </si>
  <si>
    <t>2:30 PM</t>
  </si>
  <si>
    <t>7:30 PM</t>
  </si>
  <si>
    <t>9:05 PM</t>
  </si>
  <si>
    <t>4:55 PM</t>
  </si>
  <si>
    <t>6:30 PM</t>
  </si>
  <si>
    <t>6/1/2026</t>
  </si>
  <si>
    <t>5:00 AM</t>
  </si>
  <si>
    <t>6:50 AM</t>
  </si>
  <si>
    <t>8:50 AM</t>
  </si>
  <si>
    <t>5/22/2026</t>
  </si>
  <si>
    <t>6:05 AM</t>
  </si>
  <si>
    <t>7:15 AM</t>
  </si>
  <si>
    <t>9:00 PM</t>
  </si>
  <si>
    <t>6/4/2026</t>
  </si>
  <si>
    <t>9:50 AM</t>
  </si>
  <si>
    <t>4:05 PM</t>
  </si>
  <si>
    <t>3:35 AM</t>
  </si>
  <si>
    <t>4:45 AM</t>
  </si>
  <si>
    <t>5/16/2026</t>
  </si>
  <si>
    <t>1:30 AM</t>
  </si>
  <si>
    <t>2:35 AM</t>
  </si>
  <si>
    <t>2:40 PM</t>
  </si>
  <si>
    <t>8:10 AM</t>
  </si>
  <si>
    <t>7:00 PM</t>
  </si>
  <si>
    <t>8:20 PM</t>
  </si>
  <si>
    <t>9:25 PM</t>
  </si>
  <si>
    <t>9:15 AM</t>
  </si>
  <si>
    <t>3:25 PM</t>
  </si>
  <si>
    <t>SV120LondonJeddah5/20/20262:40 PM5/20/202610:55 PMSV1420JeddahMadina5/21/20261:30 AM5/21/20262:35 AMSV119JeddahLondon5/30/20268:10 AM5/30/202612:40 PM</t>
  </si>
  <si>
    <t>8:25 AM</t>
  </si>
  <si>
    <t>SV036WashingtonJeddah5/21/20266:50 PM5/22/20261:55 PMSV1423MadinaJeddah5/30/20266:05 AM5/30/20267:15 AMSV035JeddahWashington5/30/20269:25 AM5/30/20263:45 PM</t>
  </si>
  <si>
    <t>SV118</t>
  </si>
  <si>
    <t>SV118LondonJeddah5/20/202610:10 PM5/21/20266:25 AMSV 1424JeddahMadina5/21/20268:20 AM5/21/20269:25 AMSV 119JeddahLondon5/30/20268:10 AM5/30/202612:40 PM</t>
  </si>
  <si>
    <t>SV118LondonJeddah5/23/202610:10 PM5/24/20266:25 AMSV 1421MadinaJeddah6/3/20263:35 AM6/3/20264:45 AMSV 119JeddahLondon6/3/20268:10 AM6/3/202612:40 PM</t>
  </si>
  <si>
    <t>nusuk_ID</t>
  </si>
  <si>
    <t>JFK</t>
  </si>
  <si>
    <t>JED</t>
  </si>
  <si>
    <t>MED</t>
  </si>
  <si>
    <t>IAD</t>
  </si>
  <si>
    <t>RUH</t>
  </si>
  <si>
    <t>LAX</t>
  </si>
  <si>
    <t>LHR</t>
  </si>
  <si>
    <t>YYZ</t>
  </si>
  <si>
    <t>SV042Los AngelesJeddah5/21/20269:00 PM5/22/202610:20 PMSV1423MadinaJeddah6/4/20266:05 AM6/4/20267:15 AMSV041JeddahLos Angeles6/4/20269:50 AM6/4/20264:05 PM</t>
  </si>
  <si>
    <t>SV042Los AngelesJeddah5/21/20269:00 PM5/22/202610:20 PMSV1421MadinaJeddah6/4/20263:35 AM6/4/20264:45 AMSV041JeddahLos Angeles6/4/20269:50 AM6/4/20264:05 PM</t>
  </si>
  <si>
    <t>Booking_ID</t>
  </si>
  <si>
    <t>9PM2XV</t>
  </si>
  <si>
    <t>SV-1457</t>
  </si>
  <si>
    <t>SV-590</t>
  </si>
  <si>
    <t>9PIDRF</t>
  </si>
  <si>
    <t>SV-1424</t>
  </si>
  <si>
    <t>SV-594</t>
  </si>
  <si>
    <t>9PJYEA</t>
  </si>
  <si>
    <t>SV-567</t>
  </si>
  <si>
    <t>SV-1468</t>
  </si>
  <si>
    <t>9PJNA4</t>
  </si>
  <si>
    <t>SM-493</t>
  </si>
  <si>
    <t>SM-478</t>
  </si>
  <si>
    <t>9PWBZ3</t>
  </si>
  <si>
    <t>SV-380</t>
  </si>
  <si>
    <t>SV-335</t>
  </si>
  <si>
    <t>9P6JS8</t>
  </si>
  <si>
    <t>AMM</t>
  </si>
  <si>
    <t>RJ-264</t>
  </si>
  <si>
    <t>RJ-720</t>
  </si>
  <si>
    <t>RJ-729</t>
  </si>
  <si>
    <t>S4TRG7</t>
  </si>
  <si>
    <t>TK-106</t>
  </si>
  <si>
    <t>TK-93</t>
  </si>
  <si>
    <t>9PD6W3</t>
  </si>
  <si>
    <t>EY-603</t>
  </si>
  <si>
    <t>EY-602</t>
  </si>
  <si>
    <t>9PBIEU</t>
  </si>
  <si>
    <t>SV-569</t>
  </si>
  <si>
    <t>SV-568</t>
  </si>
  <si>
    <t>9P4D6I</t>
  </si>
  <si>
    <t>RJ-709</t>
  </si>
  <si>
    <t>9PYHPQ</t>
  </si>
  <si>
    <t>SV-589</t>
  </si>
  <si>
    <t>SV-598</t>
  </si>
  <si>
    <t>DHDYIW</t>
  </si>
  <si>
    <t>EK-803</t>
  </si>
  <si>
    <t>EK-810</t>
  </si>
  <si>
    <t>RF2VSI</t>
  </si>
  <si>
    <t>TK-136</t>
  </si>
  <si>
    <t>TK-121</t>
  </si>
  <si>
    <t>9P9NH5</t>
  </si>
  <si>
    <t>SV-126</t>
  </si>
  <si>
    <t>SV-131</t>
  </si>
  <si>
    <t>QSRNHN</t>
  </si>
  <si>
    <t>FZ-919</t>
  </si>
  <si>
    <t>FZ-828</t>
  </si>
  <si>
    <t>9P9QWH</t>
  </si>
  <si>
    <t>9QJG4V</t>
  </si>
  <si>
    <t>RJ-722</t>
  </si>
  <si>
    <t>9PGHW3</t>
  </si>
  <si>
    <t>QR-1174</t>
  </si>
  <si>
    <t>QR-1185</t>
  </si>
  <si>
    <t>9PC8GE</t>
  </si>
  <si>
    <t>SV-1430</t>
  </si>
  <si>
    <t>EBBAEG</t>
  </si>
  <si>
    <t>FZ-827</t>
  </si>
  <si>
    <t>FZ-920</t>
  </si>
  <si>
    <t>9PH9S7</t>
  </si>
  <si>
    <t>SV-1463</t>
  </si>
  <si>
    <t>SV-1030</t>
  </si>
  <si>
    <t>9PCYVZ</t>
  </si>
  <si>
    <t>SV-1017</t>
  </si>
  <si>
    <t>TCAGJI</t>
  </si>
  <si>
    <t>TK-108</t>
  </si>
  <si>
    <t>TK-115</t>
  </si>
  <si>
    <t>9P5NWG</t>
  </si>
  <si>
    <t>SV-36</t>
  </si>
  <si>
    <t>SV-35</t>
  </si>
  <si>
    <t>9PB2K5</t>
  </si>
  <si>
    <t>SV-1026</t>
  </si>
  <si>
    <t>9PLQJI</t>
  </si>
  <si>
    <t>SV-571</t>
  </si>
  <si>
    <t>9OZGDC</t>
  </si>
  <si>
    <t>SV-365</t>
  </si>
  <si>
    <t>CGNYGS</t>
  </si>
  <si>
    <t>FZ-807</t>
  </si>
  <si>
    <t>FZ-898</t>
  </si>
  <si>
    <t>9PG6QA</t>
  </si>
  <si>
    <t>SV-543</t>
  </si>
  <si>
    <t>SV-1018</t>
  </si>
  <si>
    <t>SXBZDE</t>
  </si>
  <si>
    <t>TK-98</t>
  </si>
  <si>
    <t>TK-95</t>
  </si>
  <si>
    <t>9P67E6</t>
  </si>
  <si>
    <t>EY-632</t>
  </si>
  <si>
    <t>9P5VDJ</t>
  </si>
  <si>
    <t>EY-631</t>
  </si>
  <si>
    <t>EY-604</t>
  </si>
  <si>
    <t>9PAIBU</t>
  </si>
  <si>
    <t>MH-156</t>
  </si>
  <si>
    <t>MH-4750</t>
  </si>
  <si>
    <t>9P3RYR</t>
  </si>
  <si>
    <t>SV-550</t>
  </si>
  <si>
    <t>9P7GTL</t>
  </si>
  <si>
    <t>9PBRFF</t>
  </si>
  <si>
    <t>9OYMJK</t>
  </si>
  <si>
    <t>SV-119</t>
  </si>
  <si>
    <t>9PZ24U</t>
  </si>
  <si>
    <t>QR-1190</t>
  </si>
  <si>
    <t>T2R5UT</t>
  </si>
  <si>
    <t>TK-137</t>
  </si>
  <si>
    <t>9PDLOZ</t>
  </si>
  <si>
    <t>SV-595</t>
  </si>
  <si>
    <t>9P3WY3</t>
  </si>
  <si>
    <t>9QPSSM</t>
  </si>
  <si>
    <t>RJ-702</t>
  </si>
  <si>
    <t>RJ-723</t>
  </si>
  <si>
    <t>9Q36HK</t>
  </si>
  <si>
    <t>QR-1175</t>
  </si>
  <si>
    <t>9PGTIW</t>
  </si>
  <si>
    <t>SV-551</t>
  </si>
  <si>
    <t>9PFRI8</t>
  </si>
  <si>
    <t>RJ-706</t>
  </si>
  <si>
    <t>RJ-703</t>
  </si>
  <si>
    <t>9PLUAC</t>
  </si>
  <si>
    <t>9PIFSB</t>
  </si>
  <si>
    <t>BA-132</t>
  </si>
  <si>
    <t>9PMN7F</t>
  </si>
  <si>
    <t>9PYQL9</t>
  </si>
  <si>
    <t>9PGDMO</t>
  </si>
  <si>
    <t>9PBLG9</t>
  </si>
  <si>
    <t>9Q2OWB</t>
  </si>
  <si>
    <t>SV-1041</t>
  </si>
  <si>
    <t>SV-1423</t>
  </si>
  <si>
    <t>9PF2UP</t>
  </si>
  <si>
    <t>9P2KIS</t>
  </si>
  <si>
    <t>SV-1045</t>
  </si>
  <si>
    <t>SV-1096</t>
  </si>
  <si>
    <t>9PGAS3</t>
  </si>
  <si>
    <t>9PKMMB</t>
  </si>
  <si>
    <t>9P2DTE</t>
  </si>
  <si>
    <t>RJ-726</t>
  </si>
  <si>
    <t>9P4TXO</t>
  </si>
  <si>
    <t>9PEUXW</t>
  </si>
  <si>
    <t>9P4XRJ</t>
  </si>
  <si>
    <t>SM-479</t>
  </si>
  <si>
    <t>SM-476</t>
  </si>
  <si>
    <t>UKQLSI</t>
  </si>
  <si>
    <t>TK-148</t>
  </si>
  <si>
    <t>TK-97</t>
  </si>
  <si>
    <t>9PJEKJ</t>
  </si>
  <si>
    <t>SV-300</t>
  </si>
  <si>
    <t>SV-309</t>
  </si>
  <si>
    <t>9P65IN</t>
  </si>
  <si>
    <t>EY-601</t>
  </si>
  <si>
    <t>9P38MK</t>
  </si>
  <si>
    <t>9PH4KQ</t>
  </si>
  <si>
    <t>9PM4DD</t>
  </si>
  <si>
    <t>THYHQR</t>
  </si>
  <si>
    <t>9P3BRM</t>
  </si>
  <si>
    <t>SV-1049</t>
  </si>
  <si>
    <t>SV-325</t>
  </si>
  <si>
    <t>9PCJKZ</t>
  </si>
  <si>
    <t>SV-1022</t>
  </si>
  <si>
    <t>9PWBUN</t>
  </si>
  <si>
    <t>9PN576</t>
  </si>
  <si>
    <t>SV-220</t>
  </si>
  <si>
    <t>SV-227</t>
  </si>
  <si>
    <t>9PP7I2</t>
  </si>
  <si>
    <t>SV-1016</t>
  </si>
  <si>
    <t>9Q4T2Z</t>
  </si>
  <si>
    <t>9QEPZV</t>
  </si>
  <si>
    <t>9SPVEA</t>
  </si>
  <si>
    <t>QR-1184</t>
  </si>
  <si>
    <t>83Z5FI</t>
  </si>
  <si>
    <t>FZ-897</t>
  </si>
  <si>
    <t>FZ-832</t>
  </si>
  <si>
    <t>9QKOHH</t>
  </si>
  <si>
    <t>9QREM7</t>
  </si>
  <si>
    <t>9PNNRG</t>
  </si>
  <si>
    <t>SV-1420</t>
  </si>
  <si>
    <t>SV-175</t>
  </si>
  <si>
    <t>RAQDM7</t>
  </si>
  <si>
    <t>RZ7RZK</t>
  </si>
  <si>
    <t>VBE53G</t>
  </si>
  <si>
    <t>4GD50T</t>
  </si>
  <si>
    <t>7V26GT</t>
  </si>
  <si>
    <t>9P52DM</t>
  </si>
  <si>
    <t>9PE45G</t>
  </si>
  <si>
    <t>EY-615</t>
  </si>
  <si>
    <t>9PGHWR</t>
  </si>
  <si>
    <t>9PJXQO</t>
  </si>
  <si>
    <t>SV-1034</t>
  </si>
  <si>
    <t>WPHTSK</t>
  </si>
  <si>
    <t>TK-104</t>
  </si>
  <si>
    <t>TK-99</t>
  </si>
  <si>
    <t>Age</t>
  </si>
  <si>
    <t>Dep_Flight</t>
  </si>
  <si>
    <t>Dep_Destination</t>
  </si>
  <si>
    <t>Dep_Arr_Date</t>
  </si>
  <si>
    <t>Dep_Arr_Time</t>
  </si>
  <si>
    <t>Ret_Flight</t>
  </si>
  <si>
    <t>Ret_Date</t>
  </si>
  <si>
    <t>Ret_Time</t>
  </si>
  <si>
    <t>Ret_Origin</t>
  </si>
  <si>
    <t>Contract_type</t>
  </si>
  <si>
    <t>packages.start_date</t>
  </si>
  <si>
    <t>packages.end_date</t>
  </si>
  <si>
    <t>packages.first_hotel_name</t>
  </si>
  <si>
    <t>packages.first_hotel_location</t>
  </si>
  <si>
    <t>packages.first_hotel_check_in</t>
  </si>
  <si>
    <t>packages.first_hotel_check_out</t>
  </si>
  <si>
    <t>packages.second_hotel_name</t>
  </si>
  <si>
    <t>packages.second_hotel_location</t>
  </si>
  <si>
    <t>packages.second_hotel_check_in</t>
  </si>
  <si>
    <t>packages.second_hotel_check_out</t>
  </si>
  <si>
    <t>last_hotel_name</t>
  </si>
  <si>
    <t>last_hotel_check_in</t>
  </si>
  <si>
    <t>last_hotel_check_out</t>
  </si>
  <si>
    <t>Country_AR</t>
  </si>
  <si>
    <t>Country_EN</t>
  </si>
  <si>
    <t>USA</t>
  </si>
  <si>
    <t>Canada</t>
  </si>
  <si>
    <t>UK</t>
  </si>
  <si>
    <t>Germany</t>
  </si>
  <si>
    <t>Australia</t>
  </si>
  <si>
    <t>South Africa</t>
  </si>
  <si>
    <t>France</t>
  </si>
  <si>
    <t>St. Kitts</t>
  </si>
  <si>
    <t>Lesotho</t>
  </si>
  <si>
    <t>Spain</t>
  </si>
  <si>
    <t>Portugal</t>
  </si>
  <si>
    <t>Vanuatu</t>
  </si>
  <si>
    <t>India</t>
  </si>
  <si>
    <t>Lebanon</t>
  </si>
  <si>
    <t>Tunisia</t>
  </si>
  <si>
    <t>Morocco</t>
  </si>
  <si>
    <t>Japan</t>
  </si>
  <si>
    <t>Algeria</t>
  </si>
  <si>
    <t>Malaysia</t>
  </si>
  <si>
    <t>name</t>
  </si>
  <si>
    <t>mammoud hamada</t>
  </si>
  <si>
    <t>fatemeh toft</t>
  </si>
  <si>
    <t>aizaz athar</t>
  </si>
  <si>
    <t>mohammed islam</t>
  </si>
  <si>
    <t>shahmeer navid</t>
  </si>
  <si>
    <t>navid minhas</t>
  </si>
  <si>
    <t>aisha masood</t>
  </si>
  <si>
    <t>mohammad husain</t>
  </si>
  <si>
    <t>sadia younus</t>
  </si>
  <si>
    <t>mansur  masood</t>
  </si>
  <si>
    <t>naziya rehman</t>
  </si>
  <si>
    <t>fariha naveed</t>
  </si>
  <si>
    <t>salma haneef</t>
  </si>
  <si>
    <t>samina haneff</t>
  </si>
  <si>
    <t>adnan haider</t>
  </si>
  <si>
    <t>azza abdal halim</t>
  </si>
  <si>
    <t>zakiuddin mohammed</t>
  </si>
  <si>
    <t>ian martin</t>
  </si>
  <si>
    <t>fariha khan</t>
  </si>
  <si>
    <t>saba lodhi</t>
  </si>
  <si>
    <t>adil khan</t>
  </si>
  <si>
    <t>rashid ghazi</t>
  </si>
  <si>
    <t>shayma ansari</t>
  </si>
  <si>
    <t>naveed ansari</t>
  </si>
  <si>
    <t>ruhma ghazi</t>
  </si>
  <si>
    <t>mahitaj rashid</t>
  </si>
  <si>
    <t>riad rashid</t>
  </si>
  <si>
    <t>kaif rashid</t>
  </si>
  <si>
    <t>sohana mahin</t>
  </si>
  <si>
    <t>afaf siddiqui</t>
  </si>
  <si>
    <t>aasim afzal</t>
  </si>
  <si>
    <t>syed ahmed</t>
  </si>
  <si>
    <t>marium afzal</t>
  </si>
  <si>
    <t>amina ahmed</t>
  </si>
  <si>
    <t>ahmad farah</t>
  </si>
  <si>
    <t>sonya farah</t>
  </si>
  <si>
    <t>shahid khan</t>
  </si>
  <si>
    <t>sadia khan</t>
  </si>
  <si>
    <t>sarib khan</t>
  </si>
  <si>
    <t>faisel hussein</t>
  </si>
  <si>
    <t>sherin ijaz</t>
  </si>
  <si>
    <t>naeem sattaur</t>
  </si>
  <si>
    <t>mohd azher uddin</t>
  </si>
  <si>
    <t>shaheda noor azher</t>
  </si>
  <si>
    <t>nasirali emadi</t>
  </si>
  <si>
    <t>maleka emadi</t>
  </si>
  <si>
    <t>asma emadi</t>
  </si>
  <si>
    <t>nuzra hasan</t>
  </si>
  <si>
    <t>syed imam</t>
  </si>
  <si>
    <t>amy taimour</t>
  </si>
  <si>
    <t>edward ang</t>
  </si>
  <si>
    <t>sadia warsi</t>
  </si>
  <si>
    <t>sarwat anwer</t>
  </si>
  <si>
    <t>insaf masood</t>
  </si>
  <si>
    <t>omar alomary</t>
  </si>
  <si>
    <t>juman doleh alomary</t>
  </si>
  <si>
    <t>maima aulia syakhroza</t>
  </si>
  <si>
    <t>fatoumata doumbia</t>
  </si>
  <si>
    <t>adhiguna surya kuncoro</t>
  </si>
  <si>
    <t>nadeem ashraf</t>
  </si>
  <si>
    <t>walid bedier</t>
  </si>
  <si>
    <t>fizza hasan</t>
  </si>
  <si>
    <t>nihad hassan</t>
  </si>
  <si>
    <t>suhaib abdulquddos</t>
  </si>
  <si>
    <t>samina al quddos</t>
  </si>
  <si>
    <t>asif chaudhry</t>
  </si>
  <si>
    <t>bushra mustafa</t>
  </si>
  <si>
    <t>farah ahmed</t>
  </si>
  <si>
    <t>sarah farid chaudhry</t>
  </si>
  <si>
    <t>mohammed khan</t>
  </si>
  <si>
    <t>sharda baksh</t>
  </si>
  <si>
    <t>abdool rahaman</t>
  </si>
  <si>
    <t>dilshad rahman</t>
  </si>
  <si>
    <t>lutfur rahman</t>
  </si>
  <si>
    <t>dalia aly</t>
  </si>
  <si>
    <t>alma mrzljak</t>
  </si>
  <si>
    <t>wael g ibrahim</t>
  </si>
  <si>
    <t>riham elkhouli</t>
  </si>
  <si>
    <t>kusai abuhamed</t>
  </si>
  <si>
    <t>moaz w ibrahim</t>
  </si>
  <si>
    <t>idrees mir</t>
  </si>
  <si>
    <t>reem ibrahim</t>
  </si>
  <si>
    <t>mohamedamin robale</t>
  </si>
  <si>
    <t>samira  heyi</t>
  </si>
  <si>
    <t>adam bawamia</t>
  </si>
  <si>
    <t>hanan daoud</t>
  </si>
  <si>
    <t>salma bawamia</t>
  </si>
  <si>
    <t>fatima saboui</t>
  </si>
  <si>
    <t>salma ali</t>
  </si>
  <si>
    <t>nabil adawi</t>
  </si>
  <si>
    <t>ann kyeong kim</t>
  </si>
  <si>
    <t>shareefa ismail</t>
  </si>
  <si>
    <t>rami zakir shah</t>
  </si>
  <si>
    <t>ismail hamza</t>
  </si>
  <si>
    <t>majeda khatun</t>
  </si>
  <si>
    <t>sabeen najam</t>
  </si>
  <si>
    <t>asem razzaq</t>
  </si>
  <si>
    <t>junaid nazeer</t>
  </si>
  <si>
    <t>neelofur nazeer</t>
  </si>
  <si>
    <t>nusrat ahmed</t>
  </si>
  <si>
    <t>ahmed taha</t>
  </si>
  <si>
    <t>amar taha</t>
  </si>
  <si>
    <t>samina taha</t>
  </si>
  <si>
    <t>faheem varachia</t>
  </si>
  <si>
    <t>hiren patel</t>
  </si>
  <si>
    <t>safwanah varachia</t>
  </si>
  <si>
    <t>yogini patel</t>
  </si>
  <si>
    <t>fudhail varachia</t>
  </si>
  <si>
    <t>ismail adawi</t>
  </si>
  <si>
    <t>humaira guman</t>
  </si>
  <si>
    <t>majida adawi</t>
  </si>
  <si>
    <t>ahmed khan</t>
  </si>
  <si>
    <t>zakariya adawi</t>
  </si>
  <si>
    <t>rohina jehangir</t>
  </si>
  <si>
    <t>fareed shaikh</t>
  </si>
  <si>
    <t>imaduddin mohammed</t>
  </si>
  <si>
    <t>noreen shaikh</t>
  </si>
  <si>
    <t>kiran siddiqi</t>
  </si>
  <si>
    <t>mir basir</t>
  </si>
  <si>
    <t>arshad ismail</t>
  </si>
  <si>
    <t>amber khan</t>
  </si>
  <si>
    <t>naeema ismail</t>
  </si>
  <si>
    <t>farah ameer</t>
  </si>
  <si>
    <t>dave ameer</t>
  </si>
  <si>
    <t>rima el herte</t>
  </si>
  <si>
    <t>kanwal mirza</t>
  </si>
  <si>
    <t>seema khan</t>
  </si>
  <si>
    <t>hasan osman</t>
  </si>
  <si>
    <t>mohamed masoud</t>
  </si>
  <si>
    <t>laila naqib osman</t>
  </si>
  <si>
    <t>nancy masoud</t>
  </si>
  <si>
    <t>moncef elfejji</t>
  </si>
  <si>
    <t>syed haq</t>
  </si>
  <si>
    <t>mahnaz rizvi</t>
  </si>
  <si>
    <t>saad kamal</t>
  </si>
  <si>
    <t>marwa abdelbary</t>
  </si>
  <si>
    <t>amber siddiqui</t>
  </si>
  <si>
    <t>shawon rahman</t>
  </si>
  <si>
    <t>zinat rahman</t>
  </si>
  <si>
    <t>md moniruzzaman</t>
  </si>
  <si>
    <t>shahnaj sharmin</t>
  </si>
  <si>
    <t>arshi khan</t>
  </si>
  <si>
    <t>nahla qotaynah</t>
  </si>
  <si>
    <t>rana miah</t>
  </si>
  <si>
    <t>abdulwahed qotaynah</t>
  </si>
  <si>
    <t>fayez rezk</t>
  </si>
  <si>
    <t>faham rashid</t>
  </si>
  <si>
    <t>farhana mahbub</t>
  </si>
  <si>
    <t>yasemin tarakci</t>
  </si>
  <si>
    <t>gregory williams</t>
  </si>
  <si>
    <t>ruby alvi</t>
  </si>
  <si>
    <t>iqbal ahmed</t>
  </si>
  <si>
    <t>nizam hosanee</t>
  </si>
  <si>
    <t>zeidah hosanee</t>
  </si>
  <si>
    <t>anm ullah</t>
  </si>
  <si>
    <t>zubaida ullah</t>
  </si>
  <si>
    <t>allaa abouzedan</t>
  </si>
  <si>
    <t>mohammed bhuiyan</t>
  </si>
  <si>
    <t>amal abdo</t>
  </si>
  <si>
    <t>shanaz parveen</t>
  </si>
  <si>
    <t>syed jalal</t>
  </si>
  <si>
    <t>afsheen hasan</t>
  </si>
  <si>
    <t>sara iqbal</t>
  </si>
  <si>
    <t>ifra jalal</t>
  </si>
  <si>
    <t>javaid iqbal</t>
  </si>
  <si>
    <t>humza jalal</t>
  </si>
  <si>
    <t>waseem ahmad</t>
  </si>
  <si>
    <t>sabeen moin</t>
  </si>
  <si>
    <t>nazneem ahmed</t>
  </si>
  <si>
    <t>fathi ghorbel</t>
  </si>
  <si>
    <t>zubairali ahmed</t>
  </si>
  <si>
    <t>doron jhirad</t>
  </si>
  <si>
    <t>sarah noorjahan</t>
  </si>
  <si>
    <t>parveen auckbaraullee</t>
  </si>
  <si>
    <t>shahina suman</t>
  </si>
  <si>
    <t>janna jhirad</t>
  </si>
  <si>
    <t>ushah hamid</t>
  </si>
  <si>
    <t>saleh el husayni</t>
  </si>
  <si>
    <t>asghar khan</t>
  </si>
  <si>
    <t>suhair janoudi</t>
  </si>
  <si>
    <t>jamal dajani</t>
  </si>
  <si>
    <t>runa nuseibeh</t>
  </si>
  <si>
    <t>sania zahid</t>
  </si>
  <si>
    <t>zafrina chowdhury</t>
  </si>
  <si>
    <t>adnan chowdhury</t>
  </si>
  <si>
    <t>asma jaffery</t>
  </si>
  <si>
    <t>mohamed barache</t>
  </si>
  <si>
    <t>sabrina zubair</t>
  </si>
  <si>
    <t>adnan arain</t>
  </si>
  <si>
    <t>sherzod muratov</t>
  </si>
  <si>
    <t>hicham el maniari</t>
  </si>
  <si>
    <t>ala hassan</t>
  </si>
  <si>
    <t>nayeem mohammadabdulla</t>
  </si>
  <si>
    <t>waseem uddin</t>
  </si>
  <si>
    <t>arshia surti</t>
  </si>
  <si>
    <t>almas uddin</t>
  </si>
  <si>
    <t>huda abu jarad</t>
  </si>
  <si>
    <t>mohamed youssef bouaouina</t>
  </si>
  <si>
    <t>angel arnaout</t>
  </si>
  <si>
    <t>parvez mir</t>
  </si>
  <si>
    <t>nadia arnaout</t>
  </si>
  <si>
    <t>samia qazi</t>
  </si>
  <si>
    <t>qazi qaisar afzal</t>
  </si>
  <si>
    <t>anjum maqbool</t>
  </si>
  <si>
    <t>mariam alaoui mamoun</t>
  </si>
  <si>
    <t>tanveer p mir</t>
  </si>
  <si>
    <t>larbi msik</t>
  </si>
  <si>
    <t>muhammad janjua</t>
  </si>
  <si>
    <t>sheetal pardeshi</t>
  </si>
  <si>
    <t>iyad kwaik</t>
  </si>
  <si>
    <t>maimouna albertorio</t>
  </si>
  <si>
    <t>hoda kwaik</t>
  </si>
  <si>
    <t>batool al shaer</t>
  </si>
  <si>
    <t>moutasim al shaer</t>
  </si>
  <si>
    <t>saif ali</t>
  </si>
  <si>
    <t>marouan youssi</t>
  </si>
  <si>
    <t>selma dahlouk</t>
  </si>
  <si>
    <t>amina youssi</t>
  </si>
  <si>
    <t>maysoon al hihi</t>
  </si>
  <si>
    <t>adel dyub</t>
  </si>
  <si>
    <t>yasser elshatory</t>
  </si>
  <si>
    <t>amira eldesoky</t>
  </si>
  <si>
    <t>hassan manekia</t>
  </si>
  <si>
    <t>asad islam</t>
  </si>
  <si>
    <t>salma hussaini</t>
  </si>
  <si>
    <t>sheikh haque</t>
  </si>
  <si>
    <t>tania rabbani</t>
  </si>
  <si>
    <t>omar elsehety</t>
  </si>
  <si>
    <t>rahat godil</t>
  </si>
  <si>
    <t>sabrina ahmed</t>
  </si>
  <si>
    <t>bushra haq</t>
  </si>
  <si>
    <t>waqqas afif</t>
  </si>
  <si>
    <t>khaled badawy</t>
  </si>
  <si>
    <t>zuhair hawa</t>
  </si>
  <si>
    <t>ishrat quadri</t>
  </si>
  <si>
    <t>zainab siddiqui</t>
  </si>
  <si>
    <t>arshad quadri</t>
  </si>
  <si>
    <t>nadeem rafiq</t>
  </si>
  <si>
    <t>lubna imam</t>
  </si>
  <si>
    <t>aamna javed</t>
  </si>
  <si>
    <t>nader mahmood</t>
  </si>
  <si>
    <t>saad mahmood</t>
  </si>
  <si>
    <t>sadaf mahmood</t>
  </si>
  <si>
    <t>yaaser mohammed</t>
  </si>
  <si>
    <t>shazeeda hack</t>
  </si>
  <si>
    <t>waheeda syed</t>
  </si>
  <si>
    <t>bibi mohamed</t>
  </si>
  <si>
    <t>ouahiba benguedouar</t>
  </si>
  <si>
    <t>madoka saito</t>
  </si>
  <si>
    <t>fareeha majeed</t>
  </si>
  <si>
    <t>fazil habibulla</t>
  </si>
  <si>
    <t>muhammad siaful islam</t>
  </si>
  <si>
    <t>yasmin khudeza islam</t>
  </si>
  <si>
    <t>fareha khan</t>
  </si>
  <si>
    <t>siraj ali</t>
  </si>
  <si>
    <t>aisha anwar aldorisio</t>
  </si>
  <si>
    <t>hassan nimer musaitif</t>
  </si>
  <si>
    <t>andrew aldorisio</t>
  </si>
  <si>
    <t>linda m musaitif</t>
  </si>
  <si>
    <t>nora flemming</t>
  </si>
  <si>
    <t>sarah flemming</t>
  </si>
  <si>
    <t>amira a abdel jabbar</t>
  </si>
  <si>
    <t>michael flemming</t>
  </si>
  <si>
    <t>shazia mian</t>
  </si>
  <si>
    <t>arshad safi</t>
  </si>
  <si>
    <t>sadat mian</t>
  </si>
  <si>
    <t>sameea safi</t>
  </si>
  <si>
    <t>khalid mahmood</t>
  </si>
  <si>
    <t>sabeen safi</t>
  </si>
  <si>
    <t>sobia mahmood</t>
  </si>
  <si>
    <t>hammad safi</t>
  </si>
  <si>
    <t>yazaan safi</t>
  </si>
  <si>
    <t>farah syed ghouse</t>
  </si>
  <si>
    <t>mohammed ghouse</t>
  </si>
  <si>
    <t>syed sohail</t>
  </si>
  <si>
    <t>atiya khan</t>
  </si>
  <si>
    <t>aijaz ahmed</t>
  </si>
  <si>
    <t>basma sayeed</t>
  </si>
  <si>
    <t>samina ahmed</t>
  </si>
  <si>
    <t>ali musleh</t>
  </si>
  <si>
    <t>nabil salah musleh</t>
  </si>
  <si>
    <t>wafa nabil musleh</t>
  </si>
  <si>
    <t>tamam ata kamleh</t>
  </si>
  <si>
    <t>shamaila ashraf</t>
  </si>
  <si>
    <t>sheikh ashraf</t>
  </si>
  <si>
    <t>shahida ashraf</t>
  </si>
  <si>
    <t>razia hashmi</t>
  </si>
  <si>
    <t>syed hashmi</t>
  </si>
  <si>
    <t>farhat surti</t>
  </si>
  <si>
    <t>nafisah chowdhury</t>
  </si>
  <si>
    <t>saad atieque</t>
  </si>
  <si>
    <t>muqheet syed</t>
  </si>
  <si>
    <t>ahmad nazir</t>
  </si>
  <si>
    <t>atika khan</t>
  </si>
  <si>
    <t>arooj nazir</t>
  </si>
  <si>
    <t>osman khan</t>
  </si>
  <si>
    <t>arifa ahmed</t>
  </si>
  <si>
    <t>jawad farooq</t>
  </si>
  <si>
    <t>sarwat farooq</t>
  </si>
  <si>
    <t>lubna hussain</t>
  </si>
  <si>
    <t>almuez abdukadr</t>
  </si>
  <si>
    <t>ejaz hussain</t>
  </si>
  <si>
    <t>ahmed badran</t>
  </si>
  <si>
    <t>reham shehata</t>
  </si>
  <si>
    <t>abdus khan</t>
  </si>
  <si>
    <t>mamdouh badawi</t>
  </si>
  <si>
    <t>viqar khan</t>
  </si>
  <si>
    <t>mona badawi</t>
  </si>
  <si>
    <t>almas ahmed</t>
  </si>
  <si>
    <t>karima radwan</t>
  </si>
  <si>
    <t>salateen pasha chowdhury</t>
  </si>
  <si>
    <t>jessica badawi</t>
  </si>
  <si>
    <t>farhana nasir</t>
  </si>
  <si>
    <t>tarek badawi</t>
  </si>
  <si>
    <t>el hachmia frichiche</t>
  </si>
  <si>
    <t>heba badawi</t>
  </si>
  <si>
    <t>ahmad saleh</t>
  </si>
  <si>
    <t>asma baste</t>
  </si>
  <si>
    <t>muzyan salah</t>
  </si>
  <si>
    <t>arshad barmare</t>
  </si>
  <si>
    <t>zuhdi salah</t>
  </si>
  <si>
    <t>shahina shaikh</t>
  </si>
  <si>
    <t>sarah elsayed</t>
  </si>
  <si>
    <t>ahlmahz negash</t>
  </si>
  <si>
    <t>mohameden ahmedou abouby</t>
  </si>
  <si>
    <t>shabir ud deen thantrey</t>
  </si>
  <si>
    <t>samir thantrey</t>
  </si>
  <si>
    <t>adeela thantrey</t>
  </si>
  <si>
    <t>nadra thantrey</t>
  </si>
  <si>
    <t>jose figueroa</t>
  </si>
  <si>
    <t>tareg ghredish</t>
  </si>
  <si>
    <t>huda bhatti</t>
  </si>
  <si>
    <t>amar shariff</t>
  </si>
  <si>
    <t>anam bhatti</t>
  </si>
  <si>
    <t>abrar butt</t>
  </si>
  <si>
    <t>marwa assar</t>
  </si>
  <si>
    <t>sabah ahmed</t>
  </si>
  <si>
    <t>mai soliman</t>
  </si>
  <si>
    <t>mohammad hussain</t>
  </si>
  <si>
    <t>ahmad hosam shabaik</t>
  </si>
  <si>
    <t>mayas damer</t>
  </si>
  <si>
    <t>farah mullah</t>
  </si>
  <si>
    <t>mishel mullah</t>
  </si>
  <si>
    <t>malik kasim khan</t>
  </si>
  <si>
    <t>souad feth</t>
  </si>
  <si>
    <t>nosheen naseer khan</t>
  </si>
  <si>
    <t>mohammed najeh elidrissi</t>
  </si>
  <si>
    <t>mohammed ahmed</t>
  </si>
  <si>
    <t>asna afzal</t>
  </si>
  <si>
    <t>oumou khairy ba</t>
  </si>
  <si>
    <t>seydou nourou ba</t>
  </si>
  <si>
    <t>fariha shafi</t>
  </si>
  <si>
    <t>amir saeed</t>
  </si>
  <si>
    <t>abid bhat</t>
  </si>
  <si>
    <t>sanila amir</t>
  </si>
  <si>
    <t>sadia ali khan</t>
  </si>
  <si>
    <t>naveed cheema</t>
  </si>
  <si>
    <t>salmah haffejee</t>
  </si>
  <si>
    <t>madiha cheema</t>
  </si>
  <si>
    <t>loubna mzaalak tazi</t>
  </si>
  <si>
    <t>darrick conway seconi</t>
  </si>
  <si>
    <t>faizan azmat</t>
  </si>
  <si>
    <t>nadia jamil</t>
  </si>
  <si>
    <t>maha khan</t>
  </si>
  <si>
    <t>hamza saigol</t>
  </si>
  <si>
    <t>farzana ahmed</t>
  </si>
  <si>
    <t>shariq tariq zameer</t>
  </si>
  <si>
    <t>hira ahmed</t>
  </si>
  <si>
    <t>sarah siddiqui</t>
  </si>
  <si>
    <t>ali alsuhail</t>
  </si>
  <si>
    <t>hadeel alameer</t>
  </si>
  <si>
    <t>reehan mohammed</t>
  </si>
  <si>
    <t>farooq ramzan ali</t>
  </si>
  <si>
    <t>hadia ahmed</t>
  </si>
  <si>
    <t>naila farooq ramzanali</t>
  </si>
  <si>
    <t>mohammed qamrul hoque</t>
  </si>
  <si>
    <t>taiba gul</t>
  </si>
  <si>
    <t>qamrun nisa</t>
  </si>
  <si>
    <t>mohammed munshi</t>
  </si>
  <si>
    <t>hafsa mohiuddin</t>
  </si>
  <si>
    <t>furhath arnob</t>
  </si>
  <si>
    <t>walee khan</t>
  </si>
  <si>
    <t>syed kazmi</t>
  </si>
  <si>
    <t>urooba faheem</t>
  </si>
  <si>
    <t>mir wasif ali</t>
  </si>
  <si>
    <t>shumaila ali</t>
  </si>
  <si>
    <t>rubina ali</t>
  </si>
  <si>
    <t>amir agha</t>
  </si>
  <si>
    <t>aisha ali</t>
  </si>
  <si>
    <t>acille adhal</t>
  </si>
  <si>
    <t>akm hossain</t>
  </si>
  <si>
    <t>rubayat rahman</t>
  </si>
  <si>
    <t>khaldia khaled</t>
  </si>
  <si>
    <t>mugibul chowdhury</t>
  </si>
  <si>
    <t>shammi chowdhury</t>
  </si>
  <si>
    <t>rafiul chowdhury</t>
  </si>
  <si>
    <t>ramisah chowdhury</t>
  </si>
  <si>
    <t>syed murtuza hussain</t>
  </si>
  <si>
    <t>syed shahid hussain</t>
  </si>
  <si>
    <t>habiba shahid</t>
  </si>
  <si>
    <t>zeshaun khawaja</t>
  </si>
  <si>
    <t>zahra khawaja</t>
  </si>
  <si>
    <t>muhammad ibrahim</t>
  </si>
  <si>
    <t>nigareen agha</t>
  </si>
  <si>
    <t>haroon sheikh</t>
  </si>
  <si>
    <t>uzma mariam ahmed</t>
  </si>
  <si>
    <t>umer mumtaz</t>
  </si>
  <si>
    <t>rukhsana yasmeen</t>
  </si>
  <si>
    <t>maria waheed</t>
  </si>
  <si>
    <t>saeed shaikh</t>
  </si>
  <si>
    <t>asima yunus</t>
  </si>
  <si>
    <t>swaliha sarfaraz</t>
  </si>
  <si>
    <t>mohammad khan</t>
  </si>
  <si>
    <t>amein journi</t>
  </si>
  <si>
    <t>mohamed sola</t>
  </si>
  <si>
    <t>fatma habibi</t>
  </si>
  <si>
    <t>muhammed moola</t>
  </si>
  <si>
    <t>mohammed suliman paruk</t>
  </si>
  <si>
    <t>raeesa suliman paruk</t>
  </si>
  <si>
    <t>uwais suliman paruk</t>
  </si>
  <si>
    <t>gontse nkuna</t>
  </si>
  <si>
    <t>junaid suliman paruk</t>
  </si>
  <si>
    <t>mardiyyah suliman paruk</t>
  </si>
  <si>
    <t>mohamad hisham bin buang</t>
  </si>
  <si>
    <t>normalis taha</t>
  </si>
  <si>
    <t>nur natasha mohamad hisham</t>
  </si>
  <si>
    <t>zeyn essop</t>
  </si>
  <si>
    <t>nazmeera tayob</t>
  </si>
  <si>
    <t>robert hull</t>
  </si>
  <si>
    <t>thanzeelu kiliyankottarat</t>
  </si>
  <si>
    <t>shagoofa sharafudeen</t>
  </si>
  <si>
    <t>songul terzi</t>
  </si>
  <si>
    <t>anisul khan</t>
  </si>
  <si>
    <t>syeda sultana</t>
  </si>
  <si>
    <t>nizam kalla</t>
  </si>
  <si>
    <t>sharifa kalla</t>
  </si>
  <si>
    <t>sadia saeed</t>
  </si>
  <si>
    <t>bakhtiar ali</t>
  </si>
  <si>
    <t>aliya saeed</t>
  </si>
  <si>
    <t>mahmoud hailat</t>
  </si>
  <si>
    <t>fadia alrjoob</t>
  </si>
  <si>
    <t>ahmad abokhamis</t>
  </si>
  <si>
    <t>rimah ibrahim</t>
  </si>
  <si>
    <t>zahrah essack</t>
  </si>
  <si>
    <t>mohamed akoob khamissa</t>
  </si>
  <si>
    <t>marouane ajmi</t>
  </si>
  <si>
    <t>tamer masoud</t>
  </si>
  <si>
    <t>fatma baghdadi</t>
  </si>
  <si>
    <t>hesham hassan</t>
  </si>
  <si>
    <t>mona elzarki</t>
  </si>
  <si>
    <t>ahmed hassan</t>
  </si>
  <si>
    <t>ashraf abubaker</t>
  </si>
  <si>
    <t>imran noormahomed</t>
  </si>
  <si>
    <t>anisa parkar</t>
  </si>
  <si>
    <t>mohamed akbani</t>
  </si>
  <si>
    <t>nilofer noormahomed</t>
  </si>
  <si>
    <t>souad bensaria</t>
  </si>
  <si>
    <t>abdelghaninabil toumiat souyah</t>
  </si>
  <si>
    <t>dalila drouiche</t>
  </si>
  <si>
    <t>nassim bengana</t>
  </si>
  <si>
    <t>nassim baby</t>
  </si>
  <si>
    <t>nasimbanu raidhan</t>
  </si>
  <si>
    <t xml:space="preserve">louai abuhamed </t>
  </si>
  <si>
    <t>malak  beshna</t>
  </si>
  <si>
    <t xml:space="preserve">saad  hamdan </t>
  </si>
  <si>
    <t>kharieah nimer  musaitif</t>
  </si>
  <si>
    <t>ahmed essop  moosa bux</t>
  </si>
  <si>
    <t>hani suriya  ibrahim</t>
  </si>
  <si>
    <t>sarah boudraf</t>
  </si>
  <si>
    <t>suhayb zaveri</t>
  </si>
  <si>
    <t>zahra engar</t>
  </si>
  <si>
    <t>fathi shabish</t>
  </si>
  <si>
    <t>wanisa abdulqader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</si>
</sst>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7A7A7A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4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9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2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B4260D4A-BF22-4439-8754-46277B7C3DEF}" autoFormatId="16" applyNumberFormats="0" applyBorderFormats="0" applyFontFormats="0" applyPatternFormats="0" applyAlignmentFormats="0" applyWidthHeightFormats="0">
  <queryTableRefresh nextId="65">
    <queryTableFields count="22">
      <queryTableField id="25" name="nusuk_id" tableColumnId="25"/>
      <queryTableField id="26" name="group_id" tableColumnId="26"/>
      <queryTableField id="28" name="gender" tableColumnId="28"/>
      <queryTableField id="29" name="first_name" tableColumnId="29"/>
      <queryTableField id="30" name="last_name" tableColumnId="30"/>
      <queryTableField id="31" name="birth_date" tableColumnId="31"/>
      <queryTableField id="63" name="Age" tableColumnId="1"/>
      <queryTableField id="32" name="guide_name" tableColumnId="32"/>
      <queryTableField id="33" name="residence_country" tableColumnId="33"/>
      <queryTableField id="34" name="nationality" tableColumnId="34"/>
      <queryTableField id="35" name="package_id" tableColumnId="35"/>
      <queryTableField id="37" name="Flight_contract_type" tableColumnId="37"/>
      <queryTableField id="38" name="flight_contract_name" tableColumnId="38"/>
      <queryTableField id="39" name="visa_status" tableColumnId="39"/>
      <queryTableField id="40" name="inside_kingdom" tableColumnId="40"/>
      <queryTableField id="41" name="ticket_number" tableColumnId="41"/>
      <queryTableField id="42" name="ticket_URL" tableColumnId="42"/>
      <queryTableField id="43" name="camp" tableColumnId="43"/>
      <queryTableField id="21" name="نوع النقل (الوصول)" tableColumnId="21"/>
      <queryTableField id="22" name="وقت الوصول - النقل" tableColumnId="22"/>
      <queryTableField id="23" name="نوع النقل (المغادرة)" tableColumnId="23"/>
      <queryTableField id="24" name="وقت المغادرة - النقل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A5AA78C-E346-4799-9311-CEAC17D5E316}" autoFormatId="16" applyNumberFormats="0" applyBorderFormats="0" applyFontFormats="0" applyPatternFormats="0" applyAlignmentFormats="0" applyWidthHeightFormats="0">
  <queryTableRefresh nextId="36">
    <queryTableFields count="30">
      <queryTableField id="30" name="ID" tableColumnId="30"/>
      <queryTableField id="29" name="unique_id" tableColumnId="29"/>
      <queryTableField id="1" name="departure1_flight_number" tableColumnId="1"/>
      <queryTableField id="2" name="departure1_from_city" tableColumnId="2"/>
      <queryTableField id="3" name="departure1_to_city" tableColumnId="3"/>
      <queryTableField id="4" name="departure1_date_from" tableColumnId="4"/>
      <queryTableField id="5" name="departure1_time_from" tableColumnId="5"/>
      <queryTableField id="6" name="departure1_date_to" tableColumnId="6"/>
      <queryTableField id="7" name="departure1_time_to" tableColumnId="7"/>
      <queryTableField id="8" name="departure2_flight_number" tableColumnId="8"/>
      <queryTableField id="9" name="departure2_from_city" tableColumnId="9"/>
      <queryTableField id="10" name="departure2_to_city" tableColumnId="10"/>
      <queryTableField id="11" name="departure2_date_from" tableColumnId="11"/>
      <queryTableField id="12" name="departure2_time_from" tableColumnId="12"/>
      <queryTableField id="13" name="departure2_date_to" tableColumnId="13"/>
      <queryTableField id="14" name="departure2_time_to" tableColumnId="14"/>
      <queryTableField id="15" name="return1_flight_number" tableColumnId="15"/>
      <queryTableField id="16" name="return1_from_city" tableColumnId="16"/>
      <queryTableField id="17" name="return1_to_city" tableColumnId="17"/>
      <queryTableField id="18" name="return1_date_from" tableColumnId="18"/>
      <queryTableField id="19" name="return1_time_from" tableColumnId="19"/>
      <queryTableField id="20" name="return1_date_to" tableColumnId="20"/>
      <queryTableField id="21" name="return1_time_to" tableColumnId="21"/>
      <queryTableField id="22" name="return2_flight_number" tableColumnId="22"/>
      <queryTableField id="23" name="return2_from_city" tableColumnId="23"/>
      <queryTableField id="24" name="return2_to_city" tableColumnId="24"/>
      <queryTableField id="25" name="return2_date_from" tableColumnId="25"/>
      <queryTableField id="26" name="return2_time_from" tableColumnId="26"/>
      <queryTableField id="27" name="return2_date_to" tableColumnId="27"/>
      <queryTableField id="28" name="return2_time_to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51B8E3-2664-4662-A3BC-1D9D4EAF3E8E}" autoFormatId="16" applyNumberFormats="0" applyBorderFormats="0" applyFontFormats="0" applyPatternFormats="0" applyAlignmentFormats="0" applyWidthHeightFormats="0">
  <queryTableRefresh nextId="148">
    <queryTableFields count="33">
      <queryTableField id="68" name="ID" tableColumnId="68"/>
      <queryTableField id="139" dataBound="0" tableColumnId="103"/>
      <queryTableField id="137" name="UniqueID" tableColumnId="102"/>
      <queryTableField id="69" name="PNR" tableColumnId="69"/>
      <queryTableField id="133" name="TOTAL_GEST" tableColumnId="99"/>
      <queryTableField id="70" name="departure1_flight_number" tableColumnId="70"/>
      <queryTableField id="71" name="departure1_from_city" tableColumnId="71"/>
      <queryTableField id="72" name="departure1_to_city" tableColumnId="72"/>
      <queryTableField id="73" name="departure1_date_from" tableColumnId="73"/>
      <queryTableField id="74" name="departure1_time_from" tableColumnId="74"/>
      <queryTableField id="75" name="departure1_date_to" tableColumnId="75"/>
      <queryTableField id="76" name="departure1_time_to" tableColumnId="76"/>
      <queryTableField id="77" name="departure2_flight_number" tableColumnId="77"/>
      <queryTableField id="78" name="departure2_from_city" tableColumnId="78"/>
      <queryTableField id="79" name="departure2_to_city" tableColumnId="79"/>
      <queryTableField id="80" name="departure2_date_from" tableColumnId="80"/>
      <queryTableField id="81" name="departure2_time_from" tableColumnId="81"/>
      <queryTableField id="82" name="departure2_date_to" tableColumnId="82"/>
      <queryTableField id="83" name="departure2_time_to" tableColumnId="83"/>
      <queryTableField id="84" name="return1_flight_number" tableColumnId="84"/>
      <queryTableField id="85" name="return1_from_city" tableColumnId="85"/>
      <queryTableField id="86" name="return1_to_city" tableColumnId="86"/>
      <queryTableField id="87" name="return1_date_from" tableColumnId="87"/>
      <queryTableField id="88" name="return1_time_from" tableColumnId="88"/>
      <queryTableField id="89" name="return1_date_to" tableColumnId="89"/>
      <queryTableField id="90" name="return1_time_to" tableColumnId="90"/>
      <queryTableField id="91" name="return2_flight_number" tableColumnId="91"/>
      <queryTableField id="92" name="return2_from_city" tableColumnId="92"/>
      <queryTableField id="93" name="return2_to_city" tableColumnId="93"/>
      <queryTableField id="94" name="return2_date_from" tableColumnId="94"/>
      <queryTableField id="95" name="return2_time_from" tableColumnId="95"/>
      <queryTableField id="96" name="return2_date_to" tableColumnId="96"/>
      <queryTableField id="97" name="return2_time_to" tableColumnId="9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9C3AB27-1917-4859-AD68-6CEB978ECBBA}" autoFormatId="16" applyNumberFormats="0" applyBorderFormats="0" applyFontFormats="0" applyPatternFormats="0" applyAlignmentFormats="0" applyWidthHeightFormats="0">
  <queryTableRefresh nextId="110">
    <queryTableFields count="12">
      <queryTableField id="96" name="nusuk_id" tableColumnId="96"/>
      <queryTableField id="108" name="Contract_type" tableColumnId="10"/>
      <queryTableField id="52" name="PNR" tableColumnId="52"/>
      <queryTableField id="54" name="Booking_ID" tableColumnId="54"/>
      <queryTableField id="98" name="Dep_Flight" tableColumnId="1"/>
      <queryTableField id="99" name="Dep_Destination" tableColumnId="2"/>
      <queryTableField id="100" name="Dep_Arr_Date" tableColumnId="3"/>
      <queryTableField id="101" name="Dep_Arr_Time" tableColumnId="4"/>
      <queryTableField id="102" name="Ret_Flight" tableColumnId="5"/>
      <queryTableField id="106" name="Ret_Origin" tableColumnId="9"/>
      <queryTableField id="103" name="Ret_Date" tableColumnId="6"/>
      <queryTableField id="104" name="Ret_Tim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3F62EFE-9522-4D63-B4A4-B7FA537A5DF1}" autoFormatId="16" applyNumberFormats="0" applyBorderFormats="0" applyFontFormats="0" applyPatternFormats="0" applyAlignmentFormats="0" applyWidthHeightFormats="0">
  <queryTableRefresh nextId="67">
    <queryTableFields count="30">
      <queryTableField id="1" name="package_name" tableColumnId="1"/>
      <queryTableField id="65" name="unique_id" tableColumnId="2"/>
      <queryTableField id="26" name="departure1_flight_number" tableColumnId="11"/>
      <queryTableField id="27" name="departure1_from_city" tableColumnId="12"/>
      <queryTableField id="28" name="departure1_to_city" tableColumnId="13"/>
      <queryTableField id="29" name="departure1_date_from" tableColumnId="14"/>
      <queryTableField id="30" name="departure1_time_from" tableColumnId="15"/>
      <queryTableField id="31" name="departure1_date_to" tableColumnId="16"/>
      <queryTableField id="32" name="departure1_time_to" tableColumnId="17"/>
      <queryTableField id="33" name="departure2_flight_number" tableColumnId="18"/>
      <queryTableField id="34" name="departure2_from_city" tableColumnId="19"/>
      <queryTableField id="35" name="departure2_to_city" tableColumnId="20"/>
      <queryTableField id="36" name="departure2_date_from" tableColumnId="21"/>
      <queryTableField id="37" name="departure2_time_from" tableColumnId="22"/>
      <queryTableField id="38" name="departure2_date_to" tableColumnId="23"/>
      <queryTableField id="39" name="departure2_time_to" tableColumnId="24"/>
      <queryTableField id="40" name="return1_flight_number" tableColumnId="25"/>
      <queryTableField id="41" name="return1_from_city" tableColumnId="26"/>
      <queryTableField id="42" name="return1_to_city" tableColumnId="27"/>
      <queryTableField id="43" name="return1_date_from" tableColumnId="28"/>
      <queryTableField id="44" name="return1_time_from" tableColumnId="29"/>
      <queryTableField id="45" name="return1_date_to" tableColumnId="30"/>
      <queryTableField id="46" name="return1_time_to" tableColumnId="31"/>
      <queryTableField id="47" name="return2_flight_number" tableColumnId="32"/>
      <queryTableField id="48" name="return2_from_city" tableColumnId="33"/>
      <queryTableField id="49" name="return2_to_city" tableColumnId="34"/>
      <queryTableField id="50" name="return2_date_from" tableColumnId="35"/>
      <queryTableField id="51" name="return2_time_from" tableColumnId="36"/>
      <queryTableField id="52" name="return2_date_to" tableColumnId="37"/>
      <queryTableField id="53" name="return2_time_to" tableColumnId="38"/>
    </queryTableFields>
    <queryTableDeletedFields count="1">
      <deletedField name="pnr_index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5E56E0E-48E7-4E76-9DEA-C1A37E8C4BAE}" autoFormatId="16" applyNumberFormats="0" applyBorderFormats="0" applyFontFormats="0" applyPatternFormats="0" applyAlignmentFormats="0" applyWidthHeightFormats="0">
  <queryTableRefresh nextId="13">
    <queryTableFields count="12">
      <queryTableField id="1" name="nusuk_id" tableColumnId="1"/>
      <queryTableField id="2" name="Contract_type" tableColumnId="2"/>
      <queryTableField id="3" name="PNR" tableColumnId="3"/>
      <queryTableField id="4" name="Booking_ID" tableColumnId="4"/>
      <queryTableField id="5" name="Dep_Flight" tableColumnId="5"/>
      <queryTableField id="6" name="Dep_Destination" tableColumnId="6"/>
      <queryTableField id="7" name="Dep_Arr_Date" tableColumnId="7"/>
      <queryTableField id="8" name="Dep_Arr_Time" tableColumnId="8"/>
      <queryTableField id="9" name="Ret_Flight" tableColumnId="9"/>
      <queryTableField id="10" name="Ret_Origin" tableColumnId="10"/>
      <queryTableField id="11" name="Ret_Date" tableColumnId="11"/>
      <queryTableField id="12" name="Ret_Time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84ACF35-58FF-4DD2-A3E9-E5D70A4AFAE0}" autoFormatId="16" applyNumberFormats="0" applyBorderFormats="0" applyFontFormats="0" applyPatternFormats="0" applyAlignmentFormats="0" applyWidthHeightFormats="0">
  <queryTableRefresh nextId="43">
    <queryTableFields count="12">
      <queryTableField id="15" name="package_name" tableColumnId="1"/>
      <queryTableField id="41" name="Capacity" tableColumnId="5"/>
      <queryTableField id="3" name="start_date" tableColumnId="3"/>
      <queryTableField id="4" name="end_date" tableColumnId="4"/>
      <queryTableField id="16" name="first_hotel_name" tableColumnId="2"/>
      <queryTableField id="17" name="first_hotel_location" tableColumnId="6"/>
      <queryTableField id="18" name="first_hotel_check_in" tableColumnId="7"/>
      <queryTableField id="19" name="first_hotel_check_out" tableColumnId="9"/>
      <queryTableField id="20" name="second_hotel_name" tableColumnId="10"/>
      <queryTableField id="21" name="second_hotel_location" tableColumnId="11"/>
      <queryTableField id="22" name="second_hotel_check_in" tableColumnId="12"/>
      <queryTableField id="23" name="second_hotel_check_out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B7163F48-7EDB-4758-B943-97FD2CC8FC26}" autoFormatId="16" applyNumberFormats="0" applyBorderFormats="0" applyFontFormats="0" applyPatternFormats="0" applyAlignmentFormats="0" applyWidthHeightFormats="0">
  <queryTableRefresh nextId="111">
    <queryTableFields count="39">
      <queryTableField id="1" name="nusuk_id" tableColumnId="1"/>
      <queryTableField id="83" name="group_id" tableColumnId="61"/>
      <queryTableField id="84" name="gender" tableColumnId="62"/>
      <queryTableField id="106" name="name" tableColumnId="9"/>
      <queryTableField id="87" name="birth_date" tableColumnId="65"/>
      <queryTableField id="88" name="Age" tableColumnId="66"/>
      <queryTableField id="89" name="guide_name" tableColumnId="67"/>
      <queryTableField id="90" name="residence_country" tableColumnId="68"/>
      <queryTableField id="91" name="nationality" tableColumnId="69"/>
      <queryTableField id="59" name="package_id" tableColumnId="49"/>
      <queryTableField id="60" name="package_name" tableColumnId="50"/>
      <queryTableField id="61" name="packages.start_date" tableColumnId="51"/>
      <queryTableField id="62" name="packages.end_date" tableColumnId="52"/>
      <queryTableField id="63" name="packages.first_hotel_name" tableColumnId="53"/>
      <queryTableField id="92" name="camp" tableColumnId="70"/>
      <queryTableField id="64" name="packages.first_hotel_location" tableColumnId="54"/>
      <queryTableField id="65" name="packages.first_hotel_check_in" tableColumnId="55"/>
      <queryTableField id="66" name="packages.first_hotel_check_out" tableColumnId="56"/>
      <queryTableField id="67" name="packages.second_hotel_name" tableColumnId="57"/>
      <queryTableField id="68" name="packages.second_hotel_location" tableColumnId="58"/>
      <queryTableField id="69" name="packages.second_hotel_check_in" tableColumnId="59"/>
      <queryTableField id="103" dataBound="0" tableColumnId="6"/>
      <queryTableField id="105" dataBound="0" tableColumnId="7"/>
      <queryTableField id="104" dataBound="0" tableColumnId="8"/>
      <queryTableField id="70" name="packages.second_hotel_check_out" tableColumnId="60"/>
      <queryTableField id="2" name="Flight_contract_type" tableColumnId="2"/>
      <queryTableField id="3" name="flight_contract_name" tableColumnId="3"/>
      <queryTableField id="39" name="PNR" tableColumnId="39"/>
      <queryTableField id="40" name="Booking_ID" tableColumnId="40"/>
      <queryTableField id="41" name="Dep_Flight" tableColumnId="41"/>
      <queryTableField id="42" name="Dep_Destination" tableColumnId="42"/>
      <queryTableField id="43" name="Dep_Arr_Date" tableColumnId="43"/>
      <queryTableField id="44" name="Dep_Arr_Time" tableColumnId="44"/>
      <queryTableField id="45" name="Ret_Flight" tableColumnId="45"/>
      <queryTableField id="46" name="Ret_Origin" tableColumnId="46"/>
      <queryTableField id="47" name="Ret_Date" tableColumnId="47"/>
      <queryTableField id="48" name="Ret_Time" tableColumnId="48"/>
      <queryTableField id="4" name="visa_status" tableColumnId="4"/>
      <queryTableField id="5" name="inside_kingdom" tableColumnId="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C9E19E-F1E4-41BC-8CDE-3783E3E222B7}" name="Table4" displayName="Table4" ref="A1:C6" totalsRowShown="0" headerRowDxfId="215" dataDxfId="214">
  <autoFilter ref="A1:C6" xr:uid="{FDC9E19E-F1E4-41BC-8CDE-3783E3E222B7}"/>
  <tableColumns count="3">
    <tableColumn id="1" xr3:uid="{FD8F9223-6DA0-4406-A3C0-76364A8EC013}" name="file" dataDxfId="213"/>
    <tableColumn id="2" xr3:uid="{6D94024B-DD30-4A16-AEA6-C00C2619AACC}" name="type" dataDxfId="212"/>
    <tableColumn id="3" xr3:uid="{7794EB76-BE06-49F0-A62F-A6A762FCF9DE}" name="value" dataDxfId="2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48ADF-D7C7-4D52-95E8-7F52AF9B0E89}" name="Table8" displayName="Table8" ref="A1:E29" totalsRowShown="0" headerRowDxfId="210" dataDxfId="209" tableBorderDxfId="208">
  <autoFilter ref="A1:E29" xr:uid="{9FE48ADF-D7C7-4D52-95E8-7F52AF9B0E89}"/>
  <tableColumns count="5">
    <tableColumn id="1" xr3:uid="{9ECC5024-3726-4682-A939-77A0496C336F}" name="source" dataDxfId="207"/>
    <tableColumn id="2" xr3:uid="{F2784401-EA8B-4E2F-A872-43CDF7CBCF13}" name="id" dataDxfId="206"/>
    <tableColumn id="3" xr3:uid="{97771BF0-3C26-4E00-9D27-605429C01757}" name="package_name_AR" dataDxfId="205"/>
    <tableColumn id="5" xr3:uid="{13E73FD3-A4F3-4E72-93CB-F4FC51A3EC33}" name="Capacity" dataDxfId="204"/>
    <tableColumn id="4" xr3:uid="{F80AB179-14B8-46D2-B294-5818E0AEFEF9}" name="normalize" dataDxfId="20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A1133-80DA-49DE-8EE8-95F482A16B16}" name="Table9" displayName="Table9" ref="G1:H20" totalsRowShown="0">
  <autoFilter ref="G1:H20" xr:uid="{942A1133-80DA-49DE-8EE8-95F482A16B16}"/>
  <tableColumns count="2">
    <tableColumn id="1" xr3:uid="{6B504435-98DE-4419-B592-96D0DF5D4DCC}" name="Country_AR" dataDxfId="186"/>
    <tableColumn id="2" xr3:uid="{25C2D4E1-3F26-462E-AA95-67F611F87065}" name="Country_EN" dataDxfId="1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64132-59F5-4D55-BAD5-F2A87270C7F5}" name="pilgrims_raw" displayName="pilgrims_raw" ref="A1:V475" tableType="queryTable" totalsRowShown="0" dataDxfId="202">
  <autoFilter ref="A1:V475" xr:uid="{27564132-59F5-4D55-BAD5-F2A87270C7F5}"/>
  <tableColumns count="22">
    <tableColumn id="25" xr3:uid="{88CB3CF9-49BC-43C4-86E8-C838BDF54CED}" uniqueName="25" name="nusuk_id" queryTableFieldId="25" dataDxfId="184"/>
    <tableColumn id="26" xr3:uid="{39EBB60A-F3E5-40C9-98D0-16C420D0C3EB}" uniqueName="26" name="group_id" queryTableFieldId="26" dataDxfId="183"/>
    <tableColumn id="28" xr3:uid="{1C64F972-8BCC-4A05-9C25-3B174C40C4B3}" uniqueName="28" name="gender" queryTableFieldId="28" dataDxfId="182"/>
    <tableColumn id="29" xr3:uid="{928A7D58-A5E9-400D-A86D-09C1DD963016}" uniqueName="29" name="first_name" queryTableFieldId="29" dataDxfId="181"/>
    <tableColumn id="30" xr3:uid="{B2E8A504-0DD4-4B3C-B50B-1EF47EB7C632}" uniqueName="30" name="last_name" queryTableFieldId="30" dataDxfId="180"/>
    <tableColumn id="31" xr3:uid="{0C650AFD-13E6-4A2D-9BC5-EF175CD18145}" uniqueName="31" name="birth_date" queryTableFieldId="31" dataDxfId="179"/>
    <tableColumn id="1" xr3:uid="{9ADEDE4D-FFE0-4743-8DCC-849E0D108F68}" uniqueName="1" name="Age" queryTableFieldId="63"/>
    <tableColumn id="32" xr3:uid="{837A16BD-8C2C-415A-9FE7-14BC05EB8714}" uniqueName="32" name="guide_name" queryTableFieldId="32" dataDxfId="178"/>
    <tableColumn id="33" xr3:uid="{34097AB5-2469-4166-98BF-F1139D10F931}" uniqueName="33" name="residence_country" queryTableFieldId="33" dataDxfId="177"/>
    <tableColumn id="34" xr3:uid="{FC579BEE-A143-40DC-B41C-ACEF840E71DC}" uniqueName="34" name="nationality" queryTableFieldId="34" dataDxfId="176"/>
    <tableColumn id="35" xr3:uid="{758E8936-9D97-4610-9C36-7A252D7962C6}" uniqueName="35" name="package_id" queryTableFieldId="35" dataDxfId="175"/>
    <tableColumn id="37" xr3:uid="{F773C6BC-1F8E-4D8B-AAF9-1FF532F97A1A}" uniqueName="37" name="Flight_contract_type" queryTableFieldId="37" dataDxfId="174"/>
    <tableColumn id="38" xr3:uid="{21F4E4D1-D1B2-4B01-B5A5-A8641AC097F3}" uniqueName="38" name="flight_contract_name" queryTableFieldId="38" dataDxfId="173"/>
    <tableColumn id="39" xr3:uid="{1DBC5539-1019-47C9-B54B-17DDF2F4E96A}" uniqueName="39" name="visa_status" queryTableFieldId="39" dataDxfId="172"/>
    <tableColumn id="40" xr3:uid="{B155565C-86C4-4497-AFEF-7C3165762A7F}" uniqueName="40" name="inside_kingdom" queryTableFieldId="40" dataDxfId="171"/>
    <tableColumn id="41" xr3:uid="{E98EB995-DEAA-48B4-91C1-F14DE426B692}" uniqueName="41" name="ticket_number" queryTableFieldId="41" dataDxfId="170"/>
    <tableColumn id="42" xr3:uid="{BCC3EAD2-27FE-4EAF-B42D-54FBC779D736}" uniqueName="42" name="ticket_URL" queryTableFieldId="42" dataDxfId="169"/>
    <tableColumn id="43" xr3:uid="{C5EF1032-1103-42C8-8D14-61987BBF6661}" uniqueName="43" name="camp" queryTableFieldId="43" dataDxfId="168"/>
    <tableColumn id="21" xr3:uid="{5CFD5B92-BA7E-42DD-B74E-3A7E03E1FDAF}" uniqueName="21" name="نوع النقل (الوصول)" queryTableFieldId="21" dataDxfId="167"/>
    <tableColumn id="22" xr3:uid="{6704001C-F700-4EDC-A75C-BC8E952E9912}" uniqueName="22" name="وقت الوصول - النقل" queryTableFieldId="22" dataDxfId="166"/>
    <tableColumn id="23" xr3:uid="{EC99DCA7-E4DE-46D7-A750-47A8CFE61AAD}" uniqueName="23" name="نوع النقل (المغادرة)" queryTableFieldId="23" dataDxfId="165"/>
    <tableColumn id="24" xr3:uid="{AA0145CC-4B73-4986-ACFA-6175504F98AB}" uniqueName="24" name="وقت المغادرة - النقل" queryTableFieldId="24" dataDxfId="1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F1FBF-CADF-4611-9848-E67072306F22}" name="flights" displayName="flights" ref="A1:AD20" tableType="queryTable" totalsRowShown="0" dataDxfId="201">
  <autoFilter ref="A1:AD20" xr:uid="{001F1FBF-CADF-4611-9848-E67072306F22}"/>
  <tableColumns count="30">
    <tableColumn id="30" xr3:uid="{E6F61386-1D00-44B3-9050-0BBE48DAA991}" uniqueName="30" name="ID" queryTableFieldId="30"/>
    <tableColumn id="29" xr3:uid="{9E8361C1-0EEE-40E6-BFAE-C199BC9B1592}" uniqueName="29" name="unique_id" queryTableFieldId="29" dataDxfId="200"/>
    <tableColumn id="1" xr3:uid="{0EC19693-1A49-4D85-B2D5-EACB48E98B5A}" uniqueName="1" name="departure1_flight_number" queryTableFieldId="1" dataDxfId="89"/>
    <tableColumn id="2" xr3:uid="{CE3AFAAD-1338-47B5-B353-75588D4732FD}" uniqueName="2" name="departure1_from_city" queryTableFieldId="2" dataDxfId="88"/>
    <tableColumn id="3" xr3:uid="{7AFBDB96-803F-4360-B835-8B1FEB6A16B4}" uniqueName="3" name="departure1_to_city" queryTableFieldId="3" dataDxfId="87"/>
    <tableColumn id="4" xr3:uid="{8C32AB5F-8263-4192-8A04-484A341DB8AC}" uniqueName="4" name="departure1_date_from" queryTableFieldId="4" dataDxfId="86"/>
    <tableColumn id="5" xr3:uid="{882D25BB-DBAF-4E6C-9673-1942935EEA76}" uniqueName="5" name="departure1_time_from" queryTableFieldId="5" dataDxfId="85"/>
    <tableColumn id="6" xr3:uid="{41E40612-6F68-4704-B06A-05E91CF7FA43}" uniqueName="6" name="departure1_date_to" queryTableFieldId="6" dataDxfId="84"/>
    <tableColumn id="7" xr3:uid="{8B14AE4D-CF9B-41BE-8525-847798785CE1}" uniqueName="7" name="departure1_time_to" queryTableFieldId="7" dataDxfId="83"/>
    <tableColumn id="8" xr3:uid="{194CCDB2-56BF-4779-AFD2-482EFADD88CB}" uniqueName="8" name="departure2_flight_number" queryTableFieldId="8" dataDxfId="82"/>
    <tableColumn id="9" xr3:uid="{E8AB80C6-6955-4727-933D-3DFA2257CC16}" uniqueName="9" name="departure2_from_city" queryTableFieldId="9" dataDxfId="81"/>
    <tableColumn id="10" xr3:uid="{C4798B18-A248-4F96-88B9-AC62277EFA26}" uniqueName="10" name="departure2_to_city" queryTableFieldId="10" dataDxfId="80"/>
    <tableColumn id="11" xr3:uid="{7831D395-3358-4590-BFD0-652A657A44C5}" uniqueName="11" name="departure2_date_from" queryTableFieldId="11" dataDxfId="79"/>
    <tableColumn id="12" xr3:uid="{49CFBDA2-E6CA-4B13-84DE-EF6F5FBF5BEA}" uniqueName="12" name="departure2_time_from" queryTableFieldId="12" dataDxfId="78"/>
    <tableColumn id="13" xr3:uid="{E44825B2-9A9C-4024-9AC6-C802A155D12A}" uniqueName="13" name="departure2_date_to" queryTableFieldId="13" dataDxfId="77"/>
    <tableColumn id="14" xr3:uid="{70952696-69E4-4227-A624-CA4F46E1C44B}" uniqueName="14" name="departure2_time_to" queryTableFieldId="14" dataDxfId="76"/>
    <tableColumn id="15" xr3:uid="{E0399F86-6B62-4C8D-A0D7-FF5C6EF56B47}" uniqueName="15" name="return1_flight_number" queryTableFieldId="15" dataDxfId="75"/>
    <tableColumn id="16" xr3:uid="{D01FAD17-F503-4FFC-BB44-56236FAF6521}" uniqueName="16" name="return1_from_city" queryTableFieldId="16" dataDxfId="74"/>
    <tableColumn id="17" xr3:uid="{8CAE2F4A-7EE3-4621-BA21-42C418058828}" uniqueName="17" name="return1_to_city" queryTableFieldId="17" dataDxfId="73"/>
    <tableColumn id="18" xr3:uid="{B7C0A464-14EE-4A34-8A55-FAE9A3A663BE}" uniqueName="18" name="return1_date_from" queryTableFieldId="18" dataDxfId="72"/>
    <tableColumn id="19" xr3:uid="{45C0F9B3-5A47-4B05-BF86-BAB4EF71A63D}" uniqueName="19" name="return1_time_from" queryTableFieldId="19" dataDxfId="71"/>
    <tableColumn id="20" xr3:uid="{88474AE2-79B3-4E78-9E76-ACF7DCB3F515}" uniqueName="20" name="return1_date_to" queryTableFieldId="20" dataDxfId="70"/>
    <tableColumn id="21" xr3:uid="{3165B4C1-EDED-4A95-99A0-7AF1CB207FB6}" uniqueName="21" name="return1_time_to" queryTableFieldId="21" dataDxfId="69"/>
    <tableColumn id="22" xr3:uid="{8AD6C646-F6B3-49AB-90D6-FA73457E5A06}" uniqueName="22" name="return2_flight_number" queryTableFieldId="22" dataDxfId="68"/>
    <tableColumn id="23" xr3:uid="{7E9B66E5-1AD4-4E2A-A41E-FE6758FF6D26}" uniqueName="23" name="return2_from_city" queryTableFieldId="23" dataDxfId="67"/>
    <tableColumn id="24" xr3:uid="{D3102933-8636-4318-88E8-6A973DDAD30A}" uniqueName="24" name="return2_to_city" queryTableFieldId="24" dataDxfId="66"/>
    <tableColumn id="25" xr3:uid="{0EA3A4A0-6F4E-4C7F-9811-75BA445A76B1}" uniqueName="25" name="return2_date_from" queryTableFieldId="25" dataDxfId="65"/>
    <tableColumn id="26" xr3:uid="{5A7EEE3B-EBBE-4A0B-AC42-BF65E814381A}" uniqueName="26" name="return2_time_from" queryTableFieldId="26" dataDxfId="64"/>
    <tableColumn id="27" xr3:uid="{3134850F-9E7E-4096-BDF4-7EEDCBE5C486}" uniqueName="27" name="return2_date_to" queryTableFieldId="27" dataDxfId="63"/>
    <tableColumn id="28" xr3:uid="{D251AFE4-BF42-4B16-8349-0C64AAD71852}" uniqueName="28" name="return2_time_to" queryTableFieldId="28" data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B24D35-920D-4934-AB2D-543EF3ABFBC7}" name="actual_flights_B2B" displayName="actual_flights_B2B" ref="A1:AG26" tableType="queryTable" totalsRowShown="0" headerRowDxfId="199" dataDxfId="198">
  <autoFilter ref="A1:AG26" xr:uid="{FCB24D35-920D-4934-AB2D-543EF3ABFBC7}"/>
  <tableColumns count="33">
    <tableColumn id="68" xr3:uid="{FC9A53BC-4F05-40EC-AF96-88C160F9185A}" uniqueName="68" name="ID" queryTableFieldId="68" dataDxfId="163"/>
    <tableColumn id="103" xr3:uid="{65269604-5A4D-408D-8029-B7941B368B8C}" uniqueName="103" name="nusuk_ID" queryTableFieldId="139" dataDxfId="162">
      <calculatedColumnFormula>_xlfn.XLOOKUP(actual_flights_B2B[[#This Row],[UniqueID]],flights[unique_id],flights[unique_id])</calculatedColumnFormula>
    </tableColumn>
    <tableColumn id="102" xr3:uid="{FC94E5EA-9996-443E-A416-CFBAD3A88C2A}" uniqueName="102" name="UniqueID" queryTableFieldId="137" dataDxfId="161"/>
    <tableColumn id="69" xr3:uid="{8BD8181C-8DC9-4D22-A03C-7C7620DC064F}" uniqueName="69" name="PNR" queryTableFieldId="69" dataDxfId="160"/>
    <tableColumn id="99" xr3:uid="{CB6C5781-A34F-47ED-BADE-E3776FD017CD}" uniqueName="99" name="TOTAL_GEST" queryTableFieldId="133" dataDxfId="159"/>
    <tableColumn id="70" xr3:uid="{D3A14A4A-6AD0-4DCC-86EC-76ACF0C7B2A8}" uniqueName="70" name="departure1_flight_number" queryTableFieldId="70" dataDxfId="158"/>
    <tableColumn id="71" xr3:uid="{8AAC1853-FB12-48AF-B96E-CAD9CF3C688B}" uniqueName="71" name="departure1_from_city" queryTableFieldId="71" dataDxfId="157"/>
    <tableColumn id="72" xr3:uid="{55191C63-85AE-4703-9C28-7DCD8D1224FA}" uniqueName="72" name="departure1_to_city" queryTableFieldId="72" dataDxfId="156"/>
    <tableColumn id="73" xr3:uid="{388493F7-C42C-4CE5-9B7D-6EDBDAAE9C87}" uniqueName="73" name="departure1_date_from" queryTableFieldId="73" dataDxfId="155"/>
    <tableColumn id="74" xr3:uid="{43F3410C-9B77-4710-85D8-6AAC0761E0A8}" uniqueName="74" name="departure1_time_from" queryTableFieldId="74" dataDxfId="154"/>
    <tableColumn id="75" xr3:uid="{7161E116-1C5E-41B0-8864-468F30700ED8}" uniqueName="75" name="departure1_date_to" queryTableFieldId="75" dataDxfId="153"/>
    <tableColumn id="76" xr3:uid="{87C69E2F-BBE5-4E03-9715-BA185FB4960A}" uniqueName="76" name="departure1_time_to" queryTableFieldId="76" dataDxfId="152"/>
    <tableColumn id="77" xr3:uid="{3E17A0FB-03CF-4D55-A588-7D65D6703ED8}" uniqueName="77" name="departure2_flight_number" queryTableFieldId="77" dataDxfId="151"/>
    <tableColumn id="78" xr3:uid="{CBE630A9-C55A-4A1B-A6EE-3BC87D63A4A4}" uniqueName="78" name="departure2_from_city" queryTableFieldId="78" dataDxfId="150"/>
    <tableColumn id="79" xr3:uid="{3B36F3AC-D461-4FEC-863C-6CBE19C61B67}" uniqueName="79" name="departure2_to_city" queryTableFieldId="79" dataDxfId="149"/>
    <tableColumn id="80" xr3:uid="{9C352DAB-4F02-4E39-893A-1367DEEBE1D4}" uniqueName="80" name="departure2_date_from" queryTableFieldId="80" dataDxfId="148"/>
    <tableColumn id="81" xr3:uid="{3342B5F9-BCAB-46F7-94DD-1A843F53243C}" uniqueName="81" name="departure2_time_from" queryTableFieldId="81" dataDxfId="147"/>
    <tableColumn id="82" xr3:uid="{15577D51-6805-4B17-A53D-FB16E9F869D7}" uniqueName="82" name="departure2_date_to" queryTableFieldId="82" dataDxfId="146"/>
    <tableColumn id="83" xr3:uid="{5E7E41E6-3F5A-4697-B953-ADC9E472F917}" uniqueName="83" name="departure2_time_to" queryTableFieldId="83" dataDxfId="145"/>
    <tableColumn id="84" xr3:uid="{CAA536AB-BBAF-4070-82B2-B01E6E1D241C}" uniqueName="84" name="return1_flight_number" queryTableFieldId="84" dataDxfId="144"/>
    <tableColumn id="85" xr3:uid="{6FA4A467-BBA3-4505-ACF7-635D53312A8A}" uniqueName="85" name="return1_from_city" queryTableFieldId="85" dataDxfId="143"/>
    <tableColumn id="86" xr3:uid="{24CC855E-7E63-42E4-8215-BE2F8D776CA5}" uniqueName="86" name="return1_to_city" queryTableFieldId="86" dataDxfId="142"/>
    <tableColumn id="87" xr3:uid="{20D13746-FB1C-496F-AB1D-5EA3F465F97C}" uniqueName="87" name="return1_date_from" queryTableFieldId="87" dataDxfId="141"/>
    <tableColumn id="88" xr3:uid="{D275EB56-B97A-4D1A-82E2-ECD1B5C16C87}" uniqueName="88" name="return1_time_from" queryTableFieldId="88" dataDxfId="140"/>
    <tableColumn id="89" xr3:uid="{830A2918-5B8B-4341-8859-9105A6F076D5}" uniqueName="89" name="return1_date_to" queryTableFieldId="89" dataDxfId="139"/>
    <tableColumn id="90" xr3:uid="{9F5D669F-3A46-4BCC-AC07-52265AC4E8E2}" uniqueName="90" name="return1_time_to" queryTableFieldId="90" dataDxfId="138"/>
    <tableColumn id="91" xr3:uid="{854EF889-DCE1-4DFC-B4CF-76230479654D}" uniqueName="91" name="return2_flight_number" queryTableFieldId="91" dataDxfId="137"/>
    <tableColumn id="92" xr3:uid="{BAC18029-8A25-453C-9757-974BF4A58F15}" uniqueName="92" name="return2_from_city" queryTableFieldId="92" dataDxfId="136"/>
    <tableColumn id="93" xr3:uid="{5A0521F7-56C9-45A5-8B3F-A77951C9AC82}" uniqueName="93" name="return2_to_city" queryTableFieldId="93" dataDxfId="135"/>
    <tableColumn id="94" xr3:uid="{E46BADAA-57DE-4E0E-8938-23846A6EEDC6}" uniqueName="94" name="return2_date_from" queryTableFieldId="94" dataDxfId="134"/>
    <tableColumn id="95" xr3:uid="{F39CD615-96BF-4610-8B42-90AB2076BA35}" uniqueName="95" name="return2_time_from" queryTableFieldId="95" dataDxfId="133"/>
    <tableColumn id="96" xr3:uid="{668B6035-D24B-490D-A8B0-F739F0BFF35E}" uniqueName="96" name="return2_date_to" queryTableFieldId="96" dataDxfId="132"/>
    <tableColumn id="97" xr3:uid="{DED162A9-72AE-46FC-BFA0-E32F5E86397C}" uniqueName="97" name="return2_time_to" queryTableFieldId="97" dataDxfId="1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A55CE6-DADA-411D-90D8-E9B9CACE0351}" name="actual_flights_B2C" displayName="actual_flights_B2C" ref="A1:L178" tableType="queryTable" totalsRowShown="0" dataDxfId="197">
  <autoFilter ref="A1:L178" xr:uid="{60A55CE6-DADA-411D-90D8-E9B9CACE0351}"/>
  <tableColumns count="12">
    <tableColumn id="96" xr3:uid="{D0BE103C-8DE0-4B1B-A849-8A7F643FCA57}" uniqueName="96" name="nusuk_id" queryTableFieldId="96" dataDxfId="61"/>
    <tableColumn id="10" xr3:uid="{C270E76C-61AA-4741-A89F-33AB5381EC78}" uniqueName="10" name="Contract_type" queryTableFieldId="108"/>
    <tableColumn id="52" xr3:uid="{FE918BBE-2D1C-47AB-A64F-3944F07F99A8}" uniqueName="52" name="PNR" queryTableFieldId="52" dataDxfId="60"/>
    <tableColumn id="54" xr3:uid="{ACE8856F-28B3-499D-9C40-7335EEB231A3}" uniqueName="54" name="Booking_ID" queryTableFieldId="54" dataDxfId="59"/>
    <tableColumn id="1" xr3:uid="{E6A6F9C2-3B85-4E45-9F5F-BFE041A44674}" uniqueName="1" name="Dep_Flight" queryTableFieldId="98" dataDxfId="58"/>
    <tableColumn id="2" xr3:uid="{A8C712A2-2836-4FAF-A877-D28D67C3787F}" uniqueName="2" name="Dep_Destination" queryTableFieldId="99" dataDxfId="57"/>
    <tableColumn id="3" xr3:uid="{00560008-AAC9-4C13-BA24-4CE0960FD030}" uniqueName="3" name="Dep_Arr_Date" queryTableFieldId="100" dataDxfId="56"/>
    <tableColumn id="4" xr3:uid="{F0E39988-0BCB-478C-89F0-7DACF6BB088B}" uniqueName="4" name="Dep_Arr_Time" queryTableFieldId="101" dataDxfId="55"/>
    <tableColumn id="5" xr3:uid="{0FF2E522-93CA-413F-9872-8E5EABBEA210}" uniqueName="5" name="Ret_Flight" queryTableFieldId="102" dataDxfId="54"/>
    <tableColumn id="9" xr3:uid="{0C1A094C-1A67-4D36-ADA0-0E9EC31BF82B}" uniqueName="9" name="Ret_Origin" queryTableFieldId="106" dataDxfId="53"/>
    <tableColumn id="6" xr3:uid="{129EDD61-A9D3-4F51-9FFD-441197A53779}" uniqueName="6" name="Ret_Date" queryTableFieldId="103" dataDxfId="52"/>
    <tableColumn id="7" xr3:uid="{24D422E0-C769-49AE-8E40-741FF6E42B63}" uniqueName="7" name="Ret_Time" queryTableFieldId="104" dataDxfId="5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A7357-3D3A-42D8-B4A6-26B3A8AFD5D6}" name="flights_packages" displayName="flights_packages" ref="A1:AD178" tableType="queryTable" totalsRowShown="0" dataDxfId="196">
  <autoFilter ref="A1:AD178" xr:uid="{B6BC7C56-6470-4569-8C3F-FBAF42F31B11}"/>
  <sortState xmlns:xlrd2="http://schemas.microsoft.com/office/spreadsheetml/2017/richdata2" ref="A2:AD178">
    <sortCondition ref="A2:A178"/>
  </sortState>
  <tableColumns count="30">
    <tableColumn id="1" xr3:uid="{C4503ECB-1616-4C78-97C9-2AD515A179E2}" uniqueName="1" name="package_name" queryTableFieldId="1" dataDxfId="130"/>
    <tableColumn id="2" xr3:uid="{5FAF700B-8CAD-4BD1-ACA8-58074D4E1852}" uniqueName="2" name="unique_id" queryTableFieldId="65" dataDxfId="195"/>
    <tableColumn id="11" xr3:uid="{31204B94-21E9-4556-B41F-09ECC1FBE9AA}" uniqueName="11" name="departure1_flight_number" queryTableFieldId="26" dataDxfId="129"/>
    <tableColumn id="12" xr3:uid="{49E8A5B0-EB83-47F8-B8DA-3B98F8E1B673}" uniqueName="12" name="departure1_from_city" queryTableFieldId="27" dataDxfId="128"/>
    <tableColumn id="13" xr3:uid="{307D1AFE-1DE3-4575-8A84-7624EBF97BA4}" uniqueName="13" name="departure1_to_city" queryTableFieldId="28" dataDxfId="127"/>
    <tableColumn id="14" xr3:uid="{271BFBC5-0404-4B79-AB47-783E03038E67}" uniqueName="14" name="departure1_date_from" queryTableFieldId="29" dataDxfId="126"/>
    <tableColumn id="15" xr3:uid="{0F2E6FDE-6AB3-4AA4-8596-A6D184B610B1}" uniqueName="15" name="departure1_time_from" queryTableFieldId="30" dataDxfId="125"/>
    <tableColumn id="16" xr3:uid="{79E4A40D-6BCD-414D-89DD-3497B67248CB}" uniqueName="16" name="departure1_date_to" queryTableFieldId="31" dataDxfId="124"/>
    <tableColumn id="17" xr3:uid="{EF861A98-0E2D-4537-B50B-497625196E58}" uniqueName="17" name="departure1_time_to" queryTableFieldId="32" dataDxfId="123"/>
    <tableColumn id="18" xr3:uid="{AE540ED1-8D23-4546-A5E9-BBE9BDF584E8}" uniqueName="18" name="departure2_flight_number" queryTableFieldId="33" dataDxfId="122"/>
    <tableColumn id="19" xr3:uid="{218B0BDC-6DC2-480D-986B-A65E9230AC9A}" uniqueName="19" name="departure2_from_city" queryTableFieldId="34" dataDxfId="121"/>
    <tableColumn id="20" xr3:uid="{FCDE117F-9D98-439D-A3A7-40BF9019F5C2}" uniqueName="20" name="departure2_to_city" queryTableFieldId="35" dataDxfId="120"/>
    <tableColumn id="21" xr3:uid="{B6A8DF8F-7F0B-43B5-BCF4-7D5BDCFFEF08}" uniqueName="21" name="departure2_date_from" queryTableFieldId="36" dataDxfId="119"/>
    <tableColumn id="22" xr3:uid="{5690D6E7-E3FC-47A8-B2B9-020096D047C6}" uniqueName="22" name="departure2_time_from" queryTableFieldId="37" dataDxfId="118"/>
    <tableColumn id="23" xr3:uid="{81F0782E-CF12-4A06-85BB-EFD3F8C45A0A}" uniqueName="23" name="departure2_date_to" queryTableFieldId="38" dataDxfId="117"/>
    <tableColumn id="24" xr3:uid="{51FCB4C1-DDA3-44FE-9815-C5910AA082C0}" uniqueName="24" name="departure2_time_to" queryTableFieldId="39" dataDxfId="116"/>
    <tableColumn id="25" xr3:uid="{016A18E5-B68E-49E8-BB3A-2C423643F78B}" uniqueName="25" name="return1_flight_number" queryTableFieldId="40" dataDxfId="115"/>
    <tableColumn id="26" xr3:uid="{07B0A753-1F6D-41D7-B84A-F7AB5807B132}" uniqueName="26" name="return1_from_city" queryTableFieldId="41" dataDxfId="114"/>
    <tableColumn id="27" xr3:uid="{54062942-BE1E-4623-A34B-FBBBEDD2B62D}" uniqueName="27" name="return1_to_city" queryTableFieldId="42" dataDxfId="113"/>
    <tableColumn id="28" xr3:uid="{9FA20BA4-8AF9-4D1F-8370-596E675DF4BE}" uniqueName="28" name="return1_date_from" queryTableFieldId="43" dataDxfId="112"/>
    <tableColumn id="29" xr3:uid="{1FD20072-B582-48B5-9A85-BC3C2C5B1E05}" uniqueName="29" name="return1_time_from" queryTableFieldId="44" dataDxfId="111"/>
    <tableColumn id="30" xr3:uid="{C114BD72-2426-47B4-BEC2-AA3423A0B2E5}" uniqueName="30" name="return1_date_to" queryTableFieldId="45" dataDxfId="110"/>
    <tableColumn id="31" xr3:uid="{91BAA60C-CA82-4DC4-870A-A619012F7C5C}" uniqueName="31" name="return1_time_to" queryTableFieldId="46" dataDxfId="109"/>
    <tableColumn id="32" xr3:uid="{74D2E594-6045-4489-9C68-3CE419DDBEA2}" uniqueName="32" name="return2_flight_number" queryTableFieldId="47" dataDxfId="108"/>
    <tableColumn id="33" xr3:uid="{8528757A-FA00-454D-A1D1-935681715F5A}" uniqueName="33" name="return2_from_city" queryTableFieldId="48" dataDxfId="107"/>
    <tableColumn id="34" xr3:uid="{3BBC5EBE-0647-4485-912F-ED1E066D0CCA}" uniqueName="34" name="return2_to_city" queryTableFieldId="49" dataDxfId="106"/>
    <tableColumn id="35" xr3:uid="{14A6152E-FCF9-4002-8B22-6F910FEC5647}" uniqueName="35" name="return2_date_from" queryTableFieldId="50" dataDxfId="105"/>
    <tableColumn id="36" xr3:uid="{B31D217E-EC2A-4109-8707-81DDF2067084}" uniqueName="36" name="return2_time_from" queryTableFieldId="51" dataDxfId="104"/>
    <tableColumn id="37" xr3:uid="{9747A25E-7042-49C9-AC24-FBC7F8A0420E}" uniqueName="37" name="return2_date_to" queryTableFieldId="52" dataDxfId="103"/>
    <tableColumn id="38" xr3:uid="{60A58EB3-8441-435D-A853-E29EB5A8A976}" uniqueName="38" name="return2_time_to" queryTableFieldId="53" dataDxfId="10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E3D79D-A20C-41D9-B4A1-7FF6686804CA}" name="All_flights_simple" displayName="All_flights_simple" ref="A1:L477" tableType="queryTable" totalsRowShown="0" headerRowDxfId="194" dataDxfId="192" headerRowBorderDxfId="193" tableBorderDxfId="191" totalsRowBorderDxfId="190">
  <autoFilter ref="A1:L477" xr:uid="{CAE3D79D-A20C-41D9-B4A1-7FF6686804CA}"/>
  <tableColumns count="12">
    <tableColumn id="1" xr3:uid="{F8BA71A5-5D65-4192-85A5-DC1C3D694AC1}" uniqueName="1" name="nusuk_id" queryTableFieldId="1" dataDxfId="50"/>
    <tableColumn id="2" xr3:uid="{A579AC05-98FF-4C5A-90F8-30940D4939E6}" uniqueName="2" name="Contract_type" queryTableFieldId="2" dataDxfId="49"/>
    <tableColumn id="3" xr3:uid="{8306CC13-5E0C-4386-A3B3-82E81A0568C2}" uniqueName="3" name="PNR" queryTableFieldId="3" dataDxfId="48"/>
    <tableColumn id="4" xr3:uid="{E7AFB1E3-CBC5-40E5-A35A-CAB2EC5596C5}" uniqueName="4" name="Booking_ID" queryTableFieldId="4" dataDxfId="47"/>
    <tableColumn id="5" xr3:uid="{6601BE57-A7DB-49C0-928C-4852544F6994}" uniqueName="5" name="Dep_Flight" queryTableFieldId="5" dataDxfId="46"/>
    <tableColumn id="6" xr3:uid="{CC875A03-453F-4949-ACA3-4B9F91A8C2EA}" uniqueName="6" name="Dep_Destination" queryTableFieldId="6" dataDxfId="45"/>
    <tableColumn id="7" xr3:uid="{C0CA5272-9FD5-409D-9310-1C960215F07D}" uniqueName="7" name="Dep_Arr_Date" queryTableFieldId="7" dataDxfId="44"/>
    <tableColumn id="8" xr3:uid="{8A4A2842-96C2-439D-A762-B92865D9FABB}" uniqueName="8" name="Dep_Arr_Time" queryTableFieldId="8" dataDxfId="43"/>
    <tableColumn id="9" xr3:uid="{50D3E04D-A77B-475B-BAEB-423FA1C99495}" uniqueName="9" name="Ret_Flight" queryTableFieldId="9" dataDxfId="42"/>
    <tableColumn id="10" xr3:uid="{A1499929-C28F-4752-A976-8DE91AC74F1E}" uniqueName="10" name="Ret_Origin" queryTableFieldId="10" dataDxfId="41"/>
    <tableColumn id="11" xr3:uid="{C720289A-D0D5-404B-A4F3-1B740584E5B5}" uniqueName="11" name="Ret_Date" queryTableFieldId="11" dataDxfId="40"/>
    <tableColumn id="12" xr3:uid="{8F769EA5-AB4D-4134-9ACF-9338B165670E}" uniqueName="12" name="Ret_Time" queryTableFieldId="12" dataDxfId="3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D07EB-B55E-4E72-8057-D65C7B70C466}" name="packages" displayName="packages" ref="A1:L29" tableType="queryTable" totalsRowShown="0" dataDxfId="189">
  <autoFilter ref="A1:L29" xr:uid="{342D07EB-B55E-4E72-8057-D65C7B70C466}"/>
  <tableColumns count="12">
    <tableColumn id="1" xr3:uid="{213666A7-DEB8-454C-B78B-808A277344AD}" uniqueName="1" name="package_name" queryTableFieldId="15" dataDxfId="101"/>
    <tableColumn id="5" xr3:uid="{7C649718-143E-4F1C-AF03-99710355B9DD}" uniqueName="5" name="Capacity" queryTableFieldId="41" dataDxfId="100"/>
    <tableColumn id="3" xr3:uid="{9832E266-5C8E-4627-BB88-CB30EA3DE409}" uniqueName="3" name="start_date" queryTableFieldId="3" dataDxfId="99"/>
    <tableColumn id="4" xr3:uid="{1DEF6FE2-B045-416D-BFA0-BA2D317B59A9}" uniqueName="4" name="end_date" queryTableFieldId="4" dataDxfId="98"/>
    <tableColumn id="2" xr3:uid="{EF6CA456-AEBC-4107-AACD-1F0DAF8A9CF5}" uniqueName="2" name="first_hotel_name" queryTableFieldId="16" dataDxfId="97"/>
    <tableColumn id="6" xr3:uid="{B626AEBA-8B5B-474C-BDA8-8A6A78ADD84A}" uniqueName="6" name="first_hotel_location" queryTableFieldId="17" dataDxfId="96"/>
    <tableColumn id="7" xr3:uid="{502BDDC7-DAFE-48EC-ADB1-BE23838CD86F}" uniqueName="7" name="first_hotel_check_in" queryTableFieldId="18" dataDxfId="95"/>
    <tableColumn id="9" xr3:uid="{85D41758-64C2-4059-A2A6-A979A927165A}" uniqueName="9" name="first_hotel_check_out" queryTableFieldId="19" dataDxfId="94"/>
    <tableColumn id="10" xr3:uid="{56AEA85B-661A-43EE-A7A1-43DA559B2F7B}" uniqueName="10" name="second_hotel_name" queryTableFieldId="20" dataDxfId="93"/>
    <tableColumn id="11" xr3:uid="{A3FB3DFC-B718-4A05-833B-67B0EDB8D903}" uniqueName="11" name="second_hotel_location" queryTableFieldId="21" dataDxfId="92"/>
    <tableColumn id="12" xr3:uid="{9C8A48BE-AB42-438B-9321-9B9E6939B23C}" uniqueName="12" name="second_hotel_check_in" queryTableFieldId="22" dataDxfId="91"/>
    <tableColumn id="13" xr3:uid="{95953EE5-D90A-4819-AD96-D21A7208146F}" uniqueName="13" name="second_hotel_check_out" queryTableFieldId="23" dataDxfId="9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A272B2-DA84-4DAA-BEB3-05A631541BAC}" name="pilgrims" displayName="pilgrims" ref="A1:AM476" tableType="queryTable" totalsRowShown="0" headerRowDxfId="188" dataDxfId="187">
  <autoFilter ref="A1:AM476" xr:uid="{23A272B2-DA84-4DAA-BEB3-05A631541BAC}"/>
  <tableColumns count="39">
    <tableColumn id="1" xr3:uid="{19D2BA22-FFD5-4429-AB28-246E1B9AFF1F}" uniqueName="1" name="nusuk_id" queryTableFieldId="1" dataDxfId="38"/>
    <tableColumn id="61" xr3:uid="{EE8D88E4-2E84-4910-A017-0421010EA9DD}" uniqueName="61" name="group_id" queryTableFieldId="83" dataDxfId="37"/>
    <tableColumn id="62" xr3:uid="{BD8D89A2-F74B-4A8B-86A2-77FD76D22AA8}" uniqueName="62" name="gender" queryTableFieldId="84" dataDxfId="36"/>
    <tableColumn id="9" xr3:uid="{5C91A668-3A44-4D6C-B035-F902A53A20E1}" uniqueName="9" name="name" queryTableFieldId="106" dataDxfId="35"/>
    <tableColumn id="65" xr3:uid="{6A469BC9-C8D1-4E25-A092-37E51E932606}" uniqueName="65" name="birth_date" queryTableFieldId="87" dataDxfId="34"/>
    <tableColumn id="66" xr3:uid="{43345D7F-FAC2-4950-ABDA-55B32A0F1C1A}" uniqueName="66" name="Age" queryTableFieldId="88" dataDxfId="33"/>
    <tableColumn id="67" xr3:uid="{74499AE5-6714-4660-A568-5D6EE9C5DF46}" uniqueName="67" name="guide_name" queryTableFieldId="89" dataDxfId="32"/>
    <tableColumn id="68" xr3:uid="{F498DE1C-76C2-45FF-B053-AA503F779407}" uniqueName="68" name="residence_country" queryTableFieldId="90" dataDxfId="31"/>
    <tableColumn id="69" xr3:uid="{0C4B074F-BAF6-43B7-8280-0ACD91C7F1C1}" uniqueName="69" name="nationality" queryTableFieldId="91" dataDxfId="30"/>
    <tableColumn id="49" xr3:uid="{2C77ED13-013F-4DB1-A045-D6CAE5041D7A}" uniqueName="49" name="package_id" queryTableFieldId="59" dataDxfId="29"/>
    <tableColumn id="50" xr3:uid="{97C1049B-D99D-4B80-97A1-98DFACB27C2E}" uniqueName="50" name="package_name" queryTableFieldId="60" dataDxfId="28"/>
    <tableColumn id="51" xr3:uid="{90317FD8-3B95-4704-BA1E-5ACE5CDC348E}" uniqueName="51" name="packages.start_date" queryTableFieldId="61" dataDxfId="27"/>
    <tableColumn id="52" xr3:uid="{1D6E60D1-573B-4F34-82FB-9B1F56782654}" uniqueName="52" name="packages.end_date" queryTableFieldId="62" dataDxfId="26"/>
    <tableColumn id="53" xr3:uid="{5C4FF64F-0FB0-49CA-ADE6-DF2AEC189B7B}" uniqueName="53" name="packages.first_hotel_name" queryTableFieldId="63" dataDxfId="25"/>
    <tableColumn id="70" xr3:uid="{1A14D443-27F6-4970-89F7-0230FD76E880}" uniqueName="70" name="camp" queryTableFieldId="92" dataDxfId="24"/>
    <tableColumn id="54" xr3:uid="{1C25BCF6-8C34-4D7F-A571-2C10DBF9E487}" uniqueName="54" name="packages.first_hotel_location" queryTableFieldId="64" dataDxfId="23"/>
    <tableColumn id="55" xr3:uid="{C380D5FF-B0EC-4290-BD77-B32C488D373A}" uniqueName="55" name="packages.first_hotel_check_in" queryTableFieldId="65" dataDxfId="22"/>
    <tableColumn id="56" xr3:uid="{7712F107-D008-416F-959F-5E68941B0A5D}" uniqueName="56" name="packages.first_hotel_check_out" queryTableFieldId="66" dataDxfId="21"/>
    <tableColumn id="57" xr3:uid="{8B737936-E532-4DE3-B4B5-2997F2D84A2B}" uniqueName="57" name="packages.second_hotel_name" queryTableFieldId="67" dataDxfId="20"/>
    <tableColumn id="58" xr3:uid="{A3A1FD47-2855-48A3-929F-75893DF047CA}" uniqueName="58" name="packages.second_hotel_location" queryTableFieldId="68" dataDxfId="19"/>
    <tableColumn id="59" xr3:uid="{F25E418B-425F-4C98-8FB3-6A0CF130A489}" uniqueName="59" name="packages.second_hotel_check_in" queryTableFieldId="69" dataDxfId="18"/>
    <tableColumn id="6" xr3:uid="{A047BD10-3284-4946-A7FB-375AB1E3519C}" uniqueName="6" name="last_hotel_name" queryTableFieldId="103" dataDxfId="17">
      <calculatedColumnFormula>IF(pilgrims[[#This Row],[packages.second_hotel_name]]="",pilgrims[[#This Row],[packages.first_hotel_name]],pilgrims[[#This Row],[packages.second_hotel_name]])</calculatedColumnFormula>
    </tableColumn>
    <tableColumn id="7" xr3:uid="{26195623-D3A8-482E-990C-D9D0AFCF31BC}" uniqueName="7" name="last_hotel_check_in" queryTableFieldId="105" dataDxfId="16">
      <calculatedColumnFormula>IF(pilgrims[[#This Row],[packages.second_hotel_name]]="",pilgrims[[#This Row],[packages.first_hotel_check_in]],pilgrims[[#This Row],[packages.second_hotel_check_in]])</calculatedColumnFormula>
    </tableColumn>
    <tableColumn id="8" xr3:uid="{3442301B-483E-49B4-A624-A1126228C017}" uniqueName="8" name="last_hotel_check_out" queryTableFieldId="104" dataDxfId="15">
      <calculatedColumnFormula>IF(pilgrims[[#This Row],[packages.second_hotel_name]]="",pilgrims[[#This Row],[packages.first_hotel_check_out]],pilgrims[[#This Row],[packages.second_hotel_check_out]])</calculatedColumnFormula>
    </tableColumn>
    <tableColumn id="60" xr3:uid="{C6B6BA82-88D7-4092-8E39-C638D072A776}" uniqueName="60" name="packages.second_hotel_check_out" queryTableFieldId="70" dataDxfId="14"/>
    <tableColumn id="2" xr3:uid="{810C35A7-FA63-4F80-BA7B-A7E97D112617}" uniqueName="2" name="Flight_contract_type" queryTableFieldId="2" dataDxfId="13"/>
    <tableColumn id="3" xr3:uid="{6265AE99-CFEE-4CE5-8DCA-AEF50DFABFD9}" uniqueName="3" name="flight_contract_name" queryTableFieldId="3" dataDxfId="12"/>
    <tableColumn id="39" xr3:uid="{B8F467A5-187A-4964-8649-3B6E8AE1B0DC}" uniqueName="39" name="PNR" queryTableFieldId="39" dataDxfId="11"/>
    <tableColumn id="40" xr3:uid="{4B320FE0-82FA-464B-B8FE-D67395E0A8C7}" uniqueName="40" name="Booking_ID" queryTableFieldId="40" dataDxfId="10"/>
    <tableColumn id="41" xr3:uid="{D3D3C429-924B-424A-9954-61D9BC1AB4C4}" uniqueName="41" name="Dep_Flight" queryTableFieldId="41" dataDxfId="9"/>
    <tableColumn id="42" xr3:uid="{14D6DCD0-E530-43E9-B92B-48EF8485D33A}" uniqueName="42" name="Dep_Destination" queryTableFieldId="42" dataDxfId="8"/>
    <tableColumn id="43" xr3:uid="{19D2C422-C479-48DC-8511-EC64F87E9DD8}" uniqueName="43" name="Dep_Arr_Date" queryTableFieldId="43" dataDxfId="7"/>
    <tableColumn id="44" xr3:uid="{46CF7F8F-8386-47C5-87B7-6FA331BA6411}" uniqueName="44" name="Dep_Arr_Time" queryTableFieldId="44" dataDxfId="6"/>
    <tableColumn id="45" xr3:uid="{8FF43D46-A2E5-48EC-9A16-319ED39C360B}" uniqueName="45" name="Ret_Flight" queryTableFieldId="45" dataDxfId="5"/>
    <tableColumn id="46" xr3:uid="{D079EDEC-E570-4E56-A087-AFEF1E5A2654}" uniqueName="46" name="Ret_Origin" queryTableFieldId="46" dataDxfId="4"/>
    <tableColumn id="47" xr3:uid="{6D1F023C-9D20-42D2-AF0B-02C47DABB566}" uniqueName="47" name="Ret_Date" queryTableFieldId="47" dataDxfId="3"/>
    <tableColumn id="48" xr3:uid="{7C78BAFC-5EA7-40A9-BED7-A624CBC62B9F}" uniqueName="48" name="Ret_Time" queryTableFieldId="48" dataDxfId="2"/>
    <tableColumn id="4" xr3:uid="{040BD9F4-7244-427E-9E3B-47BF4925D7A7}" uniqueName="4" name="visa_status" queryTableFieldId="4" dataDxfId="1"/>
    <tableColumn id="5" xr3:uid="{829A374D-1E1D-4AE0-BB13-2B3E065AD7FA}" uniqueName="5" name="inside_kingdom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2EA6-4D85-4A0E-B6B6-5D9086E32066}">
  <sheetPr>
    <tabColor rgb="FF7030A0"/>
  </sheetPr>
  <dimension ref="A1:C6"/>
  <sheetViews>
    <sheetView zoomScale="235" zoomScaleNormal="235" workbookViewId="0">
      <selection activeCell="B14" sqref="B14"/>
    </sheetView>
  </sheetViews>
  <sheetFormatPr defaultRowHeight="14.4" x14ac:dyDescent="0.3"/>
  <cols>
    <col min="1" max="1" width="14.5546875" bestFit="1" customWidth="1"/>
    <col min="2" max="2" width="28.33203125" bestFit="1" customWidth="1"/>
    <col min="3" max="3" width="10.88671875" bestFit="1" customWidth="1"/>
  </cols>
  <sheetData>
    <row r="1" spans="1:3" x14ac:dyDescent="0.3">
      <c r="A1" s="6" t="s">
        <v>165</v>
      </c>
      <c r="B1" s="6" t="s">
        <v>166</v>
      </c>
      <c r="C1" s="6" t="s">
        <v>171</v>
      </c>
    </row>
    <row r="2" spans="1:3" x14ac:dyDescent="0.3">
      <c r="A2" s="6" t="s">
        <v>167</v>
      </c>
      <c r="B2" s="6" t="s">
        <v>1187</v>
      </c>
      <c r="C2" s="6" t="s">
        <v>172</v>
      </c>
    </row>
    <row r="3" spans="1:3" x14ac:dyDescent="0.3">
      <c r="A3" s="6" t="s">
        <v>168</v>
      </c>
      <c r="B3" s="6" t="s">
        <v>1187</v>
      </c>
      <c r="C3" s="6" t="s">
        <v>172</v>
      </c>
    </row>
    <row r="4" spans="1:3" x14ac:dyDescent="0.3">
      <c r="A4" s="6" t="s">
        <v>169</v>
      </c>
      <c r="B4" s="6" t="s">
        <v>170</v>
      </c>
      <c r="C4" s="6" t="s">
        <v>172</v>
      </c>
    </row>
    <row r="5" spans="1:3" x14ac:dyDescent="0.3">
      <c r="A5" s="6" t="s">
        <v>145</v>
      </c>
      <c r="B5" s="6" t="s">
        <v>205</v>
      </c>
      <c r="C5" s="6" t="s">
        <v>173</v>
      </c>
    </row>
    <row r="6" spans="1:3" x14ac:dyDescent="0.3">
      <c r="A6" s="6" t="s">
        <v>1185</v>
      </c>
      <c r="B6" s="6" t="s">
        <v>1186</v>
      </c>
      <c r="C6" s="6" t="s">
        <v>172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ABB5-08B2-4B5E-A6EB-BCC4F1C7DB62}">
  <sheetPr>
    <tabColor rgb="FF7030A0"/>
  </sheetPr>
  <dimension ref="A1:H29"/>
  <sheetViews>
    <sheetView zoomScale="158" workbookViewId="0">
      <selection activeCell="I6" sqref="I6"/>
    </sheetView>
  </sheetViews>
  <sheetFormatPr defaultRowHeight="14.4" x14ac:dyDescent="0.3"/>
  <cols>
    <col min="1" max="1" width="11" bestFit="1" customWidth="1"/>
    <col min="2" max="2" width="7.109375" bestFit="1" customWidth="1"/>
    <col min="3" max="3" width="21" bestFit="1" customWidth="1"/>
    <col min="4" max="4" width="12.88671875" bestFit="1" customWidth="1"/>
    <col min="5" max="5" width="11.5546875" bestFit="1" customWidth="1"/>
    <col min="7" max="7" width="17.77734375" bestFit="1" customWidth="1"/>
    <col min="8" max="8" width="12.77734375" bestFit="1" customWidth="1"/>
  </cols>
  <sheetData>
    <row r="1" spans="1:8" x14ac:dyDescent="0.3">
      <c r="A1" s="10" t="s">
        <v>144</v>
      </c>
      <c r="B1" s="9" t="s">
        <v>202</v>
      </c>
      <c r="C1" s="9" t="s">
        <v>203</v>
      </c>
      <c r="D1" s="9" t="s">
        <v>204</v>
      </c>
      <c r="E1" s="6" t="s">
        <v>145</v>
      </c>
      <c r="G1" t="s">
        <v>1499</v>
      </c>
      <c r="H1" t="s">
        <v>1500</v>
      </c>
    </row>
    <row r="2" spans="1:8" x14ac:dyDescent="0.3">
      <c r="A2" s="2" t="s">
        <v>33</v>
      </c>
      <c r="B2" s="1">
        <v>8525</v>
      </c>
      <c r="C2" s="1" t="s">
        <v>200</v>
      </c>
      <c r="D2" s="1">
        <v>135</v>
      </c>
      <c r="E2" s="1" t="s">
        <v>77</v>
      </c>
      <c r="G2" s="35" t="s">
        <v>213</v>
      </c>
      <c r="H2" s="37" t="s">
        <v>1501</v>
      </c>
    </row>
    <row r="3" spans="1:8" x14ac:dyDescent="0.3">
      <c r="A3" s="1" t="s">
        <v>34</v>
      </c>
      <c r="B3" s="1">
        <v>8540</v>
      </c>
      <c r="C3" s="1" t="s">
        <v>192</v>
      </c>
      <c r="D3" s="1">
        <v>91</v>
      </c>
      <c r="E3" s="1" t="s">
        <v>78</v>
      </c>
      <c r="G3" s="36" t="s">
        <v>221</v>
      </c>
      <c r="H3" s="37" t="s">
        <v>1502</v>
      </c>
    </row>
    <row r="4" spans="1:8" x14ac:dyDescent="0.3">
      <c r="A4" s="2" t="s">
        <v>2</v>
      </c>
      <c r="B4" s="1">
        <v>8670</v>
      </c>
      <c r="C4" s="1" t="s">
        <v>184</v>
      </c>
      <c r="D4" s="1">
        <v>64</v>
      </c>
      <c r="E4" s="1" t="s">
        <v>79</v>
      </c>
      <c r="G4" s="35" t="s">
        <v>308</v>
      </c>
      <c r="H4" s="37" t="s">
        <v>1503</v>
      </c>
    </row>
    <row r="5" spans="1:8" x14ac:dyDescent="0.3">
      <c r="A5" s="1" t="s">
        <v>26</v>
      </c>
      <c r="B5" s="1">
        <v>8528</v>
      </c>
      <c r="C5" s="1" t="s">
        <v>199</v>
      </c>
      <c r="D5" s="1">
        <v>30</v>
      </c>
      <c r="E5" s="1" t="s">
        <v>81</v>
      </c>
      <c r="G5" s="35" t="s">
        <v>316</v>
      </c>
      <c r="H5" s="37" t="s">
        <v>1504</v>
      </c>
    </row>
    <row r="6" spans="1:8" x14ac:dyDescent="0.3">
      <c r="A6" s="2" t="s">
        <v>18</v>
      </c>
      <c r="B6" s="1">
        <v>8529</v>
      </c>
      <c r="C6" s="1" t="s">
        <v>198</v>
      </c>
      <c r="D6" s="1">
        <v>130</v>
      </c>
      <c r="E6" s="1" t="s">
        <v>82</v>
      </c>
      <c r="G6" s="35" t="s">
        <v>359</v>
      </c>
      <c r="H6" s="37" t="s">
        <v>1505</v>
      </c>
    </row>
    <row r="7" spans="1:8" ht="28.8" x14ac:dyDescent="0.3">
      <c r="A7" s="1" t="s">
        <v>23</v>
      </c>
      <c r="B7" s="1">
        <v>8530</v>
      </c>
      <c r="C7" s="1" t="s">
        <v>197</v>
      </c>
      <c r="D7" s="1">
        <v>318</v>
      </c>
      <c r="E7" s="1" t="s">
        <v>83</v>
      </c>
      <c r="G7" s="36" t="s">
        <v>396</v>
      </c>
      <c r="H7" s="37" t="s">
        <v>1506</v>
      </c>
    </row>
    <row r="8" spans="1:8" x14ac:dyDescent="0.3">
      <c r="A8" s="2" t="s">
        <v>32</v>
      </c>
      <c r="B8" s="1">
        <v>8531</v>
      </c>
      <c r="C8" s="1" t="s">
        <v>196</v>
      </c>
      <c r="D8" s="1">
        <v>41</v>
      </c>
      <c r="E8" s="1" t="s">
        <v>84</v>
      </c>
      <c r="G8" s="35" t="s">
        <v>531</v>
      </c>
      <c r="H8" s="37" t="s">
        <v>1507</v>
      </c>
    </row>
    <row r="9" spans="1:8" x14ac:dyDescent="0.3">
      <c r="A9" s="1" t="s">
        <v>31</v>
      </c>
      <c r="B9" s="1">
        <v>8524</v>
      </c>
      <c r="C9" s="1" t="s">
        <v>201</v>
      </c>
      <c r="D9" s="1">
        <v>190</v>
      </c>
      <c r="E9" s="1" t="s">
        <v>85</v>
      </c>
      <c r="G9" s="35" t="s">
        <v>934</v>
      </c>
      <c r="H9" s="37" t="s">
        <v>1508</v>
      </c>
    </row>
    <row r="10" spans="1:8" x14ac:dyDescent="0.3">
      <c r="A10" s="2" t="s">
        <v>25</v>
      </c>
      <c r="B10" s="1">
        <v>8535</v>
      </c>
      <c r="C10" s="1" t="s">
        <v>195</v>
      </c>
      <c r="D10" s="1">
        <v>85</v>
      </c>
      <c r="E10" s="1" t="s">
        <v>86</v>
      </c>
      <c r="G10" s="36" t="s">
        <v>1117</v>
      </c>
      <c r="H10" s="37" t="s">
        <v>1509</v>
      </c>
    </row>
    <row r="11" spans="1:8" x14ac:dyDescent="0.3">
      <c r="A11" s="1" t="s">
        <v>45</v>
      </c>
      <c r="B11" s="1">
        <v>8537</v>
      </c>
      <c r="C11" s="1" t="s">
        <v>194</v>
      </c>
      <c r="D11" s="1">
        <v>140</v>
      </c>
      <c r="E11" s="1" t="s">
        <v>87</v>
      </c>
      <c r="G11" s="36" t="s">
        <v>1136</v>
      </c>
      <c r="H11" s="37" t="s">
        <v>1510</v>
      </c>
    </row>
    <row r="12" spans="1:8" x14ac:dyDescent="0.3">
      <c r="A12" s="2" t="s">
        <v>14</v>
      </c>
      <c r="B12" s="1">
        <v>8538</v>
      </c>
      <c r="C12" s="1" t="s">
        <v>193</v>
      </c>
      <c r="D12" s="1">
        <v>176</v>
      </c>
      <c r="E12" s="1" t="s">
        <v>88</v>
      </c>
      <c r="G12" s="35" t="s">
        <v>1149</v>
      </c>
      <c r="H12" s="37" t="s">
        <v>1511</v>
      </c>
    </row>
    <row r="13" spans="1:8" x14ac:dyDescent="0.3">
      <c r="A13" s="1" t="s">
        <v>41</v>
      </c>
      <c r="B13" s="1">
        <v>8672</v>
      </c>
      <c r="C13" s="1" t="s">
        <v>183</v>
      </c>
      <c r="D13" s="1">
        <v>215</v>
      </c>
      <c r="E13" s="1" t="s">
        <v>89</v>
      </c>
      <c r="G13" s="36" t="s">
        <v>1162</v>
      </c>
      <c r="H13" s="37" t="s">
        <v>1512</v>
      </c>
    </row>
    <row r="14" spans="1:8" x14ac:dyDescent="0.3">
      <c r="A14" s="2" t="s">
        <v>24</v>
      </c>
      <c r="B14" s="1">
        <v>8544</v>
      </c>
      <c r="C14" s="1" t="s">
        <v>191</v>
      </c>
      <c r="D14" s="1">
        <v>105</v>
      </c>
      <c r="E14" s="1" t="s">
        <v>90</v>
      </c>
      <c r="G14" s="35" t="s">
        <v>488</v>
      </c>
      <c r="H14" s="37" t="s">
        <v>1513</v>
      </c>
    </row>
    <row r="15" spans="1:8" x14ac:dyDescent="0.3">
      <c r="A15" s="1" t="s">
        <v>30</v>
      </c>
      <c r="B15" s="1">
        <v>8550</v>
      </c>
      <c r="C15" s="1" t="s">
        <v>190</v>
      </c>
      <c r="D15" s="1">
        <v>160</v>
      </c>
      <c r="E15" s="1" t="s">
        <v>91</v>
      </c>
      <c r="G15" s="35" t="s">
        <v>525</v>
      </c>
      <c r="H15" s="37" t="s">
        <v>1514</v>
      </c>
    </row>
    <row r="16" spans="1:8" x14ac:dyDescent="0.3">
      <c r="A16" s="2" t="s">
        <v>22</v>
      </c>
      <c r="B16" s="1">
        <v>8557</v>
      </c>
      <c r="C16" s="1" t="s">
        <v>189</v>
      </c>
      <c r="D16" s="1">
        <v>124</v>
      </c>
      <c r="E16" s="1" t="s">
        <v>92</v>
      </c>
      <c r="G16" s="36" t="s">
        <v>720</v>
      </c>
      <c r="H16" s="37" t="s">
        <v>1515</v>
      </c>
    </row>
    <row r="17" spans="1:8" x14ac:dyDescent="0.3">
      <c r="A17" s="1" t="s">
        <v>7</v>
      </c>
      <c r="B17" s="1">
        <v>8565</v>
      </c>
      <c r="C17" s="1" t="s">
        <v>188</v>
      </c>
      <c r="D17" s="1">
        <v>106</v>
      </c>
      <c r="E17" s="1" t="s">
        <v>80</v>
      </c>
      <c r="G17" s="35" t="s">
        <v>556</v>
      </c>
      <c r="H17" s="37" t="s">
        <v>1516</v>
      </c>
    </row>
    <row r="18" spans="1:8" x14ac:dyDescent="0.3">
      <c r="A18" s="2" t="s">
        <v>43</v>
      </c>
      <c r="B18" s="1">
        <v>8567</v>
      </c>
      <c r="C18" s="1" t="s">
        <v>187</v>
      </c>
      <c r="D18" s="1">
        <v>350</v>
      </c>
      <c r="E18" s="1" t="s">
        <v>93</v>
      </c>
      <c r="G18" s="35" t="s">
        <v>623</v>
      </c>
      <c r="H18" s="37" t="s">
        <v>1517</v>
      </c>
    </row>
    <row r="19" spans="1:8" x14ac:dyDescent="0.3">
      <c r="A19" s="1" t="s">
        <v>17</v>
      </c>
      <c r="B19" s="1">
        <v>8572</v>
      </c>
      <c r="C19" s="1" t="s">
        <v>185</v>
      </c>
      <c r="D19" s="1">
        <v>95</v>
      </c>
      <c r="E19" s="1" t="s">
        <v>94</v>
      </c>
      <c r="G19" s="35" t="s">
        <v>1142</v>
      </c>
      <c r="H19" s="37" t="s">
        <v>1518</v>
      </c>
    </row>
    <row r="20" spans="1:8" x14ac:dyDescent="0.3">
      <c r="A20" s="2" t="s">
        <v>37</v>
      </c>
      <c r="B20" s="1">
        <v>8710</v>
      </c>
      <c r="C20" s="1" t="s">
        <v>181</v>
      </c>
      <c r="D20" s="1">
        <v>142</v>
      </c>
      <c r="E20" s="1" t="s">
        <v>95</v>
      </c>
      <c r="G20" s="36" t="s">
        <v>978</v>
      </c>
      <c r="H20" s="37" t="s">
        <v>1519</v>
      </c>
    </row>
    <row r="21" spans="1:8" x14ac:dyDescent="0.3">
      <c r="A21" s="1" t="s">
        <v>36</v>
      </c>
      <c r="B21" s="1">
        <v>8714</v>
      </c>
      <c r="C21" s="1" t="s">
        <v>177</v>
      </c>
      <c r="D21" s="1">
        <v>130</v>
      </c>
      <c r="E21" s="1" t="s">
        <v>96</v>
      </c>
    </row>
    <row r="22" spans="1:8" x14ac:dyDescent="0.3">
      <c r="A22" s="2" t="s">
        <v>27</v>
      </c>
      <c r="B22" s="1">
        <v>8728</v>
      </c>
      <c r="C22" s="1" t="s">
        <v>175</v>
      </c>
      <c r="D22" s="1">
        <v>230</v>
      </c>
      <c r="E22" s="1" t="s">
        <v>97</v>
      </c>
    </row>
    <row r="23" spans="1:8" x14ac:dyDescent="0.3">
      <c r="A23" s="1" t="s">
        <v>39</v>
      </c>
      <c r="B23" s="1">
        <v>8716</v>
      </c>
      <c r="C23" s="1" t="s">
        <v>176</v>
      </c>
      <c r="D23" s="1">
        <v>248</v>
      </c>
      <c r="E23" s="1" t="s">
        <v>98</v>
      </c>
    </row>
    <row r="24" spans="1:8" x14ac:dyDescent="0.3">
      <c r="A24" s="2" t="s">
        <v>38</v>
      </c>
      <c r="B24" s="1">
        <v>8711</v>
      </c>
      <c r="C24" s="1" t="s">
        <v>180</v>
      </c>
      <c r="D24" s="1">
        <v>130</v>
      </c>
      <c r="E24" s="1" t="s">
        <v>99</v>
      </c>
    </row>
    <row r="25" spans="1:8" x14ac:dyDescent="0.3">
      <c r="A25" s="1" t="s">
        <v>29</v>
      </c>
      <c r="B25" s="1">
        <v>8729</v>
      </c>
      <c r="C25" s="1" t="s">
        <v>174</v>
      </c>
      <c r="D25" s="1">
        <v>10</v>
      </c>
      <c r="E25" s="1" t="s">
        <v>100</v>
      </c>
    </row>
    <row r="26" spans="1:8" x14ac:dyDescent="0.3">
      <c r="A26" s="2" t="s">
        <v>35</v>
      </c>
      <c r="B26" s="1">
        <v>8712</v>
      </c>
      <c r="C26" s="1" t="s">
        <v>179</v>
      </c>
      <c r="D26" s="1">
        <v>190</v>
      </c>
      <c r="E26" s="1" t="s">
        <v>101</v>
      </c>
    </row>
    <row r="27" spans="1:8" x14ac:dyDescent="0.3">
      <c r="A27" s="1" t="s">
        <v>40</v>
      </c>
      <c r="B27" s="1">
        <v>8713</v>
      </c>
      <c r="C27" s="1" t="s">
        <v>178</v>
      </c>
      <c r="D27" s="1">
        <v>140</v>
      </c>
      <c r="E27" s="1" t="s">
        <v>102</v>
      </c>
    </row>
    <row r="28" spans="1:8" x14ac:dyDescent="0.3">
      <c r="A28" s="2" t="s">
        <v>44</v>
      </c>
      <c r="B28" s="1">
        <v>8570</v>
      </c>
      <c r="C28" s="1" t="s">
        <v>186</v>
      </c>
      <c r="D28" s="1">
        <v>130</v>
      </c>
      <c r="E28" s="1" t="s">
        <v>103</v>
      </c>
    </row>
    <row r="29" spans="1:8" x14ac:dyDescent="0.3">
      <c r="A29" s="1" t="s">
        <v>42</v>
      </c>
      <c r="B29" s="1">
        <v>8676</v>
      </c>
      <c r="C29" s="1" t="s">
        <v>182</v>
      </c>
      <c r="D29" s="1">
        <v>115</v>
      </c>
      <c r="E29" s="1" t="s">
        <v>104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774E-96F0-4582-8A54-06EBC99BE990}">
  <sheetPr>
    <tabColor rgb="FFFFFF00"/>
  </sheetPr>
  <dimension ref="A1:V475"/>
  <sheetViews>
    <sheetView workbookViewId="0">
      <selection activeCell="G7" sqref="G7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8.88671875" bestFit="1" customWidth="1"/>
    <col min="4" max="4" width="19" bestFit="1" customWidth="1"/>
    <col min="5" max="5" width="19.21875" bestFit="1" customWidth="1"/>
    <col min="6" max="6" width="11.77734375" bestFit="1" customWidth="1"/>
    <col min="7" max="7" width="6.21875" bestFit="1" customWidth="1"/>
    <col min="8" max="8" width="13.21875" bestFit="1" customWidth="1"/>
    <col min="9" max="9" width="18.5546875" bestFit="1" customWidth="1"/>
    <col min="10" max="10" width="12.109375" bestFit="1" customWidth="1"/>
    <col min="11" max="11" width="12.6640625" bestFit="1" customWidth="1"/>
    <col min="12" max="12" width="20.33203125" bestFit="1" customWidth="1"/>
    <col min="13" max="13" width="22.109375" bestFit="1" customWidth="1"/>
    <col min="14" max="14" width="12.44140625" bestFit="1" customWidth="1"/>
    <col min="15" max="15" width="16.44140625" bestFit="1" customWidth="1"/>
    <col min="16" max="16" width="17.33203125" bestFit="1" customWidth="1"/>
    <col min="17" max="17" width="80.88671875" bestFit="1" customWidth="1"/>
    <col min="18" max="18" width="16.33203125" bestFit="1" customWidth="1"/>
    <col min="19" max="19" width="14.21875" bestFit="1" customWidth="1"/>
    <col min="20" max="20" width="15.33203125" bestFit="1" customWidth="1"/>
    <col min="21" max="21" width="14.109375" bestFit="1" customWidth="1"/>
    <col min="22" max="22" width="15.33203125" customWidth="1"/>
    <col min="23" max="24" width="15.33203125" bestFit="1" customWidth="1"/>
    <col min="25" max="25" width="5.21875" bestFit="1" customWidth="1"/>
    <col min="26" max="26" width="19" bestFit="1" customWidth="1"/>
    <col min="27" max="27" width="19.21875" bestFit="1" customWidth="1"/>
    <col min="28" max="28" width="10.33203125" bestFit="1" customWidth="1"/>
    <col min="29" max="29" width="15.5546875" bestFit="1" customWidth="1"/>
    <col min="30" max="31" width="17.77734375" bestFit="1" customWidth="1"/>
    <col min="32" max="32" width="6.88671875" bestFit="1" customWidth="1"/>
    <col min="33" max="33" width="11.109375" bestFit="1" customWidth="1"/>
    <col min="34" max="34" width="12" bestFit="1" customWidth="1"/>
    <col min="35" max="35" width="22.109375" bestFit="1" customWidth="1"/>
    <col min="36" max="36" width="12" bestFit="1" customWidth="1"/>
    <col min="37" max="37" width="8.88671875" bestFit="1" customWidth="1"/>
    <col min="38" max="38" width="17.33203125" bestFit="1" customWidth="1"/>
    <col min="39" max="39" width="80.88671875" bestFit="1" customWidth="1"/>
    <col min="40" max="40" width="16.33203125" bestFit="1" customWidth="1"/>
    <col min="41" max="41" width="14.21875" bestFit="1" customWidth="1"/>
    <col min="42" max="42" width="15.33203125" bestFit="1" customWidth="1"/>
    <col min="43" max="43" width="14.109375" bestFit="1" customWidth="1"/>
    <col min="44" max="44" width="15.33203125" bestFit="1" customWidth="1"/>
  </cols>
  <sheetData>
    <row r="1" spans="1:22" x14ac:dyDescent="0.3">
      <c r="A1" t="s">
        <v>1168</v>
      </c>
      <c r="B1" t="s">
        <v>1169</v>
      </c>
      <c r="C1" t="s">
        <v>1170</v>
      </c>
      <c r="D1" t="s">
        <v>1171</v>
      </c>
      <c r="E1" t="s">
        <v>1172</v>
      </c>
      <c r="F1" t="s">
        <v>1173</v>
      </c>
      <c r="G1" t="s">
        <v>1476</v>
      </c>
      <c r="H1" t="s">
        <v>1174</v>
      </c>
      <c r="I1" t="s">
        <v>1175</v>
      </c>
      <c r="J1" t="s">
        <v>1176</v>
      </c>
      <c r="K1" t="s">
        <v>1177</v>
      </c>
      <c r="L1" t="s">
        <v>1178</v>
      </c>
      <c r="M1" t="s">
        <v>1179</v>
      </c>
      <c r="N1" t="s">
        <v>1180</v>
      </c>
      <c r="O1" t="s">
        <v>1181</v>
      </c>
      <c r="P1" t="s">
        <v>1182</v>
      </c>
      <c r="Q1" t="s">
        <v>1183</v>
      </c>
      <c r="R1" t="s">
        <v>1184</v>
      </c>
      <c r="S1" t="s">
        <v>206</v>
      </c>
      <c r="T1" t="s">
        <v>207</v>
      </c>
      <c r="U1" t="s">
        <v>208</v>
      </c>
      <c r="V1" t="s">
        <v>209</v>
      </c>
    </row>
    <row r="2" spans="1:22" x14ac:dyDescent="0.3">
      <c r="A2" s="1">
        <v>791333</v>
      </c>
      <c r="B2" s="1">
        <v>640716</v>
      </c>
      <c r="C2" s="1" t="s">
        <v>1188</v>
      </c>
      <c r="D2" s="1" t="s">
        <v>210</v>
      </c>
      <c r="E2" s="1" t="s">
        <v>211</v>
      </c>
      <c r="F2" s="4">
        <v>28309</v>
      </c>
      <c r="G2">
        <v>48</v>
      </c>
      <c r="H2" s="1" t="s">
        <v>212</v>
      </c>
      <c r="I2" s="1" t="s">
        <v>1501</v>
      </c>
      <c r="J2" s="1" t="s">
        <v>1501</v>
      </c>
      <c r="K2" s="1">
        <v>8528</v>
      </c>
      <c r="L2" s="1" t="s">
        <v>214</v>
      </c>
      <c r="M2" s="1" t="s">
        <v>1199</v>
      </c>
      <c r="N2" s="1" t="s">
        <v>215</v>
      </c>
      <c r="O2" s="1"/>
      <c r="P2" s="1" t="s">
        <v>212</v>
      </c>
      <c r="Q2" s="1"/>
      <c r="R2" s="1" t="s">
        <v>216</v>
      </c>
      <c r="S2" s="1" t="s">
        <v>217</v>
      </c>
      <c r="T2" s="11">
        <v>46160.579861111109</v>
      </c>
      <c r="U2" s="1" t="s">
        <v>218</v>
      </c>
      <c r="V2" s="11">
        <v>46172.392361111109</v>
      </c>
    </row>
    <row r="3" spans="1:22" x14ac:dyDescent="0.3">
      <c r="A3" s="1">
        <v>724766</v>
      </c>
      <c r="B3" s="1">
        <v>587344</v>
      </c>
      <c r="C3" s="1" t="s">
        <v>1189</v>
      </c>
      <c r="D3" s="1" t="s">
        <v>226</v>
      </c>
      <c r="E3" s="1" t="s">
        <v>227</v>
      </c>
      <c r="F3" s="4">
        <v>19356</v>
      </c>
      <c r="G3">
        <v>73</v>
      </c>
      <c r="H3" s="1" t="s">
        <v>212</v>
      </c>
      <c r="I3" s="1" t="s">
        <v>1501</v>
      </c>
      <c r="J3" s="1" t="s">
        <v>1501</v>
      </c>
      <c r="K3" s="1">
        <v>8528</v>
      </c>
      <c r="L3" s="1" t="s">
        <v>214</v>
      </c>
      <c r="M3" s="1" t="s">
        <v>1199</v>
      </c>
      <c r="N3" s="1" t="s">
        <v>215</v>
      </c>
      <c r="O3" s="1"/>
      <c r="P3" s="1" t="s">
        <v>212</v>
      </c>
      <c r="Q3" s="1"/>
      <c r="R3" s="1" t="s">
        <v>216</v>
      </c>
      <c r="S3" s="1" t="s">
        <v>217</v>
      </c>
      <c r="T3" s="11">
        <v>46160.579861111109</v>
      </c>
      <c r="U3" s="1" t="s">
        <v>218</v>
      </c>
      <c r="V3" s="11">
        <v>46172.392361111109</v>
      </c>
    </row>
    <row r="4" spans="1:22" x14ac:dyDescent="0.3">
      <c r="A4" s="1">
        <v>351804</v>
      </c>
      <c r="B4" s="1">
        <v>488001</v>
      </c>
      <c r="C4" s="1" t="s">
        <v>1188</v>
      </c>
      <c r="D4" s="1" t="s">
        <v>228</v>
      </c>
      <c r="E4" s="1" t="s">
        <v>229</v>
      </c>
      <c r="F4" s="4">
        <v>24300</v>
      </c>
      <c r="G4">
        <v>59</v>
      </c>
      <c r="H4" s="1" t="s">
        <v>212</v>
      </c>
      <c r="I4" s="1" t="s">
        <v>1501</v>
      </c>
      <c r="J4" s="1" t="s">
        <v>1501</v>
      </c>
      <c r="K4" s="1">
        <v>8535</v>
      </c>
      <c r="L4" s="1" t="s">
        <v>214</v>
      </c>
      <c r="M4" s="1" t="s">
        <v>1196</v>
      </c>
      <c r="N4" s="1" t="s">
        <v>215</v>
      </c>
      <c r="O4" s="1"/>
      <c r="P4" s="1" t="s">
        <v>212</v>
      </c>
      <c r="Q4" s="1"/>
      <c r="R4" s="1" t="s">
        <v>216</v>
      </c>
      <c r="S4" s="1" t="s">
        <v>218</v>
      </c>
      <c r="T4" s="11">
        <v>46164.579861111109</v>
      </c>
      <c r="U4" s="1" t="s">
        <v>218</v>
      </c>
      <c r="V4" s="11">
        <v>46175.253472222219</v>
      </c>
    </row>
    <row r="5" spans="1:22" x14ac:dyDescent="0.3">
      <c r="A5" s="1">
        <v>605378</v>
      </c>
      <c r="B5" s="1">
        <v>488001</v>
      </c>
      <c r="C5" s="1" t="s">
        <v>1188</v>
      </c>
      <c r="D5" s="1" t="s">
        <v>220</v>
      </c>
      <c r="E5" s="1" t="s">
        <v>230</v>
      </c>
      <c r="F5" s="4">
        <v>24355</v>
      </c>
      <c r="G5">
        <v>59</v>
      </c>
      <c r="H5" s="1" t="s">
        <v>212</v>
      </c>
      <c r="I5" s="1" t="s">
        <v>1501</v>
      </c>
      <c r="J5" s="1" t="s">
        <v>1501</v>
      </c>
      <c r="K5" s="1">
        <v>8535</v>
      </c>
      <c r="L5" s="1" t="s">
        <v>214</v>
      </c>
      <c r="M5" s="1" t="s">
        <v>1196</v>
      </c>
      <c r="N5" s="1" t="s">
        <v>215</v>
      </c>
      <c r="O5" s="1"/>
      <c r="P5" s="1" t="s">
        <v>212</v>
      </c>
      <c r="Q5" s="1"/>
      <c r="R5" s="1" t="s">
        <v>216</v>
      </c>
      <c r="S5" s="1" t="s">
        <v>218</v>
      </c>
      <c r="T5" s="11">
        <v>46164.579861111109</v>
      </c>
      <c r="U5" s="1" t="s">
        <v>218</v>
      </c>
      <c r="V5" s="11">
        <v>46175.253472222219</v>
      </c>
    </row>
    <row r="6" spans="1:22" x14ac:dyDescent="0.3">
      <c r="A6" s="1">
        <v>640706</v>
      </c>
      <c r="B6" s="1">
        <v>488001</v>
      </c>
      <c r="C6" s="1" t="s">
        <v>1189</v>
      </c>
      <c r="D6" s="1" t="s">
        <v>231</v>
      </c>
      <c r="E6" s="1" t="s">
        <v>232</v>
      </c>
      <c r="F6" s="4">
        <v>27961</v>
      </c>
      <c r="G6">
        <v>49</v>
      </c>
      <c r="H6" s="1" t="s">
        <v>212</v>
      </c>
      <c r="I6" s="1" t="s">
        <v>1501</v>
      </c>
      <c r="J6" s="1" t="s">
        <v>1501</v>
      </c>
      <c r="K6" s="1">
        <v>8535</v>
      </c>
      <c r="L6" s="1" t="s">
        <v>214</v>
      </c>
      <c r="M6" s="1" t="s">
        <v>1196</v>
      </c>
      <c r="N6" s="1" t="s">
        <v>215</v>
      </c>
      <c r="O6" s="1"/>
      <c r="P6" s="1" t="s">
        <v>212</v>
      </c>
      <c r="Q6" s="1"/>
      <c r="R6" s="1" t="s">
        <v>216</v>
      </c>
      <c r="S6" s="1" t="s">
        <v>218</v>
      </c>
      <c r="T6" s="11">
        <v>46164.579861111109</v>
      </c>
      <c r="U6" s="1" t="s">
        <v>218</v>
      </c>
      <c r="V6" s="11">
        <v>46175.253472222219</v>
      </c>
    </row>
    <row r="7" spans="1:22" x14ac:dyDescent="0.3">
      <c r="A7" s="1">
        <v>697067</v>
      </c>
      <c r="B7" s="1">
        <v>488001</v>
      </c>
      <c r="C7" s="1" t="s">
        <v>1188</v>
      </c>
      <c r="D7" s="1" t="s">
        <v>233</v>
      </c>
      <c r="E7" s="1" t="s">
        <v>232</v>
      </c>
      <c r="F7" s="4">
        <v>25540</v>
      </c>
      <c r="G7">
        <v>56</v>
      </c>
      <c r="H7" s="1" t="s">
        <v>212</v>
      </c>
      <c r="I7" s="1" t="s">
        <v>1501</v>
      </c>
      <c r="J7" s="1" t="s">
        <v>1501</v>
      </c>
      <c r="K7" s="1">
        <v>8535</v>
      </c>
      <c r="L7" s="1" t="s">
        <v>214</v>
      </c>
      <c r="M7" s="1" t="s">
        <v>1196</v>
      </c>
      <c r="N7" s="1" t="s">
        <v>215</v>
      </c>
      <c r="O7" s="1"/>
      <c r="P7" s="1" t="s">
        <v>212</v>
      </c>
      <c r="Q7" s="1"/>
      <c r="R7" s="1" t="s">
        <v>216</v>
      </c>
      <c r="S7" s="1" t="s">
        <v>218</v>
      </c>
      <c r="T7" s="11">
        <v>46164.579861111109</v>
      </c>
      <c r="U7" s="1" t="s">
        <v>218</v>
      </c>
      <c r="V7" s="11">
        <v>46175.253472222219</v>
      </c>
    </row>
    <row r="8" spans="1:22" x14ac:dyDescent="0.3">
      <c r="A8" s="1">
        <v>741912</v>
      </c>
      <c r="B8" s="1">
        <v>488001</v>
      </c>
      <c r="C8" s="1" t="s">
        <v>1189</v>
      </c>
      <c r="D8" s="1" t="s">
        <v>234</v>
      </c>
      <c r="E8" s="1" t="s">
        <v>230</v>
      </c>
      <c r="F8" s="4">
        <v>26651</v>
      </c>
      <c r="G8">
        <v>53</v>
      </c>
      <c r="H8" s="1" t="s">
        <v>212</v>
      </c>
      <c r="I8" s="1" t="s">
        <v>1501</v>
      </c>
      <c r="J8" s="1" t="s">
        <v>1501</v>
      </c>
      <c r="K8" s="1">
        <v>8535</v>
      </c>
      <c r="L8" s="1" t="s">
        <v>214</v>
      </c>
      <c r="M8" s="1" t="s">
        <v>1196</v>
      </c>
      <c r="N8" s="1" t="s">
        <v>215</v>
      </c>
      <c r="O8" s="1"/>
      <c r="P8" s="1" t="s">
        <v>212</v>
      </c>
      <c r="Q8" s="1"/>
      <c r="R8" s="1" t="s">
        <v>216</v>
      </c>
      <c r="S8" s="1" t="s">
        <v>218</v>
      </c>
      <c r="T8" s="11">
        <v>46164.579861111109</v>
      </c>
      <c r="U8" s="1" t="s">
        <v>218</v>
      </c>
      <c r="V8" s="11">
        <v>46175.253472222219</v>
      </c>
    </row>
    <row r="9" spans="1:22" x14ac:dyDescent="0.3">
      <c r="A9" s="1">
        <v>435303</v>
      </c>
      <c r="B9" s="1">
        <v>339871</v>
      </c>
      <c r="C9" s="1" t="s">
        <v>1188</v>
      </c>
      <c r="D9" s="1" t="s">
        <v>238</v>
      </c>
      <c r="E9" s="1" t="s">
        <v>239</v>
      </c>
      <c r="F9" s="4">
        <v>21059</v>
      </c>
      <c r="G9">
        <v>68</v>
      </c>
      <c r="H9" s="1" t="s">
        <v>212</v>
      </c>
      <c r="I9" s="1" t="s">
        <v>1501</v>
      </c>
      <c r="J9" s="1" t="s">
        <v>1501</v>
      </c>
      <c r="K9" s="1">
        <v>8528</v>
      </c>
      <c r="L9" s="1" t="s">
        <v>214</v>
      </c>
      <c r="M9" s="1" t="s">
        <v>1193</v>
      </c>
      <c r="N9" s="1" t="s">
        <v>215</v>
      </c>
      <c r="O9" s="1"/>
      <c r="P9" s="1" t="s">
        <v>212</v>
      </c>
      <c r="Q9" s="1"/>
      <c r="R9" s="1" t="s">
        <v>216</v>
      </c>
      <c r="S9" s="1" t="s">
        <v>218</v>
      </c>
      <c r="T9" s="11">
        <v>46160.739583333336</v>
      </c>
      <c r="U9" s="1" t="s">
        <v>218</v>
      </c>
      <c r="V9" s="11">
        <v>46172.350694444445</v>
      </c>
    </row>
    <row r="10" spans="1:22" x14ac:dyDescent="0.3">
      <c r="A10" s="1">
        <v>474964</v>
      </c>
      <c r="B10" s="1">
        <v>372721</v>
      </c>
      <c r="C10" s="1" t="s">
        <v>1188</v>
      </c>
      <c r="D10" s="1" t="s">
        <v>240</v>
      </c>
      <c r="E10" s="1" t="s">
        <v>241</v>
      </c>
      <c r="F10" s="4">
        <v>19735</v>
      </c>
      <c r="G10">
        <v>72</v>
      </c>
      <c r="H10" s="1" t="s">
        <v>212</v>
      </c>
      <c r="I10" s="1" t="s">
        <v>1501</v>
      </c>
      <c r="J10" s="1" t="s">
        <v>1501</v>
      </c>
      <c r="K10" s="1">
        <v>8528</v>
      </c>
      <c r="L10" s="1" t="s">
        <v>214</v>
      </c>
      <c r="M10" s="1" t="s">
        <v>1202</v>
      </c>
      <c r="N10" s="1" t="s">
        <v>215</v>
      </c>
      <c r="O10" s="1"/>
      <c r="P10" s="1" t="s">
        <v>212</v>
      </c>
      <c r="Q10" s="1"/>
      <c r="R10" s="1" t="s">
        <v>216</v>
      </c>
      <c r="S10" s="1" t="s">
        <v>218</v>
      </c>
      <c r="T10" s="11">
        <v>46160.107638888891</v>
      </c>
      <c r="U10" s="1" t="s">
        <v>218</v>
      </c>
      <c r="V10" s="11">
        <v>46172.409722222219</v>
      </c>
    </row>
    <row r="11" spans="1:22" x14ac:dyDescent="0.3">
      <c r="A11" s="1">
        <v>614787</v>
      </c>
      <c r="B11" s="1">
        <v>496137</v>
      </c>
      <c r="C11" s="1" t="s">
        <v>1189</v>
      </c>
      <c r="D11" s="1" t="s">
        <v>242</v>
      </c>
      <c r="E11" s="1" t="s">
        <v>243</v>
      </c>
      <c r="F11" s="4">
        <v>31237</v>
      </c>
      <c r="G11">
        <v>40</v>
      </c>
      <c r="H11" s="1" t="s">
        <v>212</v>
      </c>
      <c r="I11" s="1" t="s">
        <v>1501</v>
      </c>
      <c r="J11" s="1" t="s">
        <v>1501</v>
      </c>
      <c r="K11" s="1">
        <v>8529</v>
      </c>
      <c r="L11" s="1" t="s">
        <v>214</v>
      </c>
      <c r="M11" s="1" t="s">
        <v>1193</v>
      </c>
      <c r="N11" s="1" t="s">
        <v>215</v>
      </c>
      <c r="O11" s="1"/>
      <c r="P11" s="1" t="s">
        <v>212</v>
      </c>
      <c r="Q11" s="1"/>
      <c r="R11" s="1" t="s">
        <v>216</v>
      </c>
      <c r="S11" s="1" t="s">
        <v>218</v>
      </c>
      <c r="T11" s="11">
        <v>46160.739583333336</v>
      </c>
      <c r="U11" s="1" t="s">
        <v>218</v>
      </c>
      <c r="V11" s="11">
        <v>46172.350694444445</v>
      </c>
    </row>
    <row r="12" spans="1:22" x14ac:dyDescent="0.3">
      <c r="A12" s="1">
        <v>616066</v>
      </c>
      <c r="B12" s="1">
        <v>496137</v>
      </c>
      <c r="C12" s="1" t="s">
        <v>1188</v>
      </c>
      <c r="D12" s="1" t="s">
        <v>244</v>
      </c>
      <c r="E12" s="1" t="s">
        <v>245</v>
      </c>
      <c r="F12" s="4">
        <v>32646</v>
      </c>
      <c r="G12">
        <v>36</v>
      </c>
      <c r="H12" s="1" t="s">
        <v>212</v>
      </c>
      <c r="I12" s="1" t="s">
        <v>1501</v>
      </c>
      <c r="J12" s="1" t="s">
        <v>1501</v>
      </c>
      <c r="K12" s="1">
        <v>8529</v>
      </c>
      <c r="L12" s="1" t="s">
        <v>214</v>
      </c>
      <c r="M12" s="1" t="s">
        <v>1193</v>
      </c>
      <c r="N12" s="1" t="s">
        <v>215</v>
      </c>
      <c r="O12" s="1"/>
      <c r="P12" s="1" t="s">
        <v>212</v>
      </c>
      <c r="Q12" s="1"/>
      <c r="R12" s="1" t="s">
        <v>216</v>
      </c>
      <c r="S12" s="1" t="s">
        <v>218</v>
      </c>
      <c r="T12" s="11">
        <v>46160.739583333336</v>
      </c>
      <c r="U12" s="1" t="s">
        <v>218</v>
      </c>
      <c r="V12" s="11">
        <v>46172.350694444445</v>
      </c>
    </row>
    <row r="13" spans="1:22" x14ac:dyDescent="0.3">
      <c r="A13" s="1">
        <v>616178</v>
      </c>
      <c r="B13" s="1">
        <v>496137</v>
      </c>
      <c r="C13" s="1" t="s">
        <v>1189</v>
      </c>
      <c r="D13" s="1" t="s">
        <v>246</v>
      </c>
      <c r="E13" s="1" t="s">
        <v>247</v>
      </c>
      <c r="F13" s="4">
        <v>33222</v>
      </c>
      <c r="G13">
        <v>35</v>
      </c>
      <c r="H13" s="1" t="s">
        <v>212</v>
      </c>
      <c r="I13" s="1" t="s">
        <v>1501</v>
      </c>
      <c r="J13" s="1" t="s">
        <v>1501</v>
      </c>
      <c r="K13" s="1">
        <v>8529</v>
      </c>
      <c r="L13" s="1" t="s">
        <v>214</v>
      </c>
      <c r="M13" s="1" t="s">
        <v>1193</v>
      </c>
      <c r="N13" s="1" t="s">
        <v>215</v>
      </c>
      <c r="O13" s="1"/>
      <c r="P13" s="1" t="s">
        <v>212</v>
      </c>
      <c r="Q13" s="1"/>
      <c r="R13" s="1" t="s">
        <v>216</v>
      </c>
      <c r="S13" s="1" t="s">
        <v>218</v>
      </c>
      <c r="T13" s="11">
        <v>46160.739583333336</v>
      </c>
      <c r="U13" s="1" t="s">
        <v>218</v>
      </c>
      <c r="V13" s="11">
        <v>46172.350694444445</v>
      </c>
    </row>
    <row r="14" spans="1:22" x14ac:dyDescent="0.3">
      <c r="A14" s="1">
        <v>641142</v>
      </c>
      <c r="B14" s="1">
        <v>496137</v>
      </c>
      <c r="C14" s="1" t="s">
        <v>1188</v>
      </c>
      <c r="D14" s="1" t="s">
        <v>248</v>
      </c>
      <c r="E14" s="1" t="s">
        <v>243</v>
      </c>
      <c r="F14" s="4">
        <v>29913</v>
      </c>
      <c r="G14">
        <v>44</v>
      </c>
      <c r="H14" s="1" t="s">
        <v>212</v>
      </c>
      <c r="I14" s="1" t="s">
        <v>1501</v>
      </c>
      <c r="J14" s="1" t="s">
        <v>1501</v>
      </c>
      <c r="K14" s="1">
        <v>8529</v>
      </c>
      <c r="L14" s="1" t="s">
        <v>214</v>
      </c>
      <c r="M14" s="1" t="s">
        <v>1193</v>
      </c>
      <c r="N14" s="1" t="s">
        <v>215</v>
      </c>
      <c r="O14" s="1"/>
      <c r="P14" s="1" t="s">
        <v>212</v>
      </c>
      <c r="Q14" s="1"/>
      <c r="R14" s="1" t="s">
        <v>216</v>
      </c>
      <c r="S14" s="1" t="s">
        <v>218</v>
      </c>
      <c r="T14" s="11">
        <v>46160.739583333336</v>
      </c>
      <c r="U14" s="1" t="s">
        <v>218</v>
      </c>
      <c r="V14" s="11">
        <v>46172.350694444445</v>
      </c>
    </row>
    <row r="15" spans="1:22" x14ac:dyDescent="0.3">
      <c r="A15" s="1">
        <v>596729</v>
      </c>
      <c r="B15" s="1">
        <v>480379</v>
      </c>
      <c r="C15" s="1" t="s">
        <v>1189</v>
      </c>
      <c r="D15" s="1" t="s">
        <v>249</v>
      </c>
      <c r="E15" s="1" t="s">
        <v>233</v>
      </c>
      <c r="F15" s="4">
        <v>32534</v>
      </c>
      <c r="G15">
        <v>37</v>
      </c>
      <c r="H15" s="1" t="s">
        <v>212</v>
      </c>
      <c r="I15" s="1" t="s">
        <v>1501</v>
      </c>
      <c r="J15" s="1" t="s">
        <v>1501</v>
      </c>
      <c r="K15" s="1">
        <v>8529</v>
      </c>
      <c r="L15" s="1" t="s">
        <v>214</v>
      </c>
      <c r="M15" s="1" t="s">
        <v>1202</v>
      </c>
      <c r="N15" s="1" t="s">
        <v>215</v>
      </c>
      <c r="O15" s="1"/>
      <c r="P15" s="1" t="s">
        <v>212</v>
      </c>
      <c r="Q15" s="1"/>
      <c r="R15" s="1" t="s">
        <v>216</v>
      </c>
      <c r="S15" s="1" t="s">
        <v>218</v>
      </c>
      <c r="T15" s="11">
        <v>46160.107638888891</v>
      </c>
      <c r="U15" s="1" t="s">
        <v>218</v>
      </c>
      <c r="V15" s="11">
        <v>46172.409722222219</v>
      </c>
    </row>
    <row r="16" spans="1:22" x14ac:dyDescent="0.3">
      <c r="A16" s="1">
        <v>605555</v>
      </c>
      <c r="B16" s="1">
        <v>488152</v>
      </c>
      <c r="C16" s="1" t="s">
        <v>1188</v>
      </c>
      <c r="D16" s="1" t="s">
        <v>219</v>
      </c>
      <c r="E16" s="1" t="s">
        <v>220</v>
      </c>
      <c r="F16" s="4">
        <v>37806</v>
      </c>
      <c r="G16">
        <v>22</v>
      </c>
      <c r="H16" s="1" t="s">
        <v>212</v>
      </c>
      <c r="I16" s="1" t="s">
        <v>1502</v>
      </c>
      <c r="J16" s="1" t="s">
        <v>1502</v>
      </c>
      <c r="K16" s="1">
        <v>8531</v>
      </c>
      <c r="L16" s="1" t="s">
        <v>214</v>
      </c>
      <c r="M16" s="1" t="s">
        <v>1212</v>
      </c>
      <c r="N16" s="1" t="s">
        <v>215</v>
      </c>
      <c r="O16" s="1"/>
      <c r="P16" s="1" t="s">
        <v>212</v>
      </c>
      <c r="Q16" s="1"/>
      <c r="R16" s="1" t="s">
        <v>216</v>
      </c>
      <c r="S16" s="1" t="s">
        <v>217</v>
      </c>
      <c r="T16" s="11">
        <v>46164.579861111109</v>
      </c>
      <c r="U16" s="1" t="s">
        <v>218</v>
      </c>
      <c r="V16" s="11">
        <v>46177.149305555555</v>
      </c>
    </row>
    <row r="17" spans="1:22" x14ac:dyDescent="0.3">
      <c r="A17" s="1">
        <v>611063</v>
      </c>
      <c r="B17" s="1">
        <v>488152</v>
      </c>
      <c r="C17" s="1" t="s">
        <v>1188</v>
      </c>
      <c r="D17" s="1" t="s">
        <v>222</v>
      </c>
      <c r="E17" s="1" t="s">
        <v>220</v>
      </c>
      <c r="F17" s="4">
        <v>25479</v>
      </c>
      <c r="G17">
        <v>56</v>
      </c>
      <c r="H17" s="1" t="s">
        <v>212</v>
      </c>
      <c r="I17" s="1" t="s">
        <v>1502</v>
      </c>
      <c r="J17" s="1" t="s">
        <v>1502</v>
      </c>
      <c r="K17" s="1">
        <v>8531</v>
      </c>
      <c r="L17" s="1" t="s">
        <v>214</v>
      </c>
      <c r="M17" s="1" t="s">
        <v>1212</v>
      </c>
      <c r="N17" s="1" t="s">
        <v>215</v>
      </c>
      <c r="O17" s="1"/>
      <c r="P17" s="1" t="s">
        <v>212</v>
      </c>
      <c r="Q17" s="1"/>
      <c r="R17" s="1" t="s">
        <v>216</v>
      </c>
      <c r="S17" s="1" t="s">
        <v>217</v>
      </c>
      <c r="T17" s="11">
        <v>46164.579861111109</v>
      </c>
      <c r="U17" s="1" t="s">
        <v>218</v>
      </c>
      <c r="V17" s="11">
        <v>46177.149305555555</v>
      </c>
    </row>
    <row r="18" spans="1:22" x14ac:dyDescent="0.3">
      <c r="A18" s="1">
        <v>698751</v>
      </c>
      <c r="B18" s="1">
        <v>488152</v>
      </c>
      <c r="C18" s="1" t="s">
        <v>1188</v>
      </c>
      <c r="D18" s="1" t="s">
        <v>223</v>
      </c>
      <c r="E18" s="1" t="s">
        <v>220</v>
      </c>
      <c r="F18" s="4">
        <v>39331</v>
      </c>
      <c r="G18">
        <v>18</v>
      </c>
      <c r="H18" s="1" t="s">
        <v>212</v>
      </c>
      <c r="I18" s="1" t="s">
        <v>1502</v>
      </c>
      <c r="J18" s="1" t="s">
        <v>1502</v>
      </c>
      <c r="K18" s="1">
        <v>8531</v>
      </c>
      <c r="L18" s="1" t="s">
        <v>214</v>
      </c>
      <c r="M18" s="1" t="s">
        <v>1212</v>
      </c>
      <c r="N18" s="1" t="s">
        <v>215</v>
      </c>
      <c r="O18" s="1"/>
      <c r="P18" s="1" t="s">
        <v>212</v>
      </c>
      <c r="Q18" s="1"/>
      <c r="R18" s="1" t="s">
        <v>216</v>
      </c>
      <c r="S18" s="1" t="s">
        <v>217</v>
      </c>
      <c r="T18" s="11">
        <v>46164.579861111109</v>
      </c>
      <c r="U18" s="1" t="s">
        <v>218</v>
      </c>
      <c r="V18" s="11">
        <v>46177.149305555555</v>
      </c>
    </row>
    <row r="19" spans="1:22" x14ac:dyDescent="0.3">
      <c r="A19" s="1">
        <v>698767</v>
      </c>
      <c r="B19" s="1">
        <v>488152</v>
      </c>
      <c r="C19" s="1" t="s">
        <v>1189</v>
      </c>
      <c r="D19" s="1" t="s">
        <v>224</v>
      </c>
      <c r="E19" s="1" t="s">
        <v>225</v>
      </c>
      <c r="F19" s="4">
        <v>28308</v>
      </c>
      <c r="G19">
        <v>48</v>
      </c>
      <c r="H19" s="1" t="s">
        <v>212</v>
      </c>
      <c r="I19" s="1" t="s">
        <v>1502</v>
      </c>
      <c r="J19" s="1" t="s">
        <v>1502</v>
      </c>
      <c r="K19" s="1">
        <v>8531</v>
      </c>
      <c r="L19" s="1" t="s">
        <v>214</v>
      </c>
      <c r="M19" s="1" t="s">
        <v>1212</v>
      </c>
      <c r="N19" s="1" t="s">
        <v>215</v>
      </c>
      <c r="O19" s="1"/>
      <c r="P19" s="1" t="s">
        <v>212</v>
      </c>
      <c r="Q19" s="1"/>
      <c r="R19" s="1" t="s">
        <v>216</v>
      </c>
      <c r="S19" s="1" t="s">
        <v>217</v>
      </c>
      <c r="T19" s="11">
        <v>46164.579861111109</v>
      </c>
      <c r="U19" s="1" t="s">
        <v>218</v>
      </c>
      <c r="V19" s="11">
        <v>46177.149305555555</v>
      </c>
    </row>
    <row r="20" spans="1:22" x14ac:dyDescent="0.3">
      <c r="A20" s="1">
        <v>680990</v>
      </c>
      <c r="B20" s="1">
        <v>553573</v>
      </c>
      <c r="C20" s="1" t="s">
        <v>1188</v>
      </c>
      <c r="D20" s="1" t="s">
        <v>235</v>
      </c>
      <c r="E20" s="1" t="s">
        <v>236</v>
      </c>
      <c r="F20" s="4">
        <v>34729</v>
      </c>
      <c r="G20">
        <v>31</v>
      </c>
      <c r="H20" s="1" t="s">
        <v>212</v>
      </c>
      <c r="I20" s="1" t="s">
        <v>1502</v>
      </c>
      <c r="J20" s="1" t="s">
        <v>1502</v>
      </c>
      <c r="K20" s="1">
        <v>8528</v>
      </c>
      <c r="L20" s="1" t="s">
        <v>214</v>
      </c>
      <c r="M20" s="1" t="s">
        <v>1209</v>
      </c>
      <c r="N20" s="1" t="s">
        <v>215</v>
      </c>
      <c r="O20" s="1"/>
      <c r="P20" s="1" t="s">
        <v>212</v>
      </c>
      <c r="Q20" s="1"/>
      <c r="R20" s="1" t="s">
        <v>216</v>
      </c>
      <c r="S20" s="1" t="s">
        <v>218</v>
      </c>
      <c r="T20" s="11">
        <v>46160.739583333336</v>
      </c>
      <c r="U20" s="1" t="s">
        <v>218</v>
      </c>
      <c r="V20" s="11">
        <v>46172.385416666664</v>
      </c>
    </row>
    <row r="21" spans="1:22" x14ac:dyDescent="0.3">
      <c r="A21" s="1">
        <v>696957</v>
      </c>
      <c r="B21" s="1">
        <v>553573</v>
      </c>
      <c r="C21" s="1" t="s">
        <v>1188</v>
      </c>
      <c r="D21" s="1" t="s">
        <v>236</v>
      </c>
      <c r="E21" s="1" t="s">
        <v>237</v>
      </c>
      <c r="F21" s="4">
        <v>24025</v>
      </c>
      <c r="G21">
        <v>60</v>
      </c>
      <c r="H21" s="1" t="s">
        <v>212</v>
      </c>
      <c r="I21" s="1" t="s">
        <v>1502</v>
      </c>
      <c r="J21" s="1" t="s">
        <v>1502</v>
      </c>
      <c r="K21" s="1">
        <v>8528</v>
      </c>
      <c r="L21" s="1" t="s">
        <v>214</v>
      </c>
      <c r="M21" s="1" t="s">
        <v>1209</v>
      </c>
      <c r="N21" s="1" t="s">
        <v>215</v>
      </c>
      <c r="O21" s="1"/>
      <c r="P21" s="1" t="s">
        <v>212</v>
      </c>
      <c r="Q21" s="1"/>
      <c r="R21" s="1" t="s">
        <v>216</v>
      </c>
      <c r="S21" s="1" t="s">
        <v>218</v>
      </c>
      <c r="T21" s="11">
        <v>46160.739583333336</v>
      </c>
      <c r="U21" s="1" t="s">
        <v>218</v>
      </c>
      <c r="V21" s="11">
        <v>46172.385416666664</v>
      </c>
    </row>
    <row r="22" spans="1:22" x14ac:dyDescent="0.3">
      <c r="A22" s="1">
        <v>641024</v>
      </c>
      <c r="B22" s="1">
        <v>519803</v>
      </c>
      <c r="C22" s="1" t="s">
        <v>1189</v>
      </c>
      <c r="D22" s="1" t="s">
        <v>250</v>
      </c>
      <c r="E22" s="1" t="s">
        <v>251</v>
      </c>
      <c r="F22" s="4">
        <v>33177</v>
      </c>
      <c r="G22">
        <v>35</v>
      </c>
      <c r="H22" s="1" t="s">
        <v>212</v>
      </c>
      <c r="I22" s="1" t="s">
        <v>1501</v>
      </c>
      <c r="J22" s="1" t="s">
        <v>1501</v>
      </c>
      <c r="K22" s="1">
        <v>8529</v>
      </c>
      <c r="L22" s="1" t="s">
        <v>214</v>
      </c>
      <c r="M22" s="1" t="s">
        <v>1193</v>
      </c>
      <c r="N22" s="1" t="s">
        <v>215</v>
      </c>
      <c r="O22" s="1"/>
      <c r="P22" s="1" t="s">
        <v>212</v>
      </c>
      <c r="Q22" s="1"/>
      <c r="R22" s="1" t="s">
        <v>216</v>
      </c>
      <c r="S22" s="1" t="s">
        <v>218</v>
      </c>
      <c r="T22" s="11">
        <v>46160.739583333336</v>
      </c>
      <c r="U22" s="1" t="s">
        <v>218</v>
      </c>
      <c r="V22" s="11">
        <v>46172.350694444445</v>
      </c>
    </row>
    <row r="23" spans="1:22" x14ac:dyDescent="0.3">
      <c r="A23" s="1">
        <v>642401</v>
      </c>
      <c r="B23" s="1">
        <v>519803</v>
      </c>
      <c r="C23" s="1" t="s">
        <v>1189</v>
      </c>
      <c r="D23" s="1" t="s">
        <v>252</v>
      </c>
      <c r="E23" s="1" t="s">
        <v>253</v>
      </c>
      <c r="F23" s="4">
        <v>34238</v>
      </c>
      <c r="G23">
        <v>32</v>
      </c>
      <c r="H23" s="1" t="s">
        <v>212</v>
      </c>
      <c r="I23" s="1" t="s">
        <v>1501</v>
      </c>
      <c r="J23" s="1" t="s">
        <v>1501</v>
      </c>
      <c r="K23" s="1">
        <v>8529</v>
      </c>
      <c r="L23" s="1" t="s">
        <v>214</v>
      </c>
      <c r="M23" s="1" t="s">
        <v>1193</v>
      </c>
      <c r="N23" s="1" t="s">
        <v>215</v>
      </c>
      <c r="O23" s="1"/>
      <c r="P23" s="1" t="s">
        <v>212</v>
      </c>
      <c r="Q23" s="1"/>
      <c r="R23" s="1" t="s">
        <v>216</v>
      </c>
      <c r="S23" s="1" t="s">
        <v>218</v>
      </c>
      <c r="T23" s="11">
        <v>46160.739583333336</v>
      </c>
      <c r="U23" s="1" t="s">
        <v>218</v>
      </c>
      <c r="V23" s="11">
        <v>46172.350694444445</v>
      </c>
    </row>
    <row r="24" spans="1:22" x14ac:dyDescent="0.3">
      <c r="A24" s="1">
        <v>642425</v>
      </c>
      <c r="B24" s="1">
        <v>519803</v>
      </c>
      <c r="C24" s="1" t="s">
        <v>1189</v>
      </c>
      <c r="D24" s="1" t="s">
        <v>254</v>
      </c>
      <c r="E24" s="1" t="s">
        <v>255</v>
      </c>
      <c r="F24" s="4">
        <v>36343</v>
      </c>
      <c r="G24">
        <v>26</v>
      </c>
      <c r="H24" s="1" t="s">
        <v>212</v>
      </c>
      <c r="I24" s="1" t="s">
        <v>1501</v>
      </c>
      <c r="J24" s="1" t="s">
        <v>1501</v>
      </c>
      <c r="K24" s="1">
        <v>8529</v>
      </c>
      <c r="L24" s="1" t="s">
        <v>214</v>
      </c>
      <c r="M24" s="1" t="s">
        <v>1193</v>
      </c>
      <c r="N24" s="1" t="s">
        <v>215</v>
      </c>
      <c r="O24" s="1"/>
      <c r="P24" s="1" t="s">
        <v>212</v>
      </c>
      <c r="Q24" s="1"/>
      <c r="R24" s="1" t="s">
        <v>216</v>
      </c>
      <c r="S24" s="1" t="s">
        <v>218</v>
      </c>
      <c r="T24" s="11">
        <v>46160.739583333336</v>
      </c>
      <c r="U24" s="1" t="s">
        <v>218</v>
      </c>
      <c r="V24" s="11">
        <v>46172.350694444445</v>
      </c>
    </row>
    <row r="25" spans="1:22" x14ac:dyDescent="0.3">
      <c r="A25" s="1">
        <v>642436</v>
      </c>
      <c r="B25" s="1">
        <v>519803</v>
      </c>
      <c r="C25" s="1" t="s">
        <v>1188</v>
      </c>
      <c r="D25" s="1" t="s">
        <v>256</v>
      </c>
      <c r="E25" s="1" t="s">
        <v>257</v>
      </c>
      <c r="F25" s="4">
        <v>34982</v>
      </c>
      <c r="G25">
        <v>30</v>
      </c>
      <c r="H25" s="1" t="s">
        <v>212</v>
      </c>
      <c r="I25" s="1" t="s">
        <v>1501</v>
      </c>
      <c r="J25" s="1" t="s">
        <v>1501</v>
      </c>
      <c r="K25" s="1">
        <v>8529</v>
      </c>
      <c r="L25" s="1" t="s">
        <v>214</v>
      </c>
      <c r="M25" s="1" t="s">
        <v>1193</v>
      </c>
      <c r="N25" s="1" t="s">
        <v>215</v>
      </c>
      <c r="O25" s="1"/>
      <c r="P25" s="1" t="s">
        <v>212</v>
      </c>
      <c r="Q25" s="1"/>
      <c r="R25" s="1" t="s">
        <v>216</v>
      </c>
      <c r="S25" s="1" t="s">
        <v>218</v>
      </c>
      <c r="T25" s="11">
        <v>46160.739583333336</v>
      </c>
      <c r="U25" s="1" t="s">
        <v>218</v>
      </c>
      <c r="V25" s="11">
        <v>46172.350694444445</v>
      </c>
    </row>
    <row r="26" spans="1:22" x14ac:dyDescent="0.3">
      <c r="A26" s="1">
        <v>758859</v>
      </c>
      <c r="B26" s="1">
        <v>614845</v>
      </c>
      <c r="C26" s="1" t="s">
        <v>1189</v>
      </c>
      <c r="D26" s="1" t="s">
        <v>258</v>
      </c>
      <c r="E26" s="1" t="s">
        <v>259</v>
      </c>
      <c r="F26" s="4">
        <v>27438</v>
      </c>
      <c r="G26">
        <v>51</v>
      </c>
      <c r="H26" s="1" t="s">
        <v>212</v>
      </c>
      <c r="I26" s="1" t="s">
        <v>1501</v>
      </c>
      <c r="J26" s="1" t="s">
        <v>1501</v>
      </c>
      <c r="K26" s="1">
        <v>8529</v>
      </c>
      <c r="L26" s="1" t="s">
        <v>214</v>
      </c>
      <c r="M26" s="1" t="s">
        <v>1202</v>
      </c>
      <c r="N26" s="1" t="s">
        <v>215</v>
      </c>
      <c r="O26" s="1"/>
      <c r="P26" s="1" t="s">
        <v>212</v>
      </c>
      <c r="Q26" s="1"/>
      <c r="R26" s="1" t="s">
        <v>216</v>
      </c>
      <c r="S26" s="1" t="s">
        <v>218</v>
      </c>
      <c r="T26" s="11">
        <v>46160.107638888891</v>
      </c>
      <c r="U26" s="1" t="s">
        <v>218</v>
      </c>
      <c r="V26" s="11">
        <v>46172.409722222219</v>
      </c>
    </row>
    <row r="27" spans="1:22" x14ac:dyDescent="0.3">
      <c r="A27" s="1">
        <v>741593</v>
      </c>
      <c r="B27" s="1">
        <v>601396</v>
      </c>
      <c r="C27" s="1" t="s">
        <v>1188</v>
      </c>
      <c r="D27" s="1" t="s">
        <v>260</v>
      </c>
      <c r="E27" s="1" t="s">
        <v>240</v>
      </c>
      <c r="F27" s="4">
        <v>33039</v>
      </c>
      <c r="G27">
        <v>35</v>
      </c>
      <c r="H27" s="1" t="s">
        <v>212</v>
      </c>
      <c r="I27" s="1" t="s">
        <v>1501</v>
      </c>
      <c r="J27" s="1" t="s">
        <v>1501</v>
      </c>
      <c r="K27" s="1">
        <v>8530</v>
      </c>
      <c r="L27" s="1" t="s">
        <v>261</v>
      </c>
      <c r="M27" s="1" t="s">
        <v>262</v>
      </c>
      <c r="N27" s="1" t="s">
        <v>215</v>
      </c>
      <c r="O27" s="1"/>
      <c r="P27" s="1" t="s">
        <v>263</v>
      </c>
      <c r="Q27" s="1" t="s">
        <v>264</v>
      </c>
      <c r="R27" s="1" t="s">
        <v>216</v>
      </c>
      <c r="S27" s="1" t="s">
        <v>218</v>
      </c>
      <c r="T27" s="11">
        <v>46160.784722222219</v>
      </c>
      <c r="U27" s="1" t="s">
        <v>218</v>
      </c>
      <c r="V27" s="11">
        <v>46173.3125</v>
      </c>
    </row>
    <row r="28" spans="1:22" x14ac:dyDescent="0.3">
      <c r="A28" s="1">
        <v>741671</v>
      </c>
      <c r="B28" s="1">
        <v>601396</v>
      </c>
      <c r="C28" s="1" t="s">
        <v>1189</v>
      </c>
      <c r="D28" s="1" t="s">
        <v>249</v>
      </c>
      <c r="E28" s="1" t="s">
        <v>229</v>
      </c>
      <c r="F28" s="4">
        <v>33515</v>
      </c>
      <c r="G28">
        <v>34</v>
      </c>
      <c r="H28" s="1" t="s">
        <v>212</v>
      </c>
      <c r="I28" s="1" t="s">
        <v>1501</v>
      </c>
      <c r="J28" s="1" t="s">
        <v>1501</v>
      </c>
      <c r="K28" s="1">
        <v>8530</v>
      </c>
      <c r="L28" s="1" t="s">
        <v>261</v>
      </c>
      <c r="M28" s="1" t="s">
        <v>262</v>
      </c>
      <c r="N28" s="1" t="s">
        <v>215</v>
      </c>
      <c r="O28" s="1"/>
      <c r="P28" s="1" t="s">
        <v>263</v>
      </c>
      <c r="Q28" s="1" t="s">
        <v>264</v>
      </c>
      <c r="R28" s="1" t="s">
        <v>216</v>
      </c>
      <c r="S28" s="1" t="s">
        <v>218</v>
      </c>
      <c r="T28" s="11">
        <v>46160.784722222219</v>
      </c>
      <c r="U28" s="1" t="s">
        <v>218</v>
      </c>
      <c r="V28" s="11">
        <v>46173.3125</v>
      </c>
    </row>
    <row r="29" spans="1:22" x14ac:dyDescent="0.3">
      <c r="A29" s="1">
        <v>687565</v>
      </c>
      <c r="B29" s="1">
        <v>558811</v>
      </c>
      <c r="C29" s="1" t="s">
        <v>1189</v>
      </c>
      <c r="D29" s="1" t="s">
        <v>265</v>
      </c>
      <c r="E29" s="1" t="s">
        <v>266</v>
      </c>
      <c r="F29" s="4">
        <v>29527</v>
      </c>
      <c r="G29">
        <v>45</v>
      </c>
      <c r="H29" s="1" t="s">
        <v>212</v>
      </c>
      <c r="I29" s="1" t="s">
        <v>1501</v>
      </c>
      <c r="J29" s="1" t="s">
        <v>1501</v>
      </c>
      <c r="K29" s="1">
        <v>8540</v>
      </c>
      <c r="L29" s="1" t="s">
        <v>261</v>
      </c>
      <c r="M29" s="1" t="s">
        <v>267</v>
      </c>
      <c r="N29" s="1" t="s">
        <v>215</v>
      </c>
      <c r="O29" s="1"/>
      <c r="P29" s="1" t="s">
        <v>268</v>
      </c>
      <c r="Q29" s="1" t="s">
        <v>269</v>
      </c>
      <c r="R29" s="1" t="s">
        <v>216</v>
      </c>
      <c r="S29" s="1" t="s">
        <v>218</v>
      </c>
      <c r="T29" s="11">
        <v>46164.958333333336</v>
      </c>
      <c r="U29" s="1" t="s">
        <v>218</v>
      </c>
      <c r="V29" s="11">
        <v>46173.027777777781</v>
      </c>
    </row>
    <row r="30" spans="1:22" x14ac:dyDescent="0.3">
      <c r="A30" s="1">
        <v>724252</v>
      </c>
      <c r="B30" s="1">
        <v>558811</v>
      </c>
      <c r="C30" s="1" t="s">
        <v>1188</v>
      </c>
      <c r="D30" s="1" t="s">
        <v>270</v>
      </c>
      <c r="E30" s="1" t="s">
        <v>271</v>
      </c>
      <c r="F30" s="4">
        <v>27793</v>
      </c>
      <c r="G30">
        <v>50</v>
      </c>
      <c r="H30" s="1" t="s">
        <v>212</v>
      </c>
      <c r="I30" s="1" t="s">
        <v>1501</v>
      </c>
      <c r="J30" s="1" t="s">
        <v>1501</v>
      </c>
      <c r="K30" s="1">
        <v>8540</v>
      </c>
      <c r="L30" s="1" t="s">
        <v>261</v>
      </c>
      <c r="M30" s="1" t="s">
        <v>267</v>
      </c>
      <c r="N30" s="1" t="s">
        <v>215</v>
      </c>
      <c r="O30" s="1"/>
      <c r="P30" s="1" t="s">
        <v>268</v>
      </c>
      <c r="Q30" s="1" t="s">
        <v>269</v>
      </c>
      <c r="R30" s="1" t="s">
        <v>216</v>
      </c>
      <c r="S30" s="1" t="s">
        <v>218</v>
      </c>
      <c r="T30" s="11">
        <v>46164.958333333336</v>
      </c>
      <c r="U30" s="1" t="s">
        <v>218</v>
      </c>
      <c r="V30" s="11">
        <v>46173.027777777781</v>
      </c>
    </row>
    <row r="31" spans="1:22" x14ac:dyDescent="0.3">
      <c r="A31" s="1">
        <v>725686</v>
      </c>
      <c r="B31" s="1">
        <v>558811</v>
      </c>
      <c r="C31" s="1" t="s">
        <v>1189</v>
      </c>
      <c r="D31" s="1" t="s">
        <v>272</v>
      </c>
      <c r="E31" s="1" t="s">
        <v>271</v>
      </c>
      <c r="F31" s="4">
        <v>39204</v>
      </c>
      <c r="G31">
        <v>18</v>
      </c>
      <c r="H31" s="1" t="s">
        <v>212</v>
      </c>
      <c r="I31" s="1" t="s">
        <v>1501</v>
      </c>
      <c r="J31" s="1" t="s">
        <v>1501</v>
      </c>
      <c r="K31" s="1">
        <v>8540</v>
      </c>
      <c r="L31" s="1" t="s">
        <v>261</v>
      </c>
      <c r="M31" s="1" t="s">
        <v>267</v>
      </c>
      <c r="N31" s="1" t="s">
        <v>215</v>
      </c>
      <c r="O31" s="1"/>
      <c r="P31" s="1" t="s">
        <v>268</v>
      </c>
      <c r="Q31" s="1" t="s">
        <v>269</v>
      </c>
      <c r="R31" s="1" t="s">
        <v>216</v>
      </c>
      <c r="S31" s="1" t="s">
        <v>218</v>
      </c>
      <c r="T31" s="11">
        <v>46164.958333333336</v>
      </c>
      <c r="U31" s="1" t="s">
        <v>218</v>
      </c>
      <c r="V31" s="11">
        <v>46173.027777777781</v>
      </c>
    </row>
    <row r="32" spans="1:22" x14ac:dyDescent="0.3">
      <c r="A32" s="1">
        <v>608944</v>
      </c>
      <c r="B32" s="1">
        <v>491059</v>
      </c>
      <c r="C32" s="1" t="s">
        <v>1188</v>
      </c>
      <c r="D32" s="1" t="s">
        <v>273</v>
      </c>
      <c r="E32" s="1" t="s">
        <v>274</v>
      </c>
      <c r="F32" s="4">
        <v>27892</v>
      </c>
      <c r="G32">
        <v>49</v>
      </c>
      <c r="H32" s="1" t="s">
        <v>212</v>
      </c>
      <c r="I32" s="1" t="s">
        <v>1501</v>
      </c>
      <c r="J32" s="1" t="s">
        <v>1501</v>
      </c>
      <c r="K32" s="1">
        <v>8530</v>
      </c>
      <c r="L32" s="1" t="s">
        <v>214</v>
      </c>
      <c r="M32" s="1" t="s">
        <v>1202</v>
      </c>
      <c r="N32" s="1" t="s">
        <v>215</v>
      </c>
      <c r="O32" s="1"/>
      <c r="P32" s="1" t="s">
        <v>212</v>
      </c>
      <c r="Q32" s="1"/>
      <c r="R32" s="1" t="s">
        <v>216</v>
      </c>
      <c r="S32" s="1" t="s">
        <v>218</v>
      </c>
      <c r="T32" s="11">
        <v>46160.107638888891</v>
      </c>
      <c r="U32" s="1" t="s">
        <v>218</v>
      </c>
      <c r="V32" s="11">
        <v>46172.409722222219</v>
      </c>
    </row>
    <row r="33" spans="1:22" x14ac:dyDescent="0.3">
      <c r="A33" s="1">
        <v>762647</v>
      </c>
      <c r="B33" s="1">
        <v>491059</v>
      </c>
      <c r="C33" s="1" t="s">
        <v>1189</v>
      </c>
      <c r="D33" s="1" t="s">
        <v>275</v>
      </c>
      <c r="E33" s="1" t="s">
        <v>276</v>
      </c>
      <c r="F33" s="4">
        <v>29096</v>
      </c>
      <c r="G33">
        <v>46</v>
      </c>
      <c r="H33" s="1" t="s">
        <v>212</v>
      </c>
      <c r="I33" s="1" t="s">
        <v>1501</v>
      </c>
      <c r="J33" s="1" t="s">
        <v>1501</v>
      </c>
      <c r="K33" s="1">
        <v>8530</v>
      </c>
      <c r="L33" s="1" t="s">
        <v>214</v>
      </c>
      <c r="M33" s="1" t="s">
        <v>1202</v>
      </c>
      <c r="N33" s="1" t="s">
        <v>215</v>
      </c>
      <c r="O33" s="1"/>
      <c r="P33" s="1" t="s">
        <v>212</v>
      </c>
      <c r="Q33" s="1"/>
      <c r="R33" s="1" t="s">
        <v>216</v>
      </c>
      <c r="S33" s="1" t="s">
        <v>218</v>
      </c>
      <c r="T33" s="11">
        <v>46160.107638888891</v>
      </c>
      <c r="U33" s="1" t="s">
        <v>218</v>
      </c>
      <c r="V33" s="11">
        <v>46172.409722222219</v>
      </c>
    </row>
    <row r="34" spans="1:22" x14ac:dyDescent="0.3">
      <c r="A34" s="1">
        <v>671891</v>
      </c>
      <c r="B34" s="1">
        <v>546228</v>
      </c>
      <c r="C34" s="1" t="s">
        <v>1188</v>
      </c>
      <c r="D34" s="1" t="s">
        <v>277</v>
      </c>
      <c r="E34" s="1" t="s">
        <v>278</v>
      </c>
      <c r="F34" s="4">
        <v>32126</v>
      </c>
      <c r="G34">
        <v>38</v>
      </c>
      <c r="H34" s="1" t="s">
        <v>212</v>
      </c>
      <c r="I34" s="1" t="s">
        <v>1501</v>
      </c>
      <c r="J34" s="1" t="s">
        <v>1501</v>
      </c>
      <c r="K34" s="1">
        <v>8530</v>
      </c>
      <c r="L34" s="1" t="s">
        <v>214</v>
      </c>
      <c r="M34" s="1" t="s">
        <v>1193</v>
      </c>
      <c r="N34" s="1" t="s">
        <v>215</v>
      </c>
      <c r="O34" s="1"/>
      <c r="P34" s="1" t="s">
        <v>212</v>
      </c>
      <c r="Q34" s="1"/>
      <c r="R34" s="1" t="s">
        <v>216</v>
      </c>
      <c r="S34" s="1" t="s">
        <v>218</v>
      </c>
      <c r="T34" s="11">
        <v>46160.739583333336</v>
      </c>
      <c r="U34" s="1" t="s">
        <v>218</v>
      </c>
      <c r="V34" s="11">
        <v>46172.350694444445</v>
      </c>
    </row>
    <row r="35" spans="1:22" x14ac:dyDescent="0.3">
      <c r="A35" s="1">
        <v>692522</v>
      </c>
      <c r="B35" s="1">
        <v>546228</v>
      </c>
      <c r="C35" s="1" t="s">
        <v>1189</v>
      </c>
      <c r="D35" s="1" t="s">
        <v>279</v>
      </c>
      <c r="E35" s="1" t="s">
        <v>278</v>
      </c>
      <c r="F35" s="4">
        <v>32092</v>
      </c>
      <c r="G35">
        <v>38</v>
      </c>
      <c r="H35" s="1" t="s">
        <v>212</v>
      </c>
      <c r="I35" s="1" t="s">
        <v>1501</v>
      </c>
      <c r="J35" s="1" t="s">
        <v>1501</v>
      </c>
      <c r="K35" s="1">
        <v>8530</v>
      </c>
      <c r="L35" s="1" t="s">
        <v>214</v>
      </c>
      <c r="M35" s="1" t="s">
        <v>1193</v>
      </c>
      <c r="N35" s="1" t="s">
        <v>215</v>
      </c>
      <c r="O35" s="1"/>
      <c r="P35" s="1" t="s">
        <v>212</v>
      </c>
      <c r="Q35" s="1"/>
      <c r="R35" s="1" t="s">
        <v>216</v>
      </c>
      <c r="S35" s="1" t="s">
        <v>218</v>
      </c>
      <c r="T35" s="11">
        <v>46160.739583333336</v>
      </c>
      <c r="U35" s="1" t="s">
        <v>218</v>
      </c>
      <c r="V35" s="11">
        <v>46172.350694444445</v>
      </c>
    </row>
    <row r="36" spans="1:22" x14ac:dyDescent="0.3">
      <c r="A36" s="1">
        <v>445601</v>
      </c>
      <c r="B36" s="1">
        <v>348046</v>
      </c>
      <c r="C36" s="1" t="s">
        <v>1188</v>
      </c>
      <c r="D36" s="1" t="s">
        <v>280</v>
      </c>
      <c r="E36" s="1" t="s">
        <v>281</v>
      </c>
      <c r="F36" s="4">
        <v>27563</v>
      </c>
      <c r="G36">
        <v>50</v>
      </c>
      <c r="H36" s="1" t="s">
        <v>212</v>
      </c>
      <c r="I36" s="1" t="s">
        <v>1501</v>
      </c>
      <c r="J36" s="1" t="s">
        <v>1501</v>
      </c>
      <c r="K36" s="1">
        <v>8524</v>
      </c>
      <c r="L36" s="1" t="s">
        <v>214</v>
      </c>
      <c r="M36" s="1" t="s">
        <v>1213</v>
      </c>
      <c r="N36" s="1" t="s">
        <v>215</v>
      </c>
      <c r="O36" s="1"/>
      <c r="P36" s="1" t="s">
        <v>212</v>
      </c>
      <c r="Q36" s="1"/>
      <c r="R36" s="1" t="s">
        <v>216</v>
      </c>
      <c r="S36" s="1" t="s">
        <v>217</v>
      </c>
      <c r="T36" s="11">
        <v>46164.579861111109</v>
      </c>
      <c r="U36" s="1" t="s">
        <v>218</v>
      </c>
      <c r="V36" s="11">
        <v>46177.149305555555</v>
      </c>
    </row>
    <row r="37" spans="1:22" x14ac:dyDescent="0.3">
      <c r="A37" s="1">
        <v>469645</v>
      </c>
      <c r="B37" s="1">
        <v>348046</v>
      </c>
      <c r="C37" s="1" t="s">
        <v>1189</v>
      </c>
      <c r="D37" s="1" t="s">
        <v>282</v>
      </c>
      <c r="E37" s="1" t="s">
        <v>281</v>
      </c>
      <c r="F37" s="4">
        <v>27870</v>
      </c>
      <c r="G37">
        <v>49</v>
      </c>
      <c r="H37" s="1" t="s">
        <v>212</v>
      </c>
      <c r="I37" s="1" t="s">
        <v>1501</v>
      </c>
      <c r="J37" s="1" t="s">
        <v>1501</v>
      </c>
      <c r="K37" s="1">
        <v>8524</v>
      </c>
      <c r="L37" s="1" t="s">
        <v>214</v>
      </c>
      <c r="M37" s="1" t="s">
        <v>1213</v>
      </c>
      <c r="N37" s="1" t="s">
        <v>215</v>
      </c>
      <c r="O37" s="1"/>
      <c r="P37" s="1" t="s">
        <v>212</v>
      </c>
      <c r="Q37" s="1"/>
      <c r="R37" s="1" t="s">
        <v>216</v>
      </c>
      <c r="S37" s="1" t="s">
        <v>217</v>
      </c>
      <c r="T37" s="11">
        <v>46164.579861111109</v>
      </c>
      <c r="U37" s="1" t="s">
        <v>218</v>
      </c>
      <c r="V37" s="11">
        <v>46177.149305555555</v>
      </c>
    </row>
    <row r="38" spans="1:22" x14ac:dyDescent="0.3">
      <c r="A38" s="1">
        <v>605159</v>
      </c>
      <c r="B38" s="1">
        <v>487813</v>
      </c>
      <c r="C38" s="1" t="s">
        <v>1188</v>
      </c>
      <c r="D38" s="1" t="s">
        <v>283</v>
      </c>
      <c r="E38" s="1" t="s">
        <v>229</v>
      </c>
      <c r="F38" s="4">
        <v>24288</v>
      </c>
      <c r="G38">
        <v>59</v>
      </c>
      <c r="H38" s="1" t="s">
        <v>212</v>
      </c>
      <c r="I38" s="1" t="s">
        <v>1501</v>
      </c>
      <c r="J38" s="1" t="s">
        <v>1501</v>
      </c>
      <c r="K38" s="1">
        <v>8529</v>
      </c>
      <c r="L38" s="1" t="s">
        <v>214</v>
      </c>
      <c r="M38" s="1" t="s">
        <v>1190</v>
      </c>
      <c r="N38" s="1" t="s">
        <v>215</v>
      </c>
      <c r="O38" s="1"/>
      <c r="P38" s="1" t="s">
        <v>212</v>
      </c>
      <c r="Q38" s="1"/>
      <c r="R38" s="1" t="s">
        <v>216</v>
      </c>
      <c r="S38" s="1" t="s">
        <v>218</v>
      </c>
      <c r="T38" s="11">
        <v>46160.392361111109</v>
      </c>
      <c r="U38" s="1" t="s">
        <v>218</v>
      </c>
      <c r="V38" s="11">
        <v>46173.128472222219</v>
      </c>
    </row>
    <row r="39" spans="1:22" x14ac:dyDescent="0.3">
      <c r="A39" s="1">
        <v>633115</v>
      </c>
      <c r="B39" s="1">
        <v>487813</v>
      </c>
      <c r="C39" s="1" t="s">
        <v>1189</v>
      </c>
      <c r="D39" s="1" t="s">
        <v>246</v>
      </c>
      <c r="E39" s="1" t="s">
        <v>229</v>
      </c>
      <c r="F39" s="4">
        <v>28117</v>
      </c>
      <c r="G39">
        <v>49</v>
      </c>
      <c r="H39" s="1" t="s">
        <v>212</v>
      </c>
      <c r="I39" s="1" t="s">
        <v>1501</v>
      </c>
      <c r="J39" s="1" t="s">
        <v>1501</v>
      </c>
      <c r="K39" s="1">
        <v>8529</v>
      </c>
      <c r="L39" s="1" t="s">
        <v>214</v>
      </c>
      <c r="M39" s="1" t="s">
        <v>1190</v>
      </c>
      <c r="N39" s="1" t="s">
        <v>215</v>
      </c>
      <c r="O39" s="1"/>
      <c r="P39" s="1" t="s">
        <v>212</v>
      </c>
      <c r="Q39" s="1"/>
      <c r="R39" s="1" t="s">
        <v>216</v>
      </c>
      <c r="S39" s="1" t="s">
        <v>218</v>
      </c>
      <c r="T39" s="11">
        <v>46160.392361111109</v>
      </c>
      <c r="U39" s="1" t="s">
        <v>218</v>
      </c>
      <c r="V39" s="11">
        <v>46173.128472222219</v>
      </c>
    </row>
    <row r="40" spans="1:22" x14ac:dyDescent="0.3">
      <c r="A40" s="1">
        <v>633144</v>
      </c>
      <c r="B40" s="1">
        <v>487813</v>
      </c>
      <c r="C40" s="1" t="s">
        <v>1188</v>
      </c>
      <c r="D40" s="1" t="s">
        <v>284</v>
      </c>
      <c r="E40" s="1" t="s">
        <v>229</v>
      </c>
      <c r="F40" s="4">
        <v>37641</v>
      </c>
      <c r="G40">
        <v>23</v>
      </c>
      <c r="H40" s="1" t="s">
        <v>212</v>
      </c>
      <c r="I40" s="1" t="s">
        <v>1501</v>
      </c>
      <c r="J40" s="1" t="s">
        <v>1501</v>
      </c>
      <c r="K40" s="1">
        <v>8529</v>
      </c>
      <c r="L40" s="1" t="s">
        <v>214</v>
      </c>
      <c r="M40" s="1" t="s">
        <v>1190</v>
      </c>
      <c r="N40" s="1" t="s">
        <v>215</v>
      </c>
      <c r="O40" s="1"/>
      <c r="P40" s="1" t="s">
        <v>212</v>
      </c>
      <c r="Q40" s="1"/>
      <c r="R40" s="1" t="s">
        <v>216</v>
      </c>
      <c r="S40" s="1" t="s">
        <v>218</v>
      </c>
      <c r="T40" s="11">
        <v>46160.392361111109</v>
      </c>
      <c r="U40" s="1" t="s">
        <v>218</v>
      </c>
      <c r="V40" s="11">
        <v>46173.128472222219</v>
      </c>
    </row>
    <row r="41" spans="1:22" x14ac:dyDescent="0.3">
      <c r="A41" s="1">
        <v>708210</v>
      </c>
      <c r="B41" s="1">
        <v>574962</v>
      </c>
      <c r="C41" s="1" t="s">
        <v>1188</v>
      </c>
      <c r="D41" s="1" t="s">
        <v>285</v>
      </c>
      <c r="E41" s="1" t="s">
        <v>286</v>
      </c>
      <c r="F41" s="4">
        <v>28454</v>
      </c>
      <c r="G41">
        <v>48</v>
      </c>
      <c r="H41" s="1" t="s">
        <v>212</v>
      </c>
      <c r="I41" s="1" t="s">
        <v>1501</v>
      </c>
      <c r="J41" s="1" t="s">
        <v>1501</v>
      </c>
      <c r="K41" s="1">
        <v>8529</v>
      </c>
      <c r="L41" s="1" t="s">
        <v>214</v>
      </c>
      <c r="M41" s="1" t="s">
        <v>1190</v>
      </c>
      <c r="N41" s="1" t="s">
        <v>215</v>
      </c>
      <c r="O41" s="1"/>
      <c r="P41" s="1" t="s">
        <v>212</v>
      </c>
      <c r="Q41" s="1"/>
      <c r="R41" s="1" t="s">
        <v>216</v>
      </c>
      <c r="S41" s="1" t="s">
        <v>218</v>
      </c>
      <c r="T41" s="11">
        <v>46160.392361111109</v>
      </c>
      <c r="U41" s="1" t="s">
        <v>218</v>
      </c>
      <c r="V41" s="11">
        <v>46173.128472222219</v>
      </c>
    </row>
    <row r="42" spans="1:22" x14ac:dyDescent="0.3">
      <c r="A42" s="1">
        <v>726318</v>
      </c>
      <c r="B42" s="1">
        <v>574962</v>
      </c>
      <c r="C42" s="1" t="s">
        <v>1189</v>
      </c>
      <c r="D42" s="1" t="s">
        <v>287</v>
      </c>
      <c r="E42" s="1" t="s">
        <v>288</v>
      </c>
      <c r="F42" s="4">
        <v>30732</v>
      </c>
      <c r="G42">
        <v>42</v>
      </c>
      <c r="H42" s="1" t="s">
        <v>212</v>
      </c>
      <c r="I42" s="1" t="s">
        <v>1501</v>
      </c>
      <c r="J42" s="1" t="s">
        <v>1501</v>
      </c>
      <c r="K42" s="1">
        <v>8529</v>
      </c>
      <c r="L42" s="1" t="s">
        <v>214</v>
      </c>
      <c r="M42" s="1" t="s">
        <v>1190</v>
      </c>
      <c r="N42" s="1" t="s">
        <v>215</v>
      </c>
      <c r="O42" s="1"/>
      <c r="P42" s="1" t="s">
        <v>212</v>
      </c>
      <c r="Q42" s="1"/>
      <c r="R42" s="1" t="s">
        <v>216</v>
      </c>
      <c r="S42" s="1" t="s">
        <v>218</v>
      </c>
      <c r="T42" s="11">
        <v>46160.392361111109</v>
      </c>
      <c r="U42" s="1" t="s">
        <v>218</v>
      </c>
      <c r="V42" s="11">
        <v>46173.128472222219</v>
      </c>
    </row>
    <row r="43" spans="1:22" x14ac:dyDescent="0.3">
      <c r="A43" s="1">
        <v>172642</v>
      </c>
      <c r="B43" s="1">
        <v>132134</v>
      </c>
      <c r="C43" s="1" t="s">
        <v>1188</v>
      </c>
      <c r="D43" s="1" t="s">
        <v>289</v>
      </c>
      <c r="E43" s="1" t="s">
        <v>290</v>
      </c>
      <c r="F43" s="4">
        <v>23139</v>
      </c>
      <c r="G43">
        <v>62</v>
      </c>
      <c r="H43" s="1" t="s">
        <v>212</v>
      </c>
      <c r="I43" s="1" t="s">
        <v>1502</v>
      </c>
      <c r="J43" s="1" t="s">
        <v>1502</v>
      </c>
      <c r="K43" s="1">
        <v>8544</v>
      </c>
      <c r="L43" s="1" t="s">
        <v>214</v>
      </c>
      <c r="M43" s="1" t="s">
        <v>1208</v>
      </c>
      <c r="N43" s="1" t="s">
        <v>215</v>
      </c>
      <c r="O43" s="1"/>
      <c r="P43" s="1" t="s">
        <v>212</v>
      </c>
      <c r="Q43" s="1"/>
      <c r="R43" s="1" t="s">
        <v>216</v>
      </c>
      <c r="S43" s="1" t="s">
        <v>218</v>
      </c>
      <c r="T43" s="11">
        <v>46160.892361111109</v>
      </c>
      <c r="U43" s="1" t="s">
        <v>218</v>
      </c>
      <c r="V43" s="11">
        <v>46172.385416666664</v>
      </c>
    </row>
    <row r="44" spans="1:22" x14ac:dyDescent="0.3">
      <c r="A44" s="1">
        <v>692465</v>
      </c>
      <c r="B44" s="1">
        <v>562686</v>
      </c>
      <c r="C44" s="1" t="s">
        <v>1188</v>
      </c>
      <c r="D44" s="1" t="s">
        <v>291</v>
      </c>
      <c r="E44" s="1" t="s">
        <v>292</v>
      </c>
      <c r="F44" s="4">
        <v>23177</v>
      </c>
      <c r="G44">
        <v>62</v>
      </c>
      <c r="H44" s="1" t="s">
        <v>212</v>
      </c>
      <c r="I44" s="1" t="s">
        <v>1501</v>
      </c>
      <c r="J44" s="1" t="s">
        <v>1501</v>
      </c>
      <c r="K44" s="1">
        <v>8530</v>
      </c>
      <c r="L44" s="1" t="s">
        <v>214</v>
      </c>
      <c r="M44" s="1" t="s">
        <v>1190</v>
      </c>
      <c r="N44" s="1" t="s">
        <v>215</v>
      </c>
      <c r="O44" s="1"/>
      <c r="P44" s="1" t="s">
        <v>212</v>
      </c>
      <c r="Q44" s="1"/>
      <c r="R44" s="1" t="s">
        <v>216</v>
      </c>
      <c r="S44" s="1" t="s">
        <v>218</v>
      </c>
      <c r="T44" s="11">
        <v>46160.392361111109</v>
      </c>
      <c r="U44" s="1" t="s">
        <v>218</v>
      </c>
      <c r="V44" s="11">
        <v>46173.128472222219</v>
      </c>
    </row>
    <row r="45" spans="1:22" x14ac:dyDescent="0.3">
      <c r="A45" s="1">
        <v>692466</v>
      </c>
      <c r="B45" s="1">
        <v>562686</v>
      </c>
      <c r="C45" s="1" t="s">
        <v>1189</v>
      </c>
      <c r="D45" s="1" t="s">
        <v>293</v>
      </c>
      <c r="E45" s="1" t="s">
        <v>294</v>
      </c>
      <c r="F45" s="4">
        <v>23491</v>
      </c>
      <c r="G45">
        <v>61</v>
      </c>
      <c r="H45" s="1" t="s">
        <v>212</v>
      </c>
      <c r="I45" s="1" t="s">
        <v>1501</v>
      </c>
      <c r="J45" s="1" t="s">
        <v>1501</v>
      </c>
      <c r="K45" s="1">
        <v>8530</v>
      </c>
      <c r="L45" s="1" t="s">
        <v>214</v>
      </c>
      <c r="M45" s="1" t="s">
        <v>1190</v>
      </c>
      <c r="N45" s="1" t="s">
        <v>215</v>
      </c>
      <c r="O45" s="1"/>
      <c r="P45" s="1" t="s">
        <v>212</v>
      </c>
      <c r="Q45" s="1"/>
      <c r="R45" s="1" t="s">
        <v>216</v>
      </c>
      <c r="S45" s="1" t="s">
        <v>218</v>
      </c>
      <c r="T45" s="11">
        <v>46160.392361111109</v>
      </c>
      <c r="U45" s="1" t="s">
        <v>218</v>
      </c>
      <c r="V45" s="11">
        <v>46173.128472222219</v>
      </c>
    </row>
    <row r="46" spans="1:22" x14ac:dyDescent="0.3">
      <c r="A46" s="1">
        <v>651755</v>
      </c>
      <c r="B46" s="1">
        <v>529057</v>
      </c>
      <c r="C46" s="1" t="s">
        <v>1188</v>
      </c>
      <c r="D46" s="1" t="s">
        <v>295</v>
      </c>
      <c r="E46" s="1" t="s">
        <v>296</v>
      </c>
      <c r="F46" s="4">
        <v>23846</v>
      </c>
      <c r="G46">
        <v>60</v>
      </c>
      <c r="H46" s="1" t="s">
        <v>212</v>
      </c>
      <c r="I46" s="1" t="s">
        <v>1501</v>
      </c>
      <c r="J46" s="1" t="s">
        <v>1501</v>
      </c>
      <c r="K46" s="1">
        <v>8530</v>
      </c>
      <c r="L46" s="1" t="s">
        <v>214</v>
      </c>
      <c r="M46" s="1" t="s">
        <v>1193</v>
      </c>
      <c r="N46" s="1" t="s">
        <v>215</v>
      </c>
      <c r="O46" s="1"/>
      <c r="P46" s="1" t="s">
        <v>212</v>
      </c>
      <c r="Q46" s="1"/>
      <c r="R46" s="1" t="s">
        <v>216</v>
      </c>
      <c r="S46" s="1" t="s">
        <v>218</v>
      </c>
      <c r="T46" s="11">
        <v>46160.739583333336</v>
      </c>
      <c r="U46" s="1" t="s">
        <v>218</v>
      </c>
      <c r="V46" s="11">
        <v>46172.350694444445</v>
      </c>
    </row>
    <row r="47" spans="1:22" x14ac:dyDescent="0.3">
      <c r="A47" s="1">
        <v>651758</v>
      </c>
      <c r="B47" s="1">
        <v>529057</v>
      </c>
      <c r="C47" s="1" t="s">
        <v>1189</v>
      </c>
      <c r="D47" s="1" t="s">
        <v>297</v>
      </c>
      <c r="E47" s="1" t="s">
        <v>296</v>
      </c>
      <c r="F47" s="4">
        <v>25124</v>
      </c>
      <c r="G47">
        <v>57</v>
      </c>
      <c r="H47" s="1" t="s">
        <v>212</v>
      </c>
      <c r="I47" s="1" t="s">
        <v>1501</v>
      </c>
      <c r="J47" s="1" t="s">
        <v>1501</v>
      </c>
      <c r="K47" s="1">
        <v>8530</v>
      </c>
      <c r="L47" s="1" t="s">
        <v>214</v>
      </c>
      <c r="M47" s="1" t="s">
        <v>1193</v>
      </c>
      <c r="N47" s="1" t="s">
        <v>215</v>
      </c>
      <c r="O47" s="1"/>
      <c r="P47" s="1" t="s">
        <v>212</v>
      </c>
      <c r="Q47" s="1"/>
      <c r="R47" s="1" t="s">
        <v>216</v>
      </c>
      <c r="S47" s="1" t="s">
        <v>218</v>
      </c>
      <c r="T47" s="11">
        <v>46160.739583333336</v>
      </c>
      <c r="U47" s="1" t="s">
        <v>218</v>
      </c>
      <c r="V47" s="11">
        <v>46172.350694444445</v>
      </c>
    </row>
    <row r="48" spans="1:22" x14ac:dyDescent="0.3">
      <c r="A48" s="1">
        <v>707932</v>
      </c>
      <c r="B48" s="1">
        <v>529057</v>
      </c>
      <c r="C48" s="1" t="s">
        <v>1189</v>
      </c>
      <c r="D48" s="1" t="s">
        <v>298</v>
      </c>
      <c r="E48" s="1" t="s">
        <v>296</v>
      </c>
      <c r="F48" s="4">
        <v>16733</v>
      </c>
      <c r="G48">
        <v>80</v>
      </c>
      <c r="H48" s="1" t="s">
        <v>212</v>
      </c>
      <c r="I48" s="1" t="s">
        <v>1501</v>
      </c>
      <c r="J48" s="1" t="s">
        <v>1501</v>
      </c>
      <c r="K48" s="1">
        <v>8530</v>
      </c>
      <c r="L48" s="1" t="s">
        <v>214</v>
      </c>
      <c r="M48" s="1" t="s">
        <v>1193</v>
      </c>
      <c r="N48" s="1" t="s">
        <v>215</v>
      </c>
      <c r="O48" s="1"/>
      <c r="P48" s="1" t="s">
        <v>212</v>
      </c>
      <c r="Q48" s="1"/>
      <c r="R48" s="1" t="s">
        <v>216</v>
      </c>
      <c r="S48" s="1" t="s">
        <v>218</v>
      </c>
      <c r="T48" s="11">
        <v>46160.739583333336</v>
      </c>
      <c r="U48" s="1" t="s">
        <v>218</v>
      </c>
      <c r="V48" s="11">
        <v>46172.350694444445</v>
      </c>
    </row>
    <row r="49" spans="1:22" x14ac:dyDescent="0.3">
      <c r="A49" s="1">
        <v>640752</v>
      </c>
      <c r="B49" s="1">
        <v>519580</v>
      </c>
      <c r="C49" s="1" t="s">
        <v>1189</v>
      </c>
      <c r="D49" s="1" t="s">
        <v>299</v>
      </c>
      <c r="E49" s="1" t="s">
        <v>300</v>
      </c>
      <c r="F49" s="4">
        <v>29186</v>
      </c>
      <c r="G49">
        <v>46</v>
      </c>
      <c r="H49" s="1" t="s">
        <v>212</v>
      </c>
      <c r="I49" s="1" t="s">
        <v>1501</v>
      </c>
      <c r="J49" s="1" t="s">
        <v>1501</v>
      </c>
      <c r="K49" s="1">
        <v>8528</v>
      </c>
      <c r="L49" s="1" t="s">
        <v>214</v>
      </c>
      <c r="M49" s="1" t="s">
        <v>1193</v>
      </c>
      <c r="N49" s="1" t="s">
        <v>215</v>
      </c>
      <c r="O49" s="1"/>
      <c r="P49" s="1" t="s">
        <v>212</v>
      </c>
      <c r="Q49" s="1"/>
      <c r="R49" s="1" t="s">
        <v>216</v>
      </c>
      <c r="S49" s="1" t="s">
        <v>218</v>
      </c>
      <c r="T49" s="11">
        <v>46160.739583333336</v>
      </c>
      <c r="U49" s="1" t="s">
        <v>218</v>
      </c>
      <c r="V49" s="11">
        <v>46172.350694444445</v>
      </c>
    </row>
    <row r="50" spans="1:22" x14ac:dyDescent="0.3">
      <c r="A50" s="1">
        <v>783303</v>
      </c>
      <c r="B50" s="1">
        <v>519580</v>
      </c>
      <c r="C50" s="1" t="s">
        <v>1188</v>
      </c>
      <c r="D50" s="1" t="s">
        <v>270</v>
      </c>
      <c r="E50" s="1" t="s">
        <v>301</v>
      </c>
      <c r="F50" s="4">
        <v>28840</v>
      </c>
      <c r="G50">
        <v>47</v>
      </c>
      <c r="H50" s="1" t="s">
        <v>212</v>
      </c>
      <c r="I50" s="1" t="s">
        <v>1501</v>
      </c>
      <c r="J50" s="1" t="s">
        <v>1501</v>
      </c>
      <c r="K50" s="1">
        <v>8528</v>
      </c>
      <c r="L50" s="1" t="s">
        <v>214</v>
      </c>
      <c r="M50" s="1" t="s">
        <v>1193</v>
      </c>
      <c r="N50" s="1" t="s">
        <v>215</v>
      </c>
      <c r="O50" s="1"/>
      <c r="P50" s="1" t="s">
        <v>212</v>
      </c>
      <c r="Q50" s="1"/>
      <c r="R50" s="1" t="s">
        <v>216</v>
      </c>
      <c r="S50" s="1" t="s">
        <v>218</v>
      </c>
      <c r="T50" s="11">
        <v>46160.739583333336</v>
      </c>
      <c r="U50" s="1" t="s">
        <v>218</v>
      </c>
      <c r="V50" s="11">
        <v>46172.350694444445</v>
      </c>
    </row>
    <row r="51" spans="1:22" x14ac:dyDescent="0.3">
      <c r="A51" s="1">
        <v>776402</v>
      </c>
      <c r="B51" s="1">
        <v>629152</v>
      </c>
      <c r="C51" s="1" t="s">
        <v>1189</v>
      </c>
      <c r="D51" s="1" t="s">
        <v>302</v>
      </c>
      <c r="E51" s="1" t="s">
        <v>303</v>
      </c>
      <c r="F51" s="4">
        <v>28644</v>
      </c>
      <c r="G51">
        <v>47</v>
      </c>
      <c r="H51" s="1" t="s">
        <v>212</v>
      </c>
      <c r="I51" s="1" t="s">
        <v>1502</v>
      </c>
      <c r="J51" s="1" t="s">
        <v>1502</v>
      </c>
      <c r="K51" s="1">
        <v>8525</v>
      </c>
      <c r="L51" s="1" t="s">
        <v>214</v>
      </c>
      <c r="M51" s="1" t="s">
        <v>1209</v>
      </c>
      <c r="N51" s="1" t="s">
        <v>215</v>
      </c>
      <c r="O51" s="1"/>
      <c r="P51" s="1" t="s">
        <v>212</v>
      </c>
      <c r="Q51" s="1"/>
      <c r="R51" s="1" t="s">
        <v>216</v>
      </c>
      <c r="S51" s="1" t="s">
        <v>218</v>
      </c>
      <c r="T51" s="11">
        <v>46160.739583333336</v>
      </c>
      <c r="U51" s="1" t="s">
        <v>218</v>
      </c>
      <c r="V51" s="11">
        <v>46172.385416666664</v>
      </c>
    </row>
    <row r="52" spans="1:22" x14ac:dyDescent="0.3">
      <c r="A52" s="1">
        <v>776411</v>
      </c>
      <c r="B52" s="1">
        <v>629152</v>
      </c>
      <c r="C52" s="1" t="s">
        <v>1188</v>
      </c>
      <c r="D52" s="1" t="s">
        <v>304</v>
      </c>
      <c r="E52" s="1" t="s">
        <v>305</v>
      </c>
      <c r="F52" s="4">
        <v>28752</v>
      </c>
      <c r="G52">
        <v>47</v>
      </c>
      <c r="H52" s="1" t="s">
        <v>212</v>
      </c>
      <c r="I52" s="1" t="s">
        <v>1502</v>
      </c>
      <c r="J52" s="1" t="s">
        <v>1502</v>
      </c>
      <c r="K52" s="1">
        <v>8525</v>
      </c>
      <c r="L52" s="1" t="s">
        <v>214</v>
      </c>
      <c r="M52" s="1" t="s">
        <v>1209</v>
      </c>
      <c r="N52" s="1" t="s">
        <v>215</v>
      </c>
      <c r="O52" s="1"/>
      <c r="P52" s="1" t="s">
        <v>212</v>
      </c>
      <c r="Q52" s="1"/>
      <c r="R52" s="1" t="s">
        <v>216</v>
      </c>
      <c r="S52" s="1" t="s">
        <v>218</v>
      </c>
      <c r="T52" s="11">
        <v>46160.739583333336</v>
      </c>
      <c r="U52" s="1" t="s">
        <v>218</v>
      </c>
      <c r="V52" s="11">
        <v>46172.385416666664</v>
      </c>
    </row>
    <row r="53" spans="1:22" x14ac:dyDescent="0.3">
      <c r="A53" s="1">
        <v>524615</v>
      </c>
      <c r="B53" s="1">
        <v>415154</v>
      </c>
      <c r="C53" s="1" t="s">
        <v>1189</v>
      </c>
      <c r="D53" s="1" t="s">
        <v>306</v>
      </c>
      <c r="E53" s="1" t="s">
        <v>307</v>
      </c>
      <c r="F53" s="4">
        <v>33866</v>
      </c>
      <c r="G53">
        <v>33</v>
      </c>
      <c r="H53" s="1" t="s">
        <v>212</v>
      </c>
      <c r="I53" s="1" t="s">
        <v>1503</v>
      </c>
      <c r="J53" s="1" t="s">
        <v>1503</v>
      </c>
      <c r="K53" s="1">
        <v>8716</v>
      </c>
      <c r="L53" s="1" t="s">
        <v>261</v>
      </c>
      <c r="M53" s="1" t="s">
        <v>309</v>
      </c>
      <c r="N53" s="1" t="s">
        <v>215</v>
      </c>
      <c r="O53" s="1"/>
      <c r="P53" s="1" t="s">
        <v>310</v>
      </c>
      <c r="Q53" s="1" t="s">
        <v>311</v>
      </c>
      <c r="R53" s="1" t="s">
        <v>216</v>
      </c>
      <c r="S53" s="1" t="s">
        <v>218</v>
      </c>
      <c r="T53" s="11">
        <v>46163.4375</v>
      </c>
      <c r="U53" s="1" t="s">
        <v>218</v>
      </c>
      <c r="V53" s="11">
        <v>46175.642361111109</v>
      </c>
    </row>
    <row r="54" spans="1:22" x14ac:dyDescent="0.3">
      <c r="A54" s="1">
        <v>602879</v>
      </c>
      <c r="B54" s="1">
        <v>415154</v>
      </c>
      <c r="C54" s="1" t="s">
        <v>1188</v>
      </c>
      <c r="D54" s="1" t="s">
        <v>312</v>
      </c>
      <c r="E54" s="1" t="s">
        <v>313</v>
      </c>
      <c r="F54" s="4">
        <v>33971</v>
      </c>
      <c r="G54">
        <v>33</v>
      </c>
      <c r="H54" s="1" t="s">
        <v>212</v>
      </c>
      <c r="I54" s="1" t="s">
        <v>1503</v>
      </c>
      <c r="J54" s="1" t="s">
        <v>1503</v>
      </c>
      <c r="K54" s="1">
        <v>8716</v>
      </c>
      <c r="L54" s="1" t="s">
        <v>261</v>
      </c>
      <c r="M54" s="1" t="s">
        <v>309</v>
      </c>
      <c r="N54" s="1" t="s">
        <v>215</v>
      </c>
      <c r="O54" s="1"/>
      <c r="P54" s="1" t="s">
        <v>310</v>
      </c>
      <c r="Q54" s="1" t="s">
        <v>311</v>
      </c>
      <c r="R54" s="1" t="s">
        <v>216</v>
      </c>
      <c r="S54" s="1" t="s">
        <v>218</v>
      </c>
      <c r="T54" s="11">
        <v>46163.4375</v>
      </c>
      <c r="U54" s="1" t="s">
        <v>218</v>
      </c>
      <c r="V54" s="11">
        <v>46175.642361111109</v>
      </c>
    </row>
    <row r="55" spans="1:22" x14ac:dyDescent="0.3">
      <c r="A55" s="1">
        <v>602251</v>
      </c>
      <c r="B55" s="1">
        <v>485264</v>
      </c>
      <c r="C55" s="1" t="s">
        <v>1188</v>
      </c>
      <c r="D55" s="1" t="s">
        <v>314</v>
      </c>
      <c r="E55" s="1" t="s">
        <v>315</v>
      </c>
      <c r="F55" s="4">
        <v>31133</v>
      </c>
      <c r="G55">
        <v>40</v>
      </c>
      <c r="H55" s="1" t="s">
        <v>212</v>
      </c>
      <c r="I55" s="1" t="s">
        <v>1504</v>
      </c>
      <c r="J55" s="1" t="s">
        <v>1504</v>
      </c>
      <c r="K55" s="1">
        <v>8540</v>
      </c>
      <c r="L55" s="1" t="s">
        <v>261</v>
      </c>
      <c r="M55" s="1" t="s">
        <v>317</v>
      </c>
      <c r="N55" s="1" t="s">
        <v>215</v>
      </c>
      <c r="O55" s="1"/>
      <c r="P55" s="1" t="s">
        <v>318</v>
      </c>
      <c r="Q55" s="1" t="s">
        <v>319</v>
      </c>
      <c r="R55" s="1" t="s">
        <v>216</v>
      </c>
      <c r="S55" s="1" t="s">
        <v>218</v>
      </c>
      <c r="T55" s="11">
        <v>46163.15625</v>
      </c>
      <c r="U55" s="1" t="s">
        <v>218</v>
      </c>
      <c r="V55" s="11">
        <v>46173.3125</v>
      </c>
    </row>
    <row r="56" spans="1:22" x14ac:dyDescent="0.3">
      <c r="A56" s="1">
        <v>718721</v>
      </c>
      <c r="B56" s="1">
        <v>485264</v>
      </c>
      <c r="C56" s="1" t="s">
        <v>1189</v>
      </c>
      <c r="D56" s="1" t="s">
        <v>320</v>
      </c>
      <c r="E56" s="1" t="s">
        <v>321</v>
      </c>
      <c r="F56" s="4">
        <v>31584</v>
      </c>
      <c r="G56">
        <v>39</v>
      </c>
      <c r="H56" s="1" t="s">
        <v>212</v>
      </c>
      <c r="I56" s="1" t="s">
        <v>1504</v>
      </c>
      <c r="J56" s="1" t="s">
        <v>1504</v>
      </c>
      <c r="K56" s="1">
        <v>8540</v>
      </c>
      <c r="L56" s="1" t="s">
        <v>261</v>
      </c>
      <c r="M56" s="1" t="s">
        <v>317</v>
      </c>
      <c r="N56" s="1" t="s">
        <v>215</v>
      </c>
      <c r="O56" s="1"/>
      <c r="P56" s="1" t="s">
        <v>318</v>
      </c>
      <c r="Q56" s="1" t="s">
        <v>319</v>
      </c>
      <c r="R56" s="1" t="s">
        <v>216</v>
      </c>
      <c r="S56" s="1" t="s">
        <v>218</v>
      </c>
      <c r="T56" s="11">
        <v>46163.15625</v>
      </c>
      <c r="U56" s="1" t="s">
        <v>218</v>
      </c>
      <c r="V56" s="11">
        <v>46173.3125</v>
      </c>
    </row>
    <row r="57" spans="1:22" x14ac:dyDescent="0.3">
      <c r="A57" s="1">
        <v>629723</v>
      </c>
      <c r="B57" s="1">
        <v>510224</v>
      </c>
      <c r="C57" s="1" t="s">
        <v>1189</v>
      </c>
      <c r="D57" s="1" t="s">
        <v>246</v>
      </c>
      <c r="E57" s="1" t="s">
        <v>322</v>
      </c>
      <c r="F57" s="4">
        <v>25666</v>
      </c>
      <c r="G57">
        <v>55</v>
      </c>
      <c r="H57" s="1" t="s">
        <v>212</v>
      </c>
      <c r="I57" s="1" t="s">
        <v>1501</v>
      </c>
      <c r="J57" s="1" t="s">
        <v>1501</v>
      </c>
      <c r="K57" s="1">
        <v>8529</v>
      </c>
      <c r="L57" s="1" t="s">
        <v>214</v>
      </c>
      <c r="M57" s="1" t="s">
        <v>1194</v>
      </c>
      <c r="N57" s="1" t="s">
        <v>215</v>
      </c>
      <c r="O57" s="1"/>
      <c r="P57" s="1" t="s">
        <v>212</v>
      </c>
      <c r="Q57" s="1"/>
      <c r="R57" s="1" t="s">
        <v>216</v>
      </c>
      <c r="S57" s="1" t="s">
        <v>218</v>
      </c>
      <c r="T57" s="11">
        <v>46161.878472222219</v>
      </c>
      <c r="U57" s="1" t="s">
        <v>218</v>
      </c>
      <c r="V57" s="11">
        <v>46173.392361111109</v>
      </c>
    </row>
    <row r="58" spans="1:22" x14ac:dyDescent="0.3">
      <c r="A58" s="1">
        <v>483536</v>
      </c>
      <c r="B58" s="1">
        <v>680676</v>
      </c>
      <c r="C58" s="1" t="s">
        <v>1189</v>
      </c>
      <c r="D58" s="1" t="s">
        <v>323</v>
      </c>
      <c r="E58" s="1" t="s">
        <v>324</v>
      </c>
      <c r="F58" s="4">
        <v>30231</v>
      </c>
      <c r="G58">
        <v>43</v>
      </c>
      <c r="H58" s="1" t="s">
        <v>212</v>
      </c>
      <c r="I58" s="1" t="s">
        <v>1501</v>
      </c>
      <c r="J58" s="1" t="s">
        <v>1501</v>
      </c>
      <c r="K58" s="1">
        <v>8530</v>
      </c>
      <c r="L58" s="1" t="s">
        <v>214</v>
      </c>
      <c r="M58" s="1" t="s">
        <v>1190</v>
      </c>
      <c r="N58" s="1" t="s">
        <v>215</v>
      </c>
      <c r="O58" s="1"/>
      <c r="P58" s="1" t="s">
        <v>212</v>
      </c>
      <c r="Q58" s="1"/>
      <c r="R58" s="1" t="s">
        <v>216</v>
      </c>
      <c r="S58" s="1" t="s">
        <v>218</v>
      </c>
      <c r="T58" s="11">
        <v>46160.392361111109</v>
      </c>
      <c r="U58" s="1" t="s">
        <v>218</v>
      </c>
      <c r="V58" s="11">
        <v>46173.128472222219</v>
      </c>
    </row>
    <row r="59" spans="1:22" x14ac:dyDescent="0.3">
      <c r="A59" s="1">
        <v>640727</v>
      </c>
      <c r="B59" s="1">
        <v>680676</v>
      </c>
      <c r="C59" s="1" t="s">
        <v>1188</v>
      </c>
      <c r="D59" s="1" t="s">
        <v>325</v>
      </c>
      <c r="E59" s="1" t="s">
        <v>243</v>
      </c>
      <c r="F59" s="4">
        <v>30078</v>
      </c>
      <c r="G59">
        <v>43</v>
      </c>
      <c r="H59" s="1" t="s">
        <v>212</v>
      </c>
      <c r="I59" s="1" t="s">
        <v>1501</v>
      </c>
      <c r="J59" s="1" t="s">
        <v>1501</v>
      </c>
      <c r="K59" s="1">
        <v>8530</v>
      </c>
      <c r="L59" s="1" t="s">
        <v>214</v>
      </c>
      <c r="M59" s="1" t="s">
        <v>1190</v>
      </c>
      <c r="N59" s="1" t="s">
        <v>215</v>
      </c>
      <c r="O59" s="1"/>
      <c r="P59" s="1" t="s">
        <v>212</v>
      </c>
      <c r="Q59" s="1"/>
      <c r="R59" s="1" t="s">
        <v>216</v>
      </c>
      <c r="S59" s="1" t="s">
        <v>218</v>
      </c>
      <c r="T59" s="11">
        <v>46160.392361111109</v>
      </c>
      <c r="U59" s="1" t="s">
        <v>218</v>
      </c>
      <c r="V59" s="11">
        <v>46173.128472222219</v>
      </c>
    </row>
    <row r="60" spans="1:22" x14ac:dyDescent="0.3">
      <c r="A60" s="1">
        <v>612174</v>
      </c>
      <c r="B60" s="1">
        <v>503698</v>
      </c>
      <c r="C60" s="1" t="s">
        <v>1189</v>
      </c>
      <c r="D60" s="1" t="s">
        <v>281</v>
      </c>
      <c r="E60" s="1" t="s">
        <v>271</v>
      </c>
      <c r="F60" s="4">
        <v>31191</v>
      </c>
      <c r="G60">
        <v>40</v>
      </c>
      <c r="H60" s="1" t="s">
        <v>212</v>
      </c>
      <c r="I60" s="1" t="s">
        <v>1501</v>
      </c>
      <c r="J60" s="1" t="s">
        <v>1501</v>
      </c>
      <c r="K60" s="1">
        <v>8670</v>
      </c>
      <c r="L60" s="1" t="s">
        <v>261</v>
      </c>
      <c r="M60" s="1" t="s">
        <v>326</v>
      </c>
      <c r="N60" s="1" t="s">
        <v>215</v>
      </c>
      <c r="O60" s="1"/>
      <c r="P60" s="1" t="s">
        <v>327</v>
      </c>
      <c r="Q60" s="1" t="s">
        <v>328</v>
      </c>
      <c r="R60" s="1" t="s">
        <v>216</v>
      </c>
      <c r="S60" s="1" t="s">
        <v>218</v>
      </c>
      <c r="T60" s="11">
        <v>46165.545138888891</v>
      </c>
      <c r="U60" s="1" t="s">
        <v>218</v>
      </c>
      <c r="V60" s="11">
        <v>46175.215277777781</v>
      </c>
    </row>
    <row r="61" spans="1:22" x14ac:dyDescent="0.3">
      <c r="A61" s="1">
        <v>622917</v>
      </c>
      <c r="B61" s="1">
        <v>503698</v>
      </c>
      <c r="C61" s="1" t="s">
        <v>1188</v>
      </c>
      <c r="D61" s="1" t="s">
        <v>240</v>
      </c>
      <c r="E61" s="1" t="s">
        <v>229</v>
      </c>
      <c r="F61" s="4">
        <v>30084</v>
      </c>
      <c r="G61">
        <v>43</v>
      </c>
      <c r="H61" s="1" t="s">
        <v>212</v>
      </c>
      <c r="I61" s="1" t="s">
        <v>1501</v>
      </c>
      <c r="J61" s="1" t="s">
        <v>1501</v>
      </c>
      <c r="K61" s="1">
        <v>8670</v>
      </c>
      <c r="L61" s="1" t="s">
        <v>261</v>
      </c>
      <c r="M61" s="1" t="s">
        <v>326</v>
      </c>
      <c r="N61" s="1" t="s">
        <v>215</v>
      </c>
      <c r="O61" s="1"/>
      <c r="P61" s="1" t="s">
        <v>327</v>
      </c>
      <c r="Q61" s="1" t="s">
        <v>328</v>
      </c>
      <c r="R61" s="1" t="s">
        <v>216</v>
      </c>
      <c r="S61" s="1" t="s">
        <v>218</v>
      </c>
      <c r="T61" s="11">
        <v>46165.545138888891</v>
      </c>
      <c r="U61" s="1" t="s">
        <v>218</v>
      </c>
      <c r="V61" s="11">
        <v>46175.215277777781</v>
      </c>
    </row>
    <row r="62" spans="1:22" x14ac:dyDescent="0.3">
      <c r="A62" s="1">
        <v>549942</v>
      </c>
      <c r="B62" s="1">
        <v>436747</v>
      </c>
      <c r="C62" s="1" t="s">
        <v>1188</v>
      </c>
      <c r="D62" s="1" t="s">
        <v>329</v>
      </c>
      <c r="E62" s="1" t="s">
        <v>330</v>
      </c>
      <c r="F62" s="4">
        <v>25859</v>
      </c>
      <c r="G62">
        <v>55</v>
      </c>
      <c r="H62" s="1" t="s">
        <v>212</v>
      </c>
      <c r="I62" s="1" t="s">
        <v>1501</v>
      </c>
      <c r="J62" s="1" t="s">
        <v>1501</v>
      </c>
      <c r="K62" s="1">
        <v>8529</v>
      </c>
      <c r="L62" s="1" t="s">
        <v>214</v>
      </c>
      <c r="M62" s="1" t="s">
        <v>1207</v>
      </c>
      <c r="N62" s="1" t="s">
        <v>215</v>
      </c>
      <c r="O62" s="1"/>
      <c r="P62" s="1" t="s">
        <v>212</v>
      </c>
      <c r="Q62" s="1"/>
      <c r="R62" s="1" t="s">
        <v>216</v>
      </c>
      <c r="S62" s="1" t="s">
        <v>218</v>
      </c>
      <c r="T62" s="11">
        <v>46160.892361111109</v>
      </c>
      <c r="U62" s="1" t="s">
        <v>218</v>
      </c>
      <c r="V62" s="11">
        <v>46172.385416666664</v>
      </c>
    </row>
    <row r="63" spans="1:22" x14ac:dyDescent="0.3">
      <c r="A63" s="1">
        <v>553836</v>
      </c>
      <c r="B63" s="1">
        <v>436747</v>
      </c>
      <c r="C63" s="1" t="s">
        <v>1189</v>
      </c>
      <c r="D63" s="1" t="s">
        <v>331</v>
      </c>
      <c r="E63" s="1" t="s">
        <v>332</v>
      </c>
      <c r="F63" s="4">
        <v>26720</v>
      </c>
      <c r="G63">
        <v>53</v>
      </c>
      <c r="H63" s="1" t="s">
        <v>212</v>
      </c>
      <c r="I63" s="1" t="s">
        <v>1501</v>
      </c>
      <c r="J63" s="1" t="s">
        <v>1501</v>
      </c>
      <c r="K63" s="1">
        <v>8529</v>
      </c>
      <c r="L63" s="1" t="s">
        <v>214</v>
      </c>
      <c r="M63" s="1" t="s">
        <v>1207</v>
      </c>
      <c r="N63" s="1" t="s">
        <v>215</v>
      </c>
      <c r="O63" s="1"/>
      <c r="P63" s="1" t="s">
        <v>212</v>
      </c>
      <c r="Q63" s="1"/>
      <c r="R63" s="1" t="s">
        <v>216</v>
      </c>
      <c r="S63" s="1" t="s">
        <v>218</v>
      </c>
      <c r="T63" s="11">
        <v>46160.892361111109</v>
      </c>
      <c r="U63" s="1" t="s">
        <v>218</v>
      </c>
      <c r="V63" s="11">
        <v>46172.385416666664</v>
      </c>
    </row>
    <row r="64" spans="1:22" x14ac:dyDescent="0.3">
      <c r="A64" s="1">
        <v>688469</v>
      </c>
      <c r="B64" s="1">
        <v>559511</v>
      </c>
      <c r="C64" s="1" t="s">
        <v>1189</v>
      </c>
      <c r="D64" s="1" t="s">
        <v>333</v>
      </c>
      <c r="E64" s="1" t="s">
        <v>334</v>
      </c>
      <c r="F64" s="4">
        <v>29307</v>
      </c>
      <c r="G64">
        <v>45</v>
      </c>
      <c r="H64" s="1" t="s">
        <v>212</v>
      </c>
      <c r="I64" s="1" t="s">
        <v>1501</v>
      </c>
      <c r="J64" s="1" t="s">
        <v>1501</v>
      </c>
      <c r="K64" s="1">
        <v>8535</v>
      </c>
      <c r="L64" s="1" t="s">
        <v>214</v>
      </c>
      <c r="M64" s="1" t="s">
        <v>1191</v>
      </c>
      <c r="N64" s="1" t="s">
        <v>215</v>
      </c>
      <c r="O64" s="1"/>
      <c r="P64" s="1" t="s">
        <v>212</v>
      </c>
      <c r="Q64" s="1"/>
      <c r="R64" s="1" t="s">
        <v>216</v>
      </c>
      <c r="S64" s="1" t="s">
        <v>218</v>
      </c>
      <c r="T64" s="11">
        <v>46163.236111111109</v>
      </c>
      <c r="U64" s="1" t="s">
        <v>218</v>
      </c>
      <c r="V64" s="11">
        <v>46175.930555555555</v>
      </c>
    </row>
    <row r="65" spans="1:22" x14ac:dyDescent="0.3">
      <c r="A65" s="1">
        <v>826259</v>
      </c>
      <c r="B65" s="1">
        <v>667962</v>
      </c>
      <c r="C65" s="1" t="s">
        <v>1189</v>
      </c>
      <c r="D65" s="1" t="s">
        <v>335</v>
      </c>
      <c r="E65" s="1" t="s">
        <v>336</v>
      </c>
      <c r="F65" s="4">
        <v>27885</v>
      </c>
      <c r="G65">
        <v>49</v>
      </c>
      <c r="H65" s="1" t="s">
        <v>212</v>
      </c>
      <c r="I65" s="1" t="s">
        <v>1501</v>
      </c>
      <c r="J65" s="1" t="s">
        <v>1501</v>
      </c>
      <c r="K65" s="1">
        <v>8538</v>
      </c>
      <c r="L65" s="1" t="s">
        <v>261</v>
      </c>
      <c r="M65" s="1" t="s">
        <v>337</v>
      </c>
      <c r="N65" s="1" t="s">
        <v>215</v>
      </c>
      <c r="O65" s="1"/>
      <c r="P65" s="1" t="s">
        <v>338</v>
      </c>
      <c r="Q65" s="1" t="s">
        <v>339</v>
      </c>
      <c r="R65" s="1" t="s">
        <v>216</v>
      </c>
      <c r="S65" s="1" t="s">
        <v>218</v>
      </c>
      <c r="T65" s="11">
        <v>46163.538194444445</v>
      </c>
      <c r="U65" s="1" t="s">
        <v>218</v>
      </c>
      <c r="V65" s="11">
        <v>46175.256944444445</v>
      </c>
    </row>
    <row r="66" spans="1:22" x14ac:dyDescent="0.3">
      <c r="A66" s="1">
        <v>659203</v>
      </c>
      <c r="B66" s="1">
        <v>535674</v>
      </c>
      <c r="C66" s="1" t="s">
        <v>1188</v>
      </c>
      <c r="D66" s="1" t="s">
        <v>340</v>
      </c>
      <c r="E66" s="1" t="s">
        <v>341</v>
      </c>
      <c r="F66" s="4">
        <v>28647</v>
      </c>
      <c r="G66">
        <v>47</v>
      </c>
      <c r="H66" s="1" t="s">
        <v>212</v>
      </c>
      <c r="I66" s="1" t="s">
        <v>1501</v>
      </c>
      <c r="J66" s="1" t="s">
        <v>1501</v>
      </c>
      <c r="K66" s="1">
        <v>8530</v>
      </c>
      <c r="L66" s="1" t="s">
        <v>214</v>
      </c>
      <c r="M66" s="1" t="s">
        <v>1193</v>
      </c>
      <c r="N66" s="1" t="s">
        <v>215</v>
      </c>
      <c r="O66" s="1"/>
      <c r="P66" s="1" t="s">
        <v>212</v>
      </c>
      <c r="Q66" s="1"/>
      <c r="R66" s="1" t="s">
        <v>216</v>
      </c>
      <c r="S66" s="1" t="s">
        <v>218</v>
      </c>
      <c r="T66" s="11">
        <v>46160.739583333336</v>
      </c>
      <c r="U66" s="1" t="s">
        <v>218</v>
      </c>
      <c r="V66" s="11">
        <v>46172.350694444445</v>
      </c>
    </row>
    <row r="67" spans="1:22" x14ac:dyDescent="0.3">
      <c r="A67" s="1">
        <v>666709</v>
      </c>
      <c r="B67" s="1">
        <v>535674</v>
      </c>
      <c r="C67" s="1" t="s">
        <v>1189</v>
      </c>
      <c r="D67" s="1" t="s">
        <v>342</v>
      </c>
      <c r="E67" s="1" t="s">
        <v>300</v>
      </c>
      <c r="F67" s="4">
        <v>30901</v>
      </c>
      <c r="G67">
        <v>41</v>
      </c>
      <c r="H67" s="1" t="s">
        <v>212</v>
      </c>
      <c r="I67" s="1" t="s">
        <v>1501</v>
      </c>
      <c r="J67" s="1" t="s">
        <v>1501</v>
      </c>
      <c r="K67" s="1">
        <v>8530</v>
      </c>
      <c r="L67" s="1" t="s">
        <v>214</v>
      </c>
      <c r="M67" s="1" t="s">
        <v>1193</v>
      </c>
      <c r="N67" s="1" t="s">
        <v>215</v>
      </c>
      <c r="O67" s="1"/>
      <c r="P67" s="1" t="s">
        <v>212</v>
      </c>
      <c r="Q67" s="1"/>
      <c r="R67" s="1" t="s">
        <v>216</v>
      </c>
      <c r="S67" s="1" t="s">
        <v>218</v>
      </c>
      <c r="T67" s="11">
        <v>46160.739583333336</v>
      </c>
      <c r="U67" s="1" t="s">
        <v>218</v>
      </c>
      <c r="V67" s="11">
        <v>46172.350694444445</v>
      </c>
    </row>
    <row r="68" spans="1:22" x14ac:dyDescent="0.3">
      <c r="A68" s="1">
        <v>136751</v>
      </c>
      <c r="B68" s="1">
        <v>104563</v>
      </c>
      <c r="C68" s="1" t="s">
        <v>1188</v>
      </c>
      <c r="D68" s="1" t="s">
        <v>343</v>
      </c>
      <c r="E68" s="1" t="s">
        <v>344</v>
      </c>
      <c r="F68" s="4">
        <v>29944</v>
      </c>
      <c r="G68">
        <v>44</v>
      </c>
      <c r="H68" s="1" t="s">
        <v>212</v>
      </c>
      <c r="I68" s="1" t="s">
        <v>1502</v>
      </c>
      <c r="J68" s="1" t="s">
        <v>1502</v>
      </c>
      <c r="K68" s="1">
        <v>8728</v>
      </c>
      <c r="L68" s="1" t="s">
        <v>261</v>
      </c>
      <c r="M68" s="1" t="s">
        <v>345</v>
      </c>
      <c r="N68" s="1" t="s">
        <v>215</v>
      </c>
      <c r="O68" s="1" t="b">
        <v>1</v>
      </c>
      <c r="P68" s="1" t="s">
        <v>346</v>
      </c>
      <c r="Q68" s="1" t="s">
        <v>347</v>
      </c>
      <c r="R68" s="1" t="s">
        <v>216</v>
      </c>
      <c r="S68" s="1" t="s">
        <v>218</v>
      </c>
      <c r="T68" s="11">
        <v>46163.954861111109</v>
      </c>
      <c r="U68" s="1" t="s">
        <v>218</v>
      </c>
      <c r="V68" s="11">
        <v>46175.215277777781</v>
      </c>
    </row>
    <row r="69" spans="1:22" x14ac:dyDescent="0.3">
      <c r="A69" s="1">
        <v>24416</v>
      </c>
      <c r="B69" s="1">
        <v>22094</v>
      </c>
      <c r="C69" s="1" t="s">
        <v>1188</v>
      </c>
      <c r="D69" s="1" t="s">
        <v>348</v>
      </c>
      <c r="E69" s="1" t="s">
        <v>349</v>
      </c>
      <c r="F69" s="4">
        <v>36736</v>
      </c>
      <c r="G69">
        <v>25</v>
      </c>
      <c r="H69" s="1" t="s">
        <v>212</v>
      </c>
      <c r="I69" s="1" t="s">
        <v>1501</v>
      </c>
      <c r="J69" s="1" t="s">
        <v>1501</v>
      </c>
      <c r="K69" s="1">
        <v>8529</v>
      </c>
      <c r="L69" s="1" t="s">
        <v>261</v>
      </c>
      <c r="M69" s="1" t="s">
        <v>350</v>
      </c>
      <c r="N69" s="1" t="s">
        <v>215</v>
      </c>
      <c r="O69" s="1"/>
      <c r="P69" s="1" t="s">
        <v>351</v>
      </c>
      <c r="Q69" s="1" t="s">
        <v>352</v>
      </c>
      <c r="R69" s="1" t="s">
        <v>216</v>
      </c>
      <c r="S69" s="1" t="s">
        <v>218</v>
      </c>
      <c r="T69" s="11">
        <v>46160.784722222219</v>
      </c>
      <c r="U69" s="1" t="s">
        <v>218</v>
      </c>
      <c r="V69" s="11">
        <v>46173.291666666664</v>
      </c>
    </row>
    <row r="70" spans="1:22" x14ac:dyDescent="0.3">
      <c r="A70" s="1">
        <v>55944</v>
      </c>
      <c r="B70" s="1">
        <v>46961</v>
      </c>
      <c r="C70" s="1" t="s">
        <v>1188</v>
      </c>
      <c r="D70" s="1" t="s">
        <v>353</v>
      </c>
      <c r="E70" s="1" t="s">
        <v>354</v>
      </c>
      <c r="F70" s="4">
        <v>35407</v>
      </c>
      <c r="G70">
        <v>29</v>
      </c>
      <c r="H70" s="1" t="s">
        <v>212</v>
      </c>
      <c r="I70" s="1" t="s">
        <v>1501</v>
      </c>
      <c r="J70" s="1" t="s">
        <v>1501</v>
      </c>
      <c r="K70" s="1">
        <v>8530</v>
      </c>
      <c r="L70" s="1" t="s">
        <v>214</v>
      </c>
      <c r="M70" s="1" t="s">
        <v>1194</v>
      </c>
      <c r="N70" s="1" t="s">
        <v>215</v>
      </c>
      <c r="O70" s="1"/>
      <c r="P70" s="1" t="s">
        <v>212</v>
      </c>
      <c r="Q70" s="1"/>
      <c r="R70" s="1" t="s">
        <v>216</v>
      </c>
      <c r="S70" s="1" t="s">
        <v>218</v>
      </c>
      <c r="T70" s="11">
        <v>46161.878472222219</v>
      </c>
      <c r="U70" s="1" t="s">
        <v>218</v>
      </c>
      <c r="V70" s="11">
        <v>46173.392361111109</v>
      </c>
    </row>
    <row r="71" spans="1:22" x14ac:dyDescent="0.3">
      <c r="A71" s="1">
        <v>768775</v>
      </c>
      <c r="B71" s="1">
        <v>46961</v>
      </c>
      <c r="C71" s="1" t="s">
        <v>1189</v>
      </c>
      <c r="D71" s="1" t="s">
        <v>355</v>
      </c>
      <c r="E71" s="1" t="s">
        <v>356</v>
      </c>
      <c r="F71" s="4">
        <v>27650</v>
      </c>
      <c r="G71">
        <v>50</v>
      </c>
      <c r="H71" s="1" t="s">
        <v>212</v>
      </c>
      <c r="I71" s="1" t="s">
        <v>1501</v>
      </c>
      <c r="J71" s="1" t="s">
        <v>1501</v>
      </c>
      <c r="K71" s="1">
        <v>8530</v>
      </c>
      <c r="L71" s="1" t="s">
        <v>214</v>
      </c>
      <c r="M71" s="1" t="s">
        <v>1194</v>
      </c>
      <c r="N71" s="1" t="s">
        <v>215</v>
      </c>
      <c r="O71" s="1"/>
      <c r="P71" s="1" t="s">
        <v>212</v>
      </c>
      <c r="Q71" s="1"/>
      <c r="R71" s="1" t="s">
        <v>216</v>
      </c>
      <c r="S71" s="1" t="s">
        <v>218</v>
      </c>
      <c r="T71" s="11">
        <v>46161.878472222219</v>
      </c>
      <c r="U71" s="1" t="s">
        <v>218</v>
      </c>
      <c r="V71" s="11">
        <v>46173.392361111109</v>
      </c>
    </row>
    <row r="72" spans="1:22" x14ac:dyDescent="0.3">
      <c r="A72" s="1">
        <v>780675</v>
      </c>
      <c r="B72" s="1">
        <v>632571</v>
      </c>
      <c r="C72" s="1" t="s">
        <v>1188</v>
      </c>
      <c r="D72" s="1" t="s">
        <v>357</v>
      </c>
      <c r="E72" s="1" t="s">
        <v>358</v>
      </c>
      <c r="F72" s="4">
        <v>36954</v>
      </c>
      <c r="G72">
        <v>24</v>
      </c>
      <c r="H72" s="1" t="s">
        <v>212</v>
      </c>
      <c r="I72" s="1" t="s">
        <v>1505</v>
      </c>
      <c r="J72" s="1" t="s">
        <v>1505</v>
      </c>
      <c r="K72" s="1">
        <v>8529</v>
      </c>
      <c r="L72" s="1" t="s">
        <v>261</v>
      </c>
      <c r="M72" s="1" t="s">
        <v>360</v>
      </c>
      <c r="N72" s="1" t="s">
        <v>215</v>
      </c>
      <c r="O72" s="1"/>
      <c r="P72" s="1" t="s">
        <v>361</v>
      </c>
      <c r="Q72" s="1" t="s">
        <v>362</v>
      </c>
      <c r="R72" s="1" t="s">
        <v>216</v>
      </c>
      <c r="S72" s="1" t="s">
        <v>217</v>
      </c>
      <c r="T72" s="11">
        <v>46160.791666666664</v>
      </c>
      <c r="U72" s="1" t="s">
        <v>218</v>
      </c>
      <c r="V72" s="11">
        <v>46173.079861111109</v>
      </c>
    </row>
    <row r="73" spans="1:22" x14ac:dyDescent="0.3">
      <c r="A73" s="1">
        <v>806761</v>
      </c>
      <c r="B73" s="1">
        <v>632571</v>
      </c>
      <c r="C73" s="1" t="s">
        <v>1189</v>
      </c>
      <c r="D73" s="1" t="s">
        <v>252</v>
      </c>
      <c r="E73" s="1" t="s">
        <v>358</v>
      </c>
      <c r="F73" s="4">
        <v>22469</v>
      </c>
      <c r="G73">
        <v>64</v>
      </c>
      <c r="H73" s="1" t="s">
        <v>212</v>
      </c>
      <c r="I73" s="1" t="s">
        <v>1505</v>
      </c>
      <c r="J73" s="1" t="s">
        <v>1505</v>
      </c>
      <c r="K73" s="1">
        <v>8529</v>
      </c>
      <c r="L73" s="1" t="s">
        <v>261</v>
      </c>
      <c r="M73" s="1" t="s">
        <v>360</v>
      </c>
      <c r="N73" s="1" t="s">
        <v>215</v>
      </c>
      <c r="O73" s="1"/>
      <c r="P73" s="1" t="s">
        <v>361</v>
      </c>
      <c r="Q73" s="1" t="s">
        <v>362</v>
      </c>
      <c r="R73" s="1" t="s">
        <v>216</v>
      </c>
      <c r="S73" s="1" t="s">
        <v>217</v>
      </c>
      <c r="T73" s="11">
        <v>46160.791666666664</v>
      </c>
      <c r="U73" s="1" t="s">
        <v>218</v>
      </c>
      <c r="V73" s="11">
        <v>46173.079861111109</v>
      </c>
    </row>
    <row r="74" spans="1:22" x14ac:dyDescent="0.3">
      <c r="A74" s="1">
        <v>21803</v>
      </c>
      <c r="B74" s="1">
        <v>19866</v>
      </c>
      <c r="C74" s="1" t="s">
        <v>1188</v>
      </c>
      <c r="D74" s="1" t="s">
        <v>363</v>
      </c>
      <c r="E74" s="1" t="s">
        <v>364</v>
      </c>
      <c r="F74" s="4">
        <v>30910</v>
      </c>
      <c r="G74">
        <v>41</v>
      </c>
      <c r="H74" s="1" t="s">
        <v>212</v>
      </c>
      <c r="I74" s="1" t="s">
        <v>1501</v>
      </c>
      <c r="J74" s="1" t="s">
        <v>1501</v>
      </c>
      <c r="K74" s="1">
        <v>8525</v>
      </c>
      <c r="L74" s="1" t="s">
        <v>214</v>
      </c>
      <c r="M74" s="1" t="s">
        <v>1190</v>
      </c>
      <c r="N74" s="1" t="s">
        <v>215</v>
      </c>
      <c r="O74" s="1"/>
      <c r="P74" s="1" t="s">
        <v>212</v>
      </c>
      <c r="Q74" s="1"/>
      <c r="R74" s="1" t="s">
        <v>216</v>
      </c>
      <c r="S74" s="1" t="s">
        <v>218</v>
      </c>
      <c r="T74" s="11">
        <v>46160.392361111109</v>
      </c>
      <c r="U74" s="1" t="s">
        <v>218</v>
      </c>
      <c r="V74" s="11">
        <v>46173.128472222219</v>
      </c>
    </row>
    <row r="75" spans="1:22" x14ac:dyDescent="0.3">
      <c r="A75" s="1">
        <v>845061</v>
      </c>
      <c r="B75" s="1">
        <v>19866</v>
      </c>
      <c r="C75" s="1" t="s">
        <v>1189</v>
      </c>
      <c r="D75" s="1" t="s">
        <v>365</v>
      </c>
      <c r="E75" s="1" t="s">
        <v>366</v>
      </c>
      <c r="F75" s="4">
        <v>27793</v>
      </c>
      <c r="G75">
        <v>50</v>
      </c>
      <c r="H75" s="1" t="s">
        <v>212</v>
      </c>
      <c r="I75" s="1" t="s">
        <v>1501</v>
      </c>
      <c r="J75" s="1" t="s">
        <v>1501</v>
      </c>
      <c r="K75" s="1">
        <v>8525</v>
      </c>
      <c r="L75" s="1" t="s">
        <v>214</v>
      </c>
      <c r="M75" s="1" t="s">
        <v>1190</v>
      </c>
      <c r="N75" s="1" t="s">
        <v>215</v>
      </c>
      <c r="O75" s="1"/>
      <c r="P75" s="1" t="s">
        <v>212</v>
      </c>
      <c r="Q75" s="1"/>
      <c r="R75" s="1" t="s">
        <v>216</v>
      </c>
      <c r="S75" s="1" t="s">
        <v>218</v>
      </c>
      <c r="T75" s="11">
        <v>46160.392361111109</v>
      </c>
      <c r="U75" s="1" t="s">
        <v>218</v>
      </c>
      <c r="V75" s="11">
        <v>46173.128472222219</v>
      </c>
    </row>
    <row r="76" spans="1:22" x14ac:dyDescent="0.3">
      <c r="A76" s="1">
        <v>851928</v>
      </c>
      <c r="B76" s="1">
        <v>19866</v>
      </c>
      <c r="C76" s="1" t="s">
        <v>1189</v>
      </c>
      <c r="D76" s="1" t="s">
        <v>367</v>
      </c>
      <c r="E76" s="1" t="s">
        <v>368</v>
      </c>
      <c r="F76" s="4">
        <v>32821</v>
      </c>
      <c r="G76">
        <v>36</v>
      </c>
      <c r="H76" s="1" t="s">
        <v>212</v>
      </c>
      <c r="I76" s="1" t="s">
        <v>1501</v>
      </c>
      <c r="J76" s="1" t="s">
        <v>1501</v>
      </c>
      <c r="K76" s="1">
        <v>8525</v>
      </c>
      <c r="L76" s="1" t="s">
        <v>214</v>
      </c>
      <c r="M76" s="1" t="s">
        <v>1190</v>
      </c>
      <c r="N76" s="1" t="s">
        <v>215</v>
      </c>
      <c r="O76" s="1"/>
      <c r="P76" s="1" t="s">
        <v>212</v>
      </c>
      <c r="Q76" s="1"/>
      <c r="R76" s="1" t="s">
        <v>216</v>
      </c>
      <c r="S76" s="1" t="s">
        <v>218</v>
      </c>
      <c r="T76" s="11">
        <v>46160.392361111109</v>
      </c>
      <c r="U76" s="1" t="s">
        <v>218</v>
      </c>
      <c r="V76" s="11">
        <v>46173.128472222219</v>
      </c>
    </row>
    <row r="77" spans="1:22" x14ac:dyDescent="0.3">
      <c r="A77" s="1">
        <v>784074</v>
      </c>
      <c r="B77" s="1">
        <v>635124</v>
      </c>
      <c r="C77" s="1" t="s">
        <v>1189</v>
      </c>
      <c r="D77" s="1" t="s">
        <v>369</v>
      </c>
      <c r="E77" s="1" t="s">
        <v>370</v>
      </c>
      <c r="F77" s="4">
        <v>26698</v>
      </c>
      <c r="G77">
        <v>53</v>
      </c>
      <c r="H77" s="1" t="s">
        <v>212</v>
      </c>
      <c r="I77" s="1" t="s">
        <v>1502</v>
      </c>
      <c r="J77" s="1" t="s">
        <v>1502</v>
      </c>
      <c r="K77" s="1">
        <v>8530</v>
      </c>
      <c r="L77" s="1" t="s">
        <v>261</v>
      </c>
      <c r="M77" s="1" t="s">
        <v>371</v>
      </c>
      <c r="N77" s="1" t="s">
        <v>215</v>
      </c>
      <c r="O77" s="1"/>
      <c r="P77" s="1" t="s">
        <v>372</v>
      </c>
      <c r="Q77" s="1" t="s">
        <v>373</v>
      </c>
      <c r="R77" s="1" t="s">
        <v>216</v>
      </c>
      <c r="S77" s="1" t="s">
        <v>218</v>
      </c>
      <c r="T77" s="11">
        <v>46160.677083333336</v>
      </c>
      <c r="U77" s="1" t="s">
        <v>218</v>
      </c>
      <c r="V77" s="11">
        <v>46173.326388888891</v>
      </c>
    </row>
    <row r="78" spans="1:22" x14ac:dyDescent="0.3">
      <c r="A78" s="1">
        <v>785495</v>
      </c>
      <c r="B78" s="1">
        <v>635124</v>
      </c>
      <c r="C78" s="1" t="s">
        <v>1188</v>
      </c>
      <c r="D78" s="1" t="s">
        <v>370</v>
      </c>
      <c r="E78" s="1" t="s">
        <v>374</v>
      </c>
      <c r="F78" s="4">
        <v>23051</v>
      </c>
      <c r="G78">
        <v>63</v>
      </c>
      <c r="H78" s="1" t="s">
        <v>212</v>
      </c>
      <c r="I78" s="1" t="s">
        <v>1502</v>
      </c>
      <c r="J78" s="1" t="s">
        <v>1502</v>
      </c>
      <c r="K78" s="1">
        <v>8530</v>
      </c>
      <c r="L78" s="1" t="s">
        <v>261</v>
      </c>
      <c r="M78" s="1" t="s">
        <v>371</v>
      </c>
      <c r="N78" s="1" t="s">
        <v>215</v>
      </c>
      <c r="O78" s="1"/>
      <c r="P78" s="1" t="s">
        <v>372</v>
      </c>
      <c r="Q78" s="1" t="s">
        <v>373</v>
      </c>
      <c r="R78" s="1" t="s">
        <v>216</v>
      </c>
      <c r="S78" s="1" t="s">
        <v>218</v>
      </c>
      <c r="T78" s="11">
        <v>46160.677083333336</v>
      </c>
      <c r="U78" s="1" t="s">
        <v>218</v>
      </c>
      <c r="V78" s="11">
        <v>46173.326388888891</v>
      </c>
    </row>
    <row r="79" spans="1:22" x14ac:dyDescent="0.3">
      <c r="A79" s="1">
        <v>90379</v>
      </c>
      <c r="B79" s="1">
        <v>72718</v>
      </c>
      <c r="C79" s="1" t="s">
        <v>1189</v>
      </c>
      <c r="D79" s="1" t="s">
        <v>375</v>
      </c>
      <c r="E79" s="1" t="s">
        <v>376</v>
      </c>
      <c r="F79" s="4">
        <v>28759</v>
      </c>
      <c r="G79">
        <v>47</v>
      </c>
      <c r="H79" s="1" t="s">
        <v>212</v>
      </c>
      <c r="I79" s="1" t="s">
        <v>1501</v>
      </c>
      <c r="J79" s="1" t="s">
        <v>1501</v>
      </c>
      <c r="K79" s="1">
        <v>8540</v>
      </c>
      <c r="L79" s="1" t="s">
        <v>261</v>
      </c>
      <c r="M79" s="1" t="s">
        <v>377</v>
      </c>
      <c r="N79" s="1" t="s">
        <v>215</v>
      </c>
      <c r="O79" s="1"/>
      <c r="P79" s="1" t="s">
        <v>378</v>
      </c>
      <c r="Q79" s="1" t="s">
        <v>379</v>
      </c>
      <c r="R79" s="1" t="s">
        <v>216</v>
      </c>
      <c r="S79" s="1" t="s">
        <v>218</v>
      </c>
      <c r="T79" s="11">
        <v>46163.784722222219</v>
      </c>
      <c r="U79" s="1" t="s">
        <v>218</v>
      </c>
      <c r="V79" s="11">
        <v>46173.291666666664</v>
      </c>
    </row>
    <row r="80" spans="1:22" x14ac:dyDescent="0.3">
      <c r="A80" s="1">
        <v>605474</v>
      </c>
      <c r="B80" s="1">
        <v>488081</v>
      </c>
      <c r="C80" s="1" t="s">
        <v>1189</v>
      </c>
      <c r="D80" s="1" t="s">
        <v>380</v>
      </c>
      <c r="E80" s="1" t="s">
        <v>381</v>
      </c>
      <c r="F80" s="4">
        <v>24977</v>
      </c>
      <c r="G80">
        <v>57</v>
      </c>
      <c r="H80" s="1" t="s">
        <v>212</v>
      </c>
      <c r="I80" s="1" t="s">
        <v>1502</v>
      </c>
      <c r="J80" s="1" t="s">
        <v>1502</v>
      </c>
      <c r="K80" s="1">
        <v>8525</v>
      </c>
      <c r="L80" s="1" t="s">
        <v>214</v>
      </c>
      <c r="M80" s="1" t="s">
        <v>1209</v>
      </c>
      <c r="N80" s="1" t="s">
        <v>215</v>
      </c>
      <c r="O80" s="1"/>
      <c r="P80" s="1" t="s">
        <v>212</v>
      </c>
      <c r="Q80" s="1"/>
      <c r="R80" s="1" t="s">
        <v>216</v>
      </c>
      <c r="S80" s="1" t="s">
        <v>218</v>
      </c>
      <c r="T80" s="11">
        <v>46160.739583333336</v>
      </c>
      <c r="U80" s="1" t="s">
        <v>218</v>
      </c>
      <c r="V80" s="11">
        <v>46172.385416666664</v>
      </c>
    </row>
    <row r="81" spans="1:22" x14ac:dyDescent="0.3">
      <c r="A81" s="1">
        <v>680655</v>
      </c>
      <c r="B81" s="1">
        <v>488081</v>
      </c>
      <c r="C81" s="1" t="s">
        <v>1188</v>
      </c>
      <c r="D81" s="1" t="s">
        <v>382</v>
      </c>
      <c r="E81" s="1" t="s">
        <v>383</v>
      </c>
      <c r="F81" s="4">
        <v>23146</v>
      </c>
      <c r="G81">
        <v>62</v>
      </c>
      <c r="H81" s="1" t="s">
        <v>212</v>
      </c>
      <c r="I81" s="1" t="s">
        <v>1502</v>
      </c>
      <c r="J81" s="1" t="s">
        <v>1502</v>
      </c>
      <c r="K81" s="1">
        <v>8525</v>
      </c>
      <c r="L81" s="1" t="s">
        <v>214</v>
      </c>
      <c r="M81" s="1" t="s">
        <v>1209</v>
      </c>
      <c r="N81" s="1" t="s">
        <v>215</v>
      </c>
      <c r="O81" s="1"/>
      <c r="P81" s="1" t="s">
        <v>212</v>
      </c>
      <c r="Q81" s="1"/>
      <c r="R81" s="1" t="s">
        <v>216</v>
      </c>
      <c r="S81" s="1" t="s">
        <v>218</v>
      </c>
      <c r="T81" s="11">
        <v>46160.739583333336</v>
      </c>
      <c r="U81" s="1" t="s">
        <v>218</v>
      </c>
      <c r="V81" s="11">
        <v>46172.385416666664</v>
      </c>
    </row>
    <row r="82" spans="1:22" x14ac:dyDescent="0.3">
      <c r="A82" s="1">
        <v>700629</v>
      </c>
      <c r="B82" s="1">
        <v>569226</v>
      </c>
      <c r="C82" s="1" t="s">
        <v>1189</v>
      </c>
      <c r="D82" s="1" t="s">
        <v>384</v>
      </c>
      <c r="E82" s="1" t="s">
        <v>385</v>
      </c>
      <c r="F82" s="4">
        <v>23588</v>
      </c>
      <c r="G82">
        <v>61</v>
      </c>
      <c r="H82" s="1" t="s">
        <v>212</v>
      </c>
      <c r="I82" s="1" t="s">
        <v>1501</v>
      </c>
      <c r="J82" s="1" t="s">
        <v>1501</v>
      </c>
      <c r="K82" s="1">
        <v>8714</v>
      </c>
      <c r="L82" s="1" t="s">
        <v>214</v>
      </c>
      <c r="M82" s="1" t="s">
        <v>1202</v>
      </c>
      <c r="N82" s="1" t="s">
        <v>215</v>
      </c>
      <c r="O82" s="1"/>
      <c r="P82" s="1" t="s">
        <v>212</v>
      </c>
      <c r="Q82" s="1"/>
      <c r="R82" s="1" t="s">
        <v>216</v>
      </c>
      <c r="S82" s="1" t="s">
        <v>218</v>
      </c>
      <c r="T82" s="11">
        <v>46160.107638888891</v>
      </c>
      <c r="U82" s="1" t="s">
        <v>218</v>
      </c>
      <c r="V82" s="11">
        <v>46172.409722222219</v>
      </c>
    </row>
    <row r="83" spans="1:22" x14ac:dyDescent="0.3">
      <c r="A83" s="1">
        <v>781826</v>
      </c>
      <c r="B83" s="1">
        <v>569226</v>
      </c>
      <c r="C83" s="1" t="s">
        <v>1188</v>
      </c>
      <c r="D83" s="1" t="s">
        <v>386</v>
      </c>
      <c r="E83" s="1" t="s">
        <v>385</v>
      </c>
      <c r="F83" s="4">
        <v>20657</v>
      </c>
      <c r="G83">
        <v>69</v>
      </c>
      <c r="H83" s="1" t="s">
        <v>212</v>
      </c>
      <c r="I83" s="1" t="s">
        <v>1501</v>
      </c>
      <c r="J83" s="1" t="s">
        <v>1501</v>
      </c>
      <c r="K83" s="1">
        <v>8714</v>
      </c>
      <c r="L83" s="1" t="s">
        <v>214</v>
      </c>
      <c r="M83" s="1" t="s">
        <v>1202</v>
      </c>
      <c r="N83" s="1" t="s">
        <v>215</v>
      </c>
      <c r="O83" s="1"/>
      <c r="P83" s="1" t="s">
        <v>212</v>
      </c>
      <c r="Q83" s="1"/>
      <c r="R83" s="1" t="s">
        <v>216</v>
      </c>
      <c r="S83" s="1" t="s">
        <v>218</v>
      </c>
      <c r="T83" s="11">
        <v>46160.107638888891</v>
      </c>
      <c r="U83" s="1" t="s">
        <v>218</v>
      </c>
      <c r="V83" s="11">
        <v>46172.409722222219</v>
      </c>
    </row>
    <row r="84" spans="1:22" x14ac:dyDescent="0.3">
      <c r="A84" s="1">
        <v>628802</v>
      </c>
      <c r="B84" s="1">
        <v>509328</v>
      </c>
      <c r="C84" s="1" t="s">
        <v>1188</v>
      </c>
      <c r="D84" s="1" t="s">
        <v>387</v>
      </c>
      <c r="E84" s="1" t="s">
        <v>388</v>
      </c>
      <c r="F84" s="4">
        <v>29270</v>
      </c>
      <c r="G84">
        <v>46</v>
      </c>
      <c r="H84" s="1" t="s">
        <v>212</v>
      </c>
      <c r="I84" s="1" t="s">
        <v>1502</v>
      </c>
      <c r="J84" s="1" t="s">
        <v>1502</v>
      </c>
      <c r="K84" s="1">
        <v>8728</v>
      </c>
      <c r="L84" s="1" t="s">
        <v>261</v>
      </c>
      <c r="M84" s="1" t="s">
        <v>389</v>
      </c>
      <c r="N84" s="1" t="s">
        <v>215</v>
      </c>
      <c r="O84" s="1"/>
      <c r="P84" s="1" t="s">
        <v>390</v>
      </c>
      <c r="Q84" s="1" t="s">
        <v>391</v>
      </c>
      <c r="R84" s="1" t="s">
        <v>216</v>
      </c>
      <c r="S84" s="1" t="s">
        <v>218</v>
      </c>
      <c r="T84" s="11">
        <v>46163.809027777781</v>
      </c>
      <c r="U84" s="1" t="s">
        <v>218</v>
      </c>
      <c r="V84" s="11">
        <v>46175.215277777781</v>
      </c>
    </row>
    <row r="85" spans="1:22" x14ac:dyDescent="0.3">
      <c r="A85" s="1">
        <v>669448</v>
      </c>
      <c r="B85" s="1">
        <v>509328</v>
      </c>
      <c r="C85" s="1" t="s">
        <v>1189</v>
      </c>
      <c r="D85" s="1" t="s">
        <v>392</v>
      </c>
      <c r="E85" s="1" t="s">
        <v>393</v>
      </c>
      <c r="F85" s="4">
        <v>33777</v>
      </c>
      <c r="G85">
        <v>33</v>
      </c>
      <c r="H85" s="1" t="s">
        <v>212</v>
      </c>
      <c r="I85" s="1" t="s">
        <v>1502</v>
      </c>
      <c r="J85" s="1" t="s">
        <v>1502</v>
      </c>
      <c r="K85" s="1">
        <v>8728</v>
      </c>
      <c r="L85" s="1" t="s">
        <v>261</v>
      </c>
      <c r="M85" s="1" t="s">
        <v>389</v>
      </c>
      <c r="N85" s="1" t="s">
        <v>215</v>
      </c>
      <c r="O85" s="1"/>
      <c r="P85" s="1" t="s">
        <v>390</v>
      </c>
      <c r="Q85" s="1" t="s">
        <v>391</v>
      </c>
      <c r="R85" s="1" t="s">
        <v>216</v>
      </c>
      <c r="S85" s="1" t="s">
        <v>218</v>
      </c>
      <c r="T85" s="11">
        <v>46163.809027777781</v>
      </c>
      <c r="U85" s="1" t="s">
        <v>218</v>
      </c>
      <c r="V85" s="11">
        <v>46175.215277777781</v>
      </c>
    </row>
    <row r="86" spans="1:22" x14ac:dyDescent="0.3">
      <c r="A86" s="1">
        <v>616963</v>
      </c>
      <c r="B86" s="1">
        <v>498038</v>
      </c>
      <c r="C86" s="1" t="s">
        <v>1188</v>
      </c>
      <c r="D86" s="1" t="s">
        <v>394</v>
      </c>
      <c r="E86" s="1" t="s">
        <v>395</v>
      </c>
      <c r="F86" s="4">
        <v>32793</v>
      </c>
      <c r="G86">
        <v>36</v>
      </c>
      <c r="H86" s="1" t="s">
        <v>212</v>
      </c>
      <c r="I86" s="1" t="s">
        <v>1506</v>
      </c>
      <c r="J86" s="1" t="s">
        <v>1506</v>
      </c>
      <c r="K86" s="1">
        <v>8728</v>
      </c>
      <c r="L86" s="1" t="s">
        <v>261</v>
      </c>
      <c r="M86" s="1" t="s">
        <v>397</v>
      </c>
      <c r="N86" s="1" t="s">
        <v>215</v>
      </c>
      <c r="O86" s="1"/>
      <c r="P86" s="1" t="s">
        <v>398</v>
      </c>
      <c r="Q86" s="1" t="s">
        <v>399</v>
      </c>
      <c r="R86" s="1" t="s">
        <v>216</v>
      </c>
      <c r="S86" s="1" t="s">
        <v>218</v>
      </c>
      <c r="T86" s="11">
        <v>46163.954861111109</v>
      </c>
      <c r="U86" s="1" t="s">
        <v>217</v>
      </c>
      <c r="V86" s="11">
        <v>46175.583333333336</v>
      </c>
    </row>
    <row r="87" spans="1:22" x14ac:dyDescent="0.3">
      <c r="A87" s="1">
        <v>617094</v>
      </c>
      <c r="B87" s="1">
        <v>498038</v>
      </c>
      <c r="C87" s="1" t="s">
        <v>1189</v>
      </c>
      <c r="D87" s="1" t="s">
        <v>400</v>
      </c>
      <c r="E87" s="1" t="s">
        <v>395</v>
      </c>
      <c r="F87" s="4">
        <v>33442</v>
      </c>
      <c r="G87">
        <v>34</v>
      </c>
      <c r="H87" s="1" t="s">
        <v>212</v>
      </c>
      <c r="I87" s="1" t="s">
        <v>1506</v>
      </c>
      <c r="J87" s="1" t="s">
        <v>1506</v>
      </c>
      <c r="K87" s="1">
        <v>8728</v>
      </c>
      <c r="L87" s="1" t="s">
        <v>261</v>
      </c>
      <c r="M87" s="1" t="s">
        <v>397</v>
      </c>
      <c r="N87" s="1" t="s">
        <v>215</v>
      </c>
      <c r="O87" s="1"/>
      <c r="P87" s="1" t="s">
        <v>398</v>
      </c>
      <c r="Q87" s="1" t="s">
        <v>399</v>
      </c>
      <c r="R87" s="1" t="s">
        <v>216</v>
      </c>
      <c r="S87" s="1" t="s">
        <v>218</v>
      </c>
      <c r="T87" s="11">
        <v>46163.954861111109</v>
      </c>
      <c r="U87" s="1" t="s">
        <v>217</v>
      </c>
      <c r="V87" s="11">
        <v>46175.583333333336</v>
      </c>
    </row>
    <row r="88" spans="1:22" x14ac:dyDescent="0.3">
      <c r="A88" s="1">
        <v>618586</v>
      </c>
      <c r="B88" s="1">
        <v>499490</v>
      </c>
      <c r="C88" s="1" t="s">
        <v>1188</v>
      </c>
      <c r="D88" s="1" t="s">
        <v>401</v>
      </c>
      <c r="E88" s="1" t="s">
        <v>395</v>
      </c>
      <c r="F88" s="4">
        <v>35802</v>
      </c>
      <c r="G88">
        <v>28</v>
      </c>
      <c r="H88" s="1" t="s">
        <v>212</v>
      </c>
      <c r="I88" s="1" t="s">
        <v>1506</v>
      </c>
      <c r="J88" s="1" t="s">
        <v>1506</v>
      </c>
      <c r="K88" s="1">
        <v>8728</v>
      </c>
      <c r="L88" s="1" t="s">
        <v>261</v>
      </c>
      <c r="M88" s="1" t="s">
        <v>402</v>
      </c>
      <c r="N88" s="1" t="s">
        <v>215</v>
      </c>
      <c r="O88" s="1"/>
      <c r="P88" s="1" t="s">
        <v>403</v>
      </c>
      <c r="Q88" s="1" t="s">
        <v>404</v>
      </c>
      <c r="R88" s="1" t="s">
        <v>216</v>
      </c>
      <c r="S88" s="1" t="s">
        <v>218</v>
      </c>
      <c r="T88" s="11">
        <v>46163.809027777781</v>
      </c>
      <c r="U88" s="1" t="s">
        <v>217</v>
      </c>
      <c r="V88" s="11">
        <v>46175.416666666664</v>
      </c>
    </row>
    <row r="89" spans="1:22" x14ac:dyDescent="0.3">
      <c r="A89" s="1">
        <v>752184</v>
      </c>
      <c r="B89" s="1">
        <v>499490</v>
      </c>
      <c r="C89" s="1" t="s">
        <v>1189</v>
      </c>
      <c r="D89" s="1" t="s">
        <v>405</v>
      </c>
      <c r="E89" s="1" t="s">
        <v>406</v>
      </c>
      <c r="F89" s="4">
        <v>36303</v>
      </c>
      <c r="G89">
        <v>26</v>
      </c>
      <c r="H89" s="1" t="s">
        <v>212</v>
      </c>
      <c r="I89" s="1" t="s">
        <v>1506</v>
      </c>
      <c r="J89" s="1" t="s">
        <v>1506</v>
      </c>
      <c r="K89" s="1">
        <v>8728</v>
      </c>
      <c r="L89" s="1" t="s">
        <v>261</v>
      </c>
      <c r="M89" s="1" t="s">
        <v>402</v>
      </c>
      <c r="N89" s="1" t="s">
        <v>215</v>
      </c>
      <c r="O89" s="1"/>
      <c r="P89" s="1" t="s">
        <v>403</v>
      </c>
      <c r="Q89" s="1" t="s">
        <v>404</v>
      </c>
      <c r="R89" s="1" t="s">
        <v>216</v>
      </c>
      <c r="S89" s="1" t="s">
        <v>218</v>
      </c>
      <c r="T89" s="11">
        <v>46163.809027777781</v>
      </c>
      <c r="U89" s="1" t="s">
        <v>217</v>
      </c>
      <c r="V89" s="11">
        <v>46175.416666666664</v>
      </c>
    </row>
    <row r="90" spans="1:22" x14ac:dyDescent="0.3">
      <c r="A90" s="1">
        <v>310986</v>
      </c>
      <c r="B90" s="1">
        <v>243931</v>
      </c>
      <c r="C90" s="1" t="s">
        <v>1188</v>
      </c>
      <c r="D90" s="1" t="s">
        <v>271</v>
      </c>
      <c r="E90" s="1" t="s">
        <v>229</v>
      </c>
      <c r="F90" s="4">
        <v>30622</v>
      </c>
      <c r="G90">
        <v>42</v>
      </c>
      <c r="H90" s="1" t="s">
        <v>212</v>
      </c>
      <c r="I90" s="1" t="s">
        <v>1501</v>
      </c>
      <c r="J90" s="1" t="s">
        <v>1501</v>
      </c>
      <c r="K90" s="1">
        <v>8729</v>
      </c>
      <c r="L90" s="1" t="s">
        <v>261</v>
      </c>
      <c r="M90" s="1" t="s">
        <v>407</v>
      </c>
      <c r="N90" s="1" t="s">
        <v>215</v>
      </c>
      <c r="O90" s="1"/>
      <c r="P90" s="1" t="s">
        <v>408</v>
      </c>
      <c r="Q90" s="1" t="s">
        <v>409</v>
      </c>
      <c r="R90" s="1" t="s">
        <v>216</v>
      </c>
      <c r="S90" s="1" t="s">
        <v>218</v>
      </c>
      <c r="T90" s="11">
        <v>46163.135416666664</v>
      </c>
      <c r="U90" s="1" t="s">
        <v>218</v>
      </c>
      <c r="V90" s="11">
        <v>46179.197916666664</v>
      </c>
    </row>
    <row r="91" spans="1:22" x14ac:dyDescent="0.3">
      <c r="A91" s="1">
        <v>791046</v>
      </c>
      <c r="B91" s="1">
        <v>243931</v>
      </c>
      <c r="C91" s="1" t="s">
        <v>1189</v>
      </c>
      <c r="D91" s="1" t="s">
        <v>410</v>
      </c>
      <c r="E91" s="1" t="s">
        <v>411</v>
      </c>
      <c r="F91" s="4">
        <v>20868</v>
      </c>
      <c r="G91">
        <v>69</v>
      </c>
      <c r="H91" s="1" t="s">
        <v>212</v>
      </c>
      <c r="I91" s="1" t="s">
        <v>1501</v>
      </c>
      <c r="J91" s="1" t="s">
        <v>1501</v>
      </c>
      <c r="K91" s="1">
        <v>8729</v>
      </c>
      <c r="L91" s="1" t="s">
        <v>261</v>
      </c>
      <c r="M91" s="1" t="s">
        <v>407</v>
      </c>
      <c r="N91" s="1" t="s">
        <v>215</v>
      </c>
      <c r="O91" s="1"/>
      <c r="P91" s="1" t="s">
        <v>408</v>
      </c>
      <c r="Q91" s="1" t="s">
        <v>409</v>
      </c>
      <c r="R91" s="1" t="s">
        <v>216</v>
      </c>
      <c r="S91" s="1" t="s">
        <v>218</v>
      </c>
      <c r="T91" s="11">
        <v>46163.135416666664</v>
      </c>
      <c r="U91" s="1" t="s">
        <v>218</v>
      </c>
      <c r="V91" s="11">
        <v>46179.197916666664</v>
      </c>
    </row>
    <row r="92" spans="1:22" x14ac:dyDescent="0.3">
      <c r="A92" s="1">
        <v>356008</v>
      </c>
      <c r="B92" s="1">
        <v>280532</v>
      </c>
      <c r="C92" s="1" t="s">
        <v>1188</v>
      </c>
      <c r="D92" s="1" t="s">
        <v>412</v>
      </c>
      <c r="E92" s="1" t="s">
        <v>240</v>
      </c>
      <c r="F92" s="4">
        <v>30083</v>
      </c>
      <c r="G92">
        <v>43</v>
      </c>
      <c r="H92" s="1" t="s">
        <v>212</v>
      </c>
      <c r="I92" s="1" t="s">
        <v>1501</v>
      </c>
      <c r="J92" s="1" t="s">
        <v>1501</v>
      </c>
      <c r="K92" s="1">
        <v>8540</v>
      </c>
      <c r="L92" s="1" t="s">
        <v>261</v>
      </c>
      <c r="M92" s="1" t="s">
        <v>413</v>
      </c>
      <c r="N92" s="1" t="s">
        <v>215</v>
      </c>
      <c r="O92" s="1" t="b">
        <v>1</v>
      </c>
      <c r="P92" s="1" t="s">
        <v>414</v>
      </c>
      <c r="Q92" s="1" t="s">
        <v>415</v>
      </c>
      <c r="R92" s="1" t="s">
        <v>216</v>
      </c>
      <c r="S92" s="1" t="s">
        <v>218</v>
      </c>
      <c r="T92" s="11">
        <v>46163.888888888891</v>
      </c>
      <c r="U92" s="1" t="s">
        <v>218</v>
      </c>
      <c r="V92" s="11">
        <v>46173.027777777781</v>
      </c>
    </row>
    <row r="93" spans="1:22" x14ac:dyDescent="0.3">
      <c r="A93" s="1">
        <v>778442</v>
      </c>
      <c r="B93" s="1">
        <v>280532</v>
      </c>
      <c r="C93" s="1" t="s">
        <v>1189</v>
      </c>
      <c r="D93" s="1" t="s">
        <v>416</v>
      </c>
      <c r="E93" s="1" t="s">
        <v>417</v>
      </c>
      <c r="F93" s="4">
        <v>30509</v>
      </c>
      <c r="G93">
        <v>42</v>
      </c>
      <c r="H93" s="1" t="s">
        <v>212</v>
      </c>
      <c r="I93" s="1" t="s">
        <v>1501</v>
      </c>
      <c r="J93" s="1" t="s">
        <v>1501</v>
      </c>
      <c r="K93" s="1">
        <v>8540</v>
      </c>
      <c r="L93" s="1" t="s">
        <v>261</v>
      </c>
      <c r="M93" s="1" t="s">
        <v>413</v>
      </c>
      <c r="N93" s="1" t="s">
        <v>215</v>
      </c>
      <c r="O93" s="1"/>
      <c r="P93" s="1" t="s">
        <v>414</v>
      </c>
      <c r="Q93" s="1" t="s">
        <v>415</v>
      </c>
      <c r="R93" s="1" t="s">
        <v>216</v>
      </c>
      <c r="S93" s="1" t="s">
        <v>218</v>
      </c>
      <c r="T93" s="11">
        <v>46163.888888888891</v>
      </c>
      <c r="U93" s="1" t="s">
        <v>218</v>
      </c>
      <c r="V93" s="11">
        <v>46173.027777777781</v>
      </c>
    </row>
    <row r="94" spans="1:22" x14ac:dyDescent="0.3">
      <c r="A94" s="1">
        <v>220723</v>
      </c>
      <c r="B94" s="1">
        <v>169492</v>
      </c>
      <c r="C94" s="1" t="s">
        <v>1188</v>
      </c>
      <c r="D94" s="1" t="s">
        <v>418</v>
      </c>
      <c r="E94" s="1" t="s">
        <v>370</v>
      </c>
      <c r="F94" s="4">
        <v>30152</v>
      </c>
      <c r="G94">
        <v>43</v>
      </c>
      <c r="H94" s="1" t="s">
        <v>212</v>
      </c>
      <c r="I94" s="1" t="s">
        <v>1506</v>
      </c>
      <c r="J94" s="1" t="s">
        <v>1506</v>
      </c>
      <c r="K94" s="1">
        <v>8529</v>
      </c>
      <c r="L94" s="1" t="s">
        <v>261</v>
      </c>
      <c r="M94" s="1" t="s">
        <v>419</v>
      </c>
      <c r="N94" s="1" t="s">
        <v>215</v>
      </c>
      <c r="O94" s="1"/>
      <c r="P94" s="1" t="s">
        <v>420</v>
      </c>
      <c r="Q94" s="1" t="s">
        <v>421</v>
      </c>
      <c r="R94" s="1" t="s">
        <v>216</v>
      </c>
      <c r="S94" s="1" t="s">
        <v>217</v>
      </c>
      <c r="T94" s="11">
        <v>46160.819444444445</v>
      </c>
      <c r="U94" s="1" t="s">
        <v>218</v>
      </c>
      <c r="V94" s="11">
        <v>46173.579861111109</v>
      </c>
    </row>
    <row r="95" spans="1:22" x14ac:dyDescent="0.3">
      <c r="A95" s="1">
        <v>690848</v>
      </c>
      <c r="B95" s="1">
        <v>169492</v>
      </c>
      <c r="C95" s="1" t="s">
        <v>1189</v>
      </c>
      <c r="D95" s="1" t="s">
        <v>422</v>
      </c>
      <c r="E95" s="1" t="s">
        <v>370</v>
      </c>
      <c r="F95" s="4">
        <v>30448</v>
      </c>
      <c r="G95">
        <v>42</v>
      </c>
      <c r="H95" s="1" t="s">
        <v>212</v>
      </c>
      <c r="I95" s="1" t="s">
        <v>1506</v>
      </c>
      <c r="J95" s="1" t="s">
        <v>1506</v>
      </c>
      <c r="K95" s="1">
        <v>8529</v>
      </c>
      <c r="L95" s="1" t="s">
        <v>261</v>
      </c>
      <c r="M95" s="1" t="s">
        <v>419</v>
      </c>
      <c r="N95" s="1" t="s">
        <v>215</v>
      </c>
      <c r="O95" s="1"/>
      <c r="P95" s="1" t="s">
        <v>420</v>
      </c>
      <c r="Q95" s="1" t="s">
        <v>421</v>
      </c>
      <c r="R95" s="1" t="s">
        <v>216</v>
      </c>
      <c r="S95" s="1" t="s">
        <v>217</v>
      </c>
      <c r="T95" s="11">
        <v>46160.819444444445</v>
      </c>
      <c r="U95" s="1" t="s">
        <v>218</v>
      </c>
      <c r="V95" s="11">
        <v>46173.579861111109</v>
      </c>
    </row>
    <row r="96" spans="1:22" x14ac:dyDescent="0.3">
      <c r="A96" s="1">
        <v>535091</v>
      </c>
      <c r="B96" s="1">
        <v>423131</v>
      </c>
      <c r="C96" s="1" t="s">
        <v>1189</v>
      </c>
      <c r="D96" s="1" t="s">
        <v>423</v>
      </c>
      <c r="E96" s="1" t="s">
        <v>424</v>
      </c>
      <c r="F96" s="4">
        <v>30976</v>
      </c>
      <c r="G96">
        <v>41</v>
      </c>
      <c r="H96" s="1" t="s">
        <v>212</v>
      </c>
      <c r="I96" s="1" t="s">
        <v>1501</v>
      </c>
      <c r="J96" s="1" t="s">
        <v>1501</v>
      </c>
      <c r="K96" s="1">
        <v>8525</v>
      </c>
      <c r="L96" s="1" t="s">
        <v>214</v>
      </c>
      <c r="M96" s="1" t="s">
        <v>1190</v>
      </c>
      <c r="N96" s="1" t="s">
        <v>215</v>
      </c>
      <c r="O96" s="1"/>
      <c r="P96" s="1" t="s">
        <v>212</v>
      </c>
      <c r="Q96" s="1"/>
      <c r="R96" s="1" t="s">
        <v>216</v>
      </c>
      <c r="S96" s="1" t="s">
        <v>218</v>
      </c>
      <c r="T96" s="11">
        <v>46160.392361111109</v>
      </c>
      <c r="U96" s="1" t="s">
        <v>218</v>
      </c>
      <c r="V96" s="11">
        <v>46173.128472222219</v>
      </c>
    </row>
    <row r="97" spans="1:22" x14ac:dyDescent="0.3">
      <c r="A97" s="1">
        <v>6454</v>
      </c>
      <c r="B97" s="1">
        <v>5798</v>
      </c>
      <c r="C97" s="1" t="s">
        <v>1188</v>
      </c>
      <c r="D97" s="1" t="s">
        <v>425</v>
      </c>
      <c r="E97" s="1" t="s">
        <v>426</v>
      </c>
      <c r="F97" s="4">
        <v>25770</v>
      </c>
      <c r="G97">
        <v>55</v>
      </c>
      <c r="H97" s="1" t="s">
        <v>212</v>
      </c>
      <c r="I97" s="1" t="s">
        <v>1501</v>
      </c>
      <c r="J97" s="1" t="s">
        <v>1501</v>
      </c>
      <c r="K97" s="1">
        <v>8525</v>
      </c>
      <c r="L97" s="1" t="s">
        <v>214</v>
      </c>
      <c r="M97" s="1" t="s">
        <v>1194</v>
      </c>
      <c r="N97" s="1" t="s">
        <v>215</v>
      </c>
      <c r="O97" s="1"/>
      <c r="P97" s="1" t="s">
        <v>212</v>
      </c>
      <c r="Q97" s="1"/>
      <c r="R97" s="1" t="s">
        <v>216</v>
      </c>
      <c r="S97" s="1" t="s">
        <v>218</v>
      </c>
      <c r="T97" s="11">
        <v>46161.878472222219</v>
      </c>
      <c r="U97" s="1" t="s">
        <v>218</v>
      </c>
      <c r="V97" s="11">
        <v>46173.392361111109</v>
      </c>
    </row>
    <row r="98" spans="1:22" x14ac:dyDescent="0.3">
      <c r="A98" s="1">
        <v>173152</v>
      </c>
      <c r="B98" s="1">
        <v>5798</v>
      </c>
      <c r="C98" s="1" t="s">
        <v>1189</v>
      </c>
      <c r="D98" s="1" t="s">
        <v>427</v>
      </c>
      <c r="E98" s="1" t="s">
        <v>428</v>
      </c>
      <c r="F98" s="4">
        <v>26696</v>
      </c>
      <c r="G98">
        <v>53</v>
      </c>
      <c r="H98" s="1" t="s">
        <v>212</v>
      </c>
      <c r="I98" s="1" t="s">
        <v>1501</v>
      </c>
      <c r="J98" s="1" t="s">
        <v>1501</v>
      </c>
      <c r="K98" s="1">
        <v>8525</v>
      </c>
      <c r="L98" s="1" t="s">
        <v>214</v>
      </c>
      <c r="M98" s="1" t="s">
        <v>1194</v>
      </c>
      <c r="N98" s="1" t="s">
        <v>215</v>
      </c>
      <c r="O98" s="1"/>
      <c r="P98" s="1" t="s">
        <v>212</v>
      </c>
      <c r="Q98" s="1"/>
      <c r="R98" s="1" t="s">
        <v>216</v>
      </c>
      <c r="S98" s="1" t="s">
        <v>218</v>
      </c>
      <c r="T98" s="11">
        <v>46161.878472222219</v>
      </c>
      <c r="U98" s="1" t="s">
        <v>218</v>
      </c>
      <c r="V98" s="11">
        <v>46173.392361111109</v>
      </c>
    </row>
    <row r="99" spans="1:22" x14ac:dyDescent="0.3">
      <c r="A99" s="1">
        <v>651848</v>
      </c>
      <c r="B99" s="1">
        <v>5798</v>
      </c>
      <c r="C99" s="1" t="s">
        <v>1188</v>
      </c>
      <c r="D99" s="1" t="s">
        <v>429</v>
      </c>
      <c r="E99" s="1" t="s">
        <v>426</v>
      </c>
      <c r="F99" s="4">
        <v>37895</v>
      </c>
      <c r="G99">
        <v>22</v>
      </c>
      <c r="H99" s="1" t="s">
        <v>212</v>
      </c>
      <c r="I99" s="1" t="s">
        <v>1501</v>
      </c>
      <c r="J99" s="1" t="s">
        <v>1501</v>
      </c>
      <c r="K99" s="1">
        <v>8525</v>
      </c>
      <c r="L99" s="1" t="s">
        <v>214</v>
      </c>
      <c r="M99" s="1" t="s">
        <v>1194</v>
      </c>
      <c r="N99" s="1" t="s">
        <v>215</v>
      </c>
      <c r="O99" s="1"/>
      <c r="P99" s="1" t="s">
        <v>212</v>
      </c>
      <c r="Q99" s="1"/>
      <c r="R99" s="1" t="s">
        <v>216</v>
      </c>
      <c r="S99" s="1" t="s">
        <v>218</v>
      </c>
      <c r="T99" s="11">
        <v>46161.878472222219</v>
      </c>
      <c r="U99" s="1" t="s">
        <v>218</v>
      </c>
      <c r="V99" s="11">
        <v>46173.392361111109</v>
      </c>
    </row>
    <row r="100" spans="1:22" x14ac:dyDescent="0.3">
      <c r="A100" s="1">
        <v>651861</v>
      </c>
      <c r="B100" s="1">
        <v>5798</v>
      </c>
      <c r="C100" s="1" t="s">
        <v>1189</v>
      </c>
      <c r="D100" s="1" t="s">
        <v>430</v>
      </c>
      <c r="E100" s="1" t="s">
        <v>426</v>
      </c>
      <c r="F100" s="4">
        <v>40261</v>
      </c>
      <c r="G100">
        <v>15</v>
      </c>
      <c r="H100" s="1" t="s">
        <v>212</v>
      </c>
      <c r="I100" s="1" t="s">
        <v>1501</v>
      </c>
      <c r="J100" s="1" t="s">
        <v>1501</v>
      </c>
      <c r="K100" s="1">
        <v>8525</v>
      </c>
      <c r="L100" s="1" t="s">
        <v>214</v>
      </c>
      <c r="M100" s="1" t="s">
        <v>1194</v>
      </c>
      <c r="N100" s="1" t="s">
        <v>215</v>
      </c>
      <c r="O100" s="1"/>
      <c r="P100" s="1" t="s">
        <v>212</v>
      </c>
      <c r="Q100" s="1"/>
      <c r="R100" s="1" t="s">
        <v>216</v>
      </c>
      <c r="S100" s="1" t="s">
        <v>218</v>
      </c>
      <c r="T100" s="11">
        <v>46161.878472222219</v>
      </c>
      <c r="U100" s="1" t="s">
        <v>218</v>
      </c>
      <c r="V100" s="11">
        <v>46173.392361111109</v>
      </c>
    </row>
    <row r="101" spans="1:22" x14ac:dyDescent="0.3">
      <c r="A101" s="1">
        <v>549432</v>
      </c>
      <c r="B101" s="1">
        <v>440202</v>
      </c>
      <c r="C101" s="1" t="s">
        <v>1188</v>
      </c>
      <c r="D101" s="1" t="s">
        <v>431</v>
      </c>
      <c r="E101" s="1" t="s">
        <v>432</v>
      </c>
      <c r="F101" s="4">
        <v>30534</v>
      </c>
      <c r="G101">
        <v>42</v>
      </c>
      <c r="H101" s="1" t="s">
        <v>212</v>
      </c>
      <c r="I101" s="1" t="s">
        <v>1501</v>
      </c>
      <c r="J101" s="1" t="s">
        <v>1501</v>
      </c>
      <c r="K101" s="1">
        <v>8540</v>
      </c>
      <c r="L101" s="1" t="s">
        <v>261</v>
      </c>
      <c r="M101" s="1" t="s">
        <v>433</v>
      </c>
      <c r="N101" s="1" t="s">
        <v>215</v>
      </c>
      <c r="O101" s="1"/>
      <c r="P101" s="1" t="s">
        <v>434</v>
      </c>
      <c r="Q101" s="1" t="s">
        <v>435</v>
      </c>
      <c r="R101" s="1" t="s">
        <v>216</v>
      </c>
      <c r="S101" s="1" t="s">
        <v>218</v>
      </c>
      <c r="T101" s="11">
        <v>46163.354166666664</v>
      </c>
      <c r="U101" s="1" t="s">
        <v>218</v>
      </c>
      <c r="V101" s="11">
        <v>46173.319444444445</v>
      </c>
    </row>
    <row r="102" spans="1:22" x14ac:dyDescent="0.3">
      <c r="A102" s="1">
        <v>553881</v>
      </c>
      <c r="B102" s="1">
        <v>440202</v>
      </c>
      <c r="C102" s="1" t="s">
        <v>1189</v>
      </c>
      <c r="D102" s="1" t="s">
        <v>436</v>
      </c>
      <c r="E102" s="1" t="s">
        <v>432</v>
      </c>
      <c r="F102" s="4">
        <v>31561</v>
      </c>
      <c r="G102">
        <v>39</v>
      </c>
      <c r="H102" s="1" t="s">
        <v>212</v>
      </c>
      <c r="I102" s="1" t="s">
        <v>1501</v>
      </c>
      <c r="J102" s="1" t="s">
        <v>1501</v>
      </c>
      <c r="K102" s="1">
        <v>8540</v>
      </c>
      <c r="L102" s="1" t="s">
        <v>261</v>
      </c>
      <c r="M102" s="1" t="s">
        <v>433</v>
      </c>
      <c r="N102" s="1" t="s">
        <v>215</v>
      </c>
      <c r="O102" s="1"/>
      <c r="P102" s="1" t="s">
        <v>434</v>
      </c>
      <c r="Q102" s="1" t="s">
        <v>435</v>
      </c>
      <c r="R102" s="1" t="s">
        <v>216</v>
      </c>
      <c r="S102" s="1" t="s">
        <v>218</v>
      </c>
      <c r="T102" s="11">
        <v>46163.354166666664</v>
      </c>
      <c r="U102" s="1" t="s">
        <v>218</v>
      </c>
      <c r="V102" s="11">
        <v>46173.319444444445</v>
      </c>
    </row>
    <row r="103" spans="1:22" x14ac:dyDescent="0.3">
      <c r="A103" s="1">
        <v>838547</v>
      </c>
      <c r="B103" s="1">
        <v>677960</v>
      </c>
      <c r="C103" s="1" t="s">
        <v>1188</v>
      </c>
      <c r="D103" s="1" t="s">
        <v>437</v>
      </c>
      <c r="E103" s="1" t="s">
        <v>438</v>
      </c>
      <c r="F103" s="4">
        <v>31291</v>
      </c>
      <c r="G103">
        <v>40</v>
      </c>
      <c r="H103" s="1" t="s">
        <v>212</v>
      </c>
      <c r="I103" s="1" t="s">
        <v>1501</v>
      </c>
      <c r="J103" s="1" t="s">
        <v>1501</v>
      </c>
      <c r="K103" s="1">
        <v>8524</v>
      </c>
      <c r="L103" s="1" t="s">
        <v>214</v>
      </c>
      <c r="M103" s="1" t="s">
        <v>1200</v>
      </c>
      <c r="N103" s="1" t="s">
        <v>215</v>
      </c>
      <c r="O103" s="1"/>
      <c r="P103" s="1" t="s">
        <v>212</v>
      </c>
      <c r="Q103" s="1"/>
      <c r="R103" s="1" t="s">
        <v>216</v>
      </c>
      <c r="S103" s="1" t="s">
        <v>217</v>
      </c>
      <c r="T103" s="11">
        <v>46164.055555555555</v>
      </c>
      <c r="U103" s="1" t="s">
        <v>218</v>
      </c>
      <c r="V103" s="11">
        <v>46177.253472222219</v>
      </c>
    </row>
    <row r="104" spans="1:22" x14ac:dyDescent="0.3">
      <c r="A104" s="1">
        <v>850088</v>
      </c>
      <c r="B104" s="1">
        <v>677960</v>
      </c>
      <c r="C104" s="1" t="s">
        <v>1189</v>
      </c>
      <c r="D104" s="1" t="s">
        <v>439</v>
      </c>
      <c r="E104" s="1" t="s">
        <v>440</v>
      </c>
      <c r="F104" s="4">
        <v>29587</v>
      </c>
      <c r="G104">
        <v>45</v>
      </c>
      <c r="H104" s="1" t="s">
        <v>212</v>
      </c>
      <c r="I104" s="1" t="s">
        <v>1501</v>
      </c>
      <c r="J104" s="1" t="s">
        <v>1501</v>
      </c>
      <c r="K104" s="1">
        <v>8524</v>
      </c>
      <c r="L104" s="1" t="s">
        <v>214</v>
      </c>
      <c r="M104" s="1" t="s">
        <v>1200</v>
      </c>
      <c r="N104" s="1" t="s">
        <v>215</v>
      </c>
      <c r="O104" s="1"/>
      <c r="P104" s="1" t="s">
        <v>212</v>
      </c>
      <c r="Q104" s="1"/>
      <c r="R104" s="1" t="s">
        <v>216</v>
      </c>
      <c r="S104" s="1" t="s">
        <v>217</v>
      </c>
      <c r="T104" s="11">
        <v>46164.055555555555</v>
      </c>
      <c r="U104" s="1" t="s">
        <v>218</v>
      </c>
      <c r="V104" s="11">
        <v>46177.253472222219</v>
      </c>
    </row>
    <row r="105" spans="1:22" x14ac:dyDescent="0.3">
      <c r="A105" s="1">
        <v>543110</v>
      </c>
      <c r="B105" s="1">
        <v>430614</v>
      </c>
      <c r="C105" s="1" t="s">
        <v>1188</v>
      </c>
      <c r="D105" s="1" t="s">
        <v>441</v>
      </c>
      <c r="E105" s="1" t="s">
        <v>442</v>
      </c>
      <c r="F105" s="4">
        <v>32123</v>
      </c>
      <c r="G105">
        <v>38</v>
      </c>
      <c r="H105" s="1" t="s">
        <v>212</v>
      </c>
      <c r="I105" s="1" t="s">
        <v>1501</v>
      </c>
      <c r="J105" s="1" t="s">
        <v>1501</v>
      </c>
      <c r="K105" s="1">
        <v>8540</v>
      </c>
      <c r="L105" s="1" t="s">
        <v>261</v>
      </c>
      <c r="M105" s="1" t="s">
        <v>443</v>
      </c>
      <c r="N105" s="1" t="s">
        <v>215</v>
      </c>
      <c r="O105" s="1"/>
      <c r="P105" s="1" t="s">
        <v>444</v>
      </c>
      <c r="Q105" s="1" t="s">
        <v>445</v>
      </c>
      <c r="R105" s="1" t="s">
        <v>216</v>
      </c>
      <c r="S105" s="1" t="s">
        <v>218</v>
      </c>
      <c r="T105" s="11">
        <v>46163.986111111109</v>
      </c>
      <c r="U105" s="1" t="s">
        <v>218</v>
      </c>
      <c r="V105" s="11">
        <v>46173.222222222219</v>
      </c>
    </row>
    <row r="106" spans="1:22" x14ac:dyDescent="0.3">
      <c r="A106" s="1">
        <v>793722</v>
      </c>
      <c r="B106" s="1">
        <v>430614</v>
      </c>
      <c r="C106" s="1" t="s">
        <v>1189</v>
      </c>
      <c r="D106" s="1" t="s">
        <v>446</v>
      </c>
      <c r="E106" s="1" t="s">
        <v>266</v>
      </c>
      <c r="F106" s="4">
        <v>32454</v>
      </c>
      <c r="G106">
        <v>37</v>
      </c>
      <c r="H106" s="1" t="s">
        <v>212</v>
      </c>
      <c r="I106" s="1" t="s">
        <v>1501</v>
      </c>
      <c r="J106" s="1" t="s">
        <v>1501</v>
      </c>
      <c r="K106" s="1">
        <v>8540</v>
      </c>
      <c r="L106" s="1" t="s">
        <v>261</v>
      </c>
      <c r="M106" s="1" t="s">
        <v>443</v>
      </c>
      <c r="N106" s="1" t="s">
        <v>215</v>
      </c>
      <c r="O106" s="1"/>
      <c r="P106" s="1" t="s">
        <v>444</v>
      </c>
      <c r="Q106" s="1" t="s">
        <v>445</v>
      </c>
      <c r="R106" s="1" t="s">
        <v>216</v>
      </c>
      <c r="S106" s="1" t="s">
        <v>218</v>
      </c>
      <c r="T106" s="11">
        <v>46163.986111111109</v>
      </c>
      <c r="U106" s="1" t="s">
        <v>218</v>
      </c>
      <c r="V106" s="11">
        <v>46173.222222222219</v>
      </c>
    </row>
    <row r="107" spans="1:22" x14ac:dyDescent="0.3">
      <c r="A107" s="1">
        <v>741710</v>
      </c>
      <c r="B107" s="1">
        <v>601475</v>
      </c>
      <c r="C107" s="1" t="s">
        <v>1189</v>
      </c>
      <c r="D107" s="1" t="s">
        <v>447</v>
      </c>
      <c r="E107" s="1" t="s">
        <v>448</v>
      </c>
      <c r="F107" s="4">
        <v>23926</v>
      </c>
      <c r="G107">
        <v>60</v>
      </c>
      <c r="H107" s="1" t="s">
        <v>212</v>
      </c>
      <c r="I107" s="1" t="s">
        <v>1501</v>
      </c>
      <c r="J107" s="1" t="s">
        <v>1501</v>
      </c>
      <c r="K107" s="1">
        <v>8728</v>
      </c>
      <c r="L107" s="1" t="s">
        <v>214</v>
      </c>
      <c r="M107" s="1" t="s">
        <v>1191</v>
      </c>
      <c r="N107" s="1" t="s">
        <v>215</v>
      </c>
      <c r="O107" s="1"/>
      <c r="P107" s="1" t="s">
        <v>212</v>
      </c>
      <c r="Q107" s="1"/>
      <c r="R107" s="1" t="s">
        <v>216</v>
      </c>
      <c r="S107" s="1" t="s">
        <v>218</v>
      </c>
      <c r="T107" s="11">
        <v>46163.236111111109</v>
      </c>
      <c r="U107" s="1" t="s">
        <v>218</v>
      </c>
      <c r="V107" s="11">
        <v>46175.930555555555</v>
      </c>
    </row>
    <row r="108" spans="1:22" x14ac:dyDescent="0.3">
      <c r="A108" s="1">
        <v>742863</v>
      </c>
      <c r="B108" s="1">
        <v>602252</v>
      </c>
      <c r="C108" s="1" t="s">
        <v>1189</v>
      </c>
      <c r="D108" s="1" t="s">
        <v>449</v>
      </c>
      <c r="E108" s="1" t="s">
        <v>450</v>
      </c>
      <c r="F108" s="4">
        <v>17899</v>
      </c>
      <c r="G108">
        <v>77</v>
      </c>
      <c r="H108" s="1" t="s">
        <v>212</v>
      </c>
      <c r="I108" s="1" t="s">
        <v>1501</v>
      </c>
      <c r="J108" s="1" t="s">
        <v>1501</v>
      </c>
      <c r="K108" s="1">
        <v>8529</v>
      </c>
      <c r="L108" s="1" t="s">
        <v>214</v>
      </c>
      <c r="M108" s="1" t="s">
        <v>1202</v>
      </c>
      <c r="N108" s="1" t="s">
        <v>215</v>
      </c>
      <c r="O108" s="1"/>
      <c r="P108" s="1" t="s">
        <v>212</v>
      </c>
      <c r="Q108" s="1"/>
      <c r="R108" s="1" t="s">
        <v>216</v>
      </c>
      <c r="S108" s="1" t="s">
        <v>218</v>
      </c>
      <c r="T108" s="11">
        <v>46160.107638888891</v>
      </c>
      <c r="U108" s="1" t="s">
        <v>218</v>
      </c>
      <c r="V108" s="11">
        <v>46172.409722222219</v>
      </c>
    </row>
    <row r="109" spans="1:22" x14ac:dyDescent="0.3">
      <c r="A109" s="1">
        <v>390321</v>
      </c>
      <c r="B109" s="1">
        <v>306854</v>
      </c>
      <c r="C109" s="1" t="s">
        <v>1189</v>
      </c>
      <c r="D109" s="1" t="s">
        <v>252</v>
      </c>
      <c r="E109" s="1" t="s">
        <v>451</v>
      </c>
      <c r="F109" s="4">
        <v>20581</v>
      </c>
      <c r="G109">
        <v>69</v>
      </c>
      <c r="H109" s="1" t="s">
        <v>212</v>
      </c>
      <c r="I109" s="1" t="s">
        <v>1501</v>
      </c>
      <c r="J109" s="1" t="s">
        <v>1501</v>
      </c>
      <c r="K109" s="1">
        <v>8538</v>
      </c>
      <c r="L109" s="1" t="s">
        <v>214</v>
      </c>
      <c r="M109" s="1" t="s">
        <v>1191</v>
      </c>
      <c r="N109" s="1" t="s">
        <v>215</v>
      </c>
      <c r="O109" s="1" t="b">
        <v>1</v>
      </c>
      <c r="P109" s="1" t="s">
        <v>212</v>
      </c>
      <c r="Q109" s="1"/>
      <c r="R109" s="1" t="s">
        <v>216</v>
      </c>
      <c r="S109" s="1" t="s">
        <v>218</v>
      </c>
      <c r="T109" s="11">
        <v>46163.236111111109</v>
      </c>
      <c r="U109" s="1" t="s">
        <v>218</v>
      </c>
      <c r="V109" s="11">
        <v>46175.930555555555</v>
      </c>
    </row>
    <row r="110" spans="1:22" x14ac:dyDescent="0.3">
      <c r="A110" s="1">
        <v>764275</v>
      </c>
      <c r="B110" s="1">
        <v>619792</v>
      </c>
      <c r="C110" s="1" t="s">
        <v>1188</v>
      </c>
      <c r="D110" s="1" t="s">
        <v>452</v>
      </c>
      <c r="E110" s="1" t="s">
        <v>453</v>
      </c>
      <c r="F110" s="4">
        <v>22208</v>
      </c>
      <c r="G110">
        <v>65</v>
      </c>
      <c r="H110" s="1" t="s">
        <v>212</v>
      </c>
      <c r="I110" s="1" t="s">
        <v>1501</v>
      </c>
      <c r="J110" s="1" t="s">
        <v>1501</v>
      </c>
      <c r="K110" s="1">
        <v>8530</v>
      </c>
      <c r="L110" s="1" t="s">
        <v>214</v>
      </c>
      <c r="M110" s="1" t="s">
        <v>1190</v>
      </c>
      <c r="N110" s="1" t="s">
        <v>215</v>
      </c>
      <c r="O110" s="1"/>
      <c r="P110" s="1" t="s">
        <v>212</v>
      </c>
      <c r="Q110" s="1"/>
      <c r="R110" s="1" t="s">
        <v>216</v>
      </c>
      <c r="S110" s="1" t="s">
        <v>218</v>
      </c>
      <c r="T110" s="11">
        <v>46160.392361111109</v>
      </c>
      <c r="U110" s="1" t="s">
        <v>218</v>
      </c>
      <c r="V110" s="11">
        <v>46173.128472222219</v>
      </c>
    </row>
    <row r="111" spans="1:22" x14ac:dyDescent="0.3">
      <c r="A111" s="1">
        <v>611051</v>
      </c>
      <c r="B111" s="1">
        <v>492910</v>
      </c>
      <c r="C111" s="1" t="s">
        <v>1189</v>
      </c>
      <c r="D111" s="1" t="s">
        <v>454</v>
      </c>
      <c r="E111" s="1" t="s">
        <v>455</v>
      </c>
      <c r="F111" s="4">
        <v>23427</v>
      </c>
      <c r="G111">
        <v>62</v>
      </c>
      <c r="H111" s="1" t="s">
        <v>212</v>
      </c>
      <c r="I111" s="1" t="s">
        <v>1501</v>
      </c>
      <c r="J111" s="1" t="s">
        <v>1501</v>
      </c>
      <c r="K111" s="1">
        <v>8529</v>
      </c>
      <c r="L111" s="1" t="s">
        <v>214</v>
      </c>
      <c r="M111" s="1" t="s">
        <v>1202</v>
      </c>
      <c r="N111" s="1" t="s">
        <v>215</v>
      </c>
      <c r="O111" s="1"/>
      <c r="P111" s="1" t="s">
        <v>212</v>
      </c>
      <c r="Q111" s="1"/>
      <c r="R111" s="1" t="s">
        <v>216</v>
      </c>
      <c r="S111" s="1" t="s">
        <v>218</v>
      </c>
      <c r="T111" s="11">
        <v>46160.107638888891</v>
      </c>
      <c r="U111" s="1" t="s">
        <v>218</v>
      </c>
      <c r="V111" s="11">
        <v>46172.409722222219</v>
      </c>
    </row>
    <row r="112" spans="1:22" x14ac:dyDescent="0.3">
      <c r="A112" s="1">
        <v>727890</v>
      </c>
      <c r="B112" s="1">
        <v>589690</v>
      </c>
      <c r="C112" s="1" t="s">
        <v>1188</v>
      </c>
      <c r="D112" s="1" t="s">
        <v>456</v>
      </c>
      <c r="E112" s="1" t="s">
        <v>457</v>
      </c>
      <c r="F112" s="4">
        <v>29444</v>
      </c>
      <c r="G112">
        <v>45</v>
      </c>
      <c r="H112" s="1" t="s">
        <v>212</v>
      </c>
      <c r="I112" s="1" t="s">
        <v>1503</v>
      </c>
      <c r="J112" s="1" t="s">
        <v>1503</v>
      </c>
      <c r="K112" s="1">
        <v>8537</v>
      </c>
      <c r="L112" s="1" t="s">
        <v>261</v>
      </c>
      <c r="M112" s="1" t="s">
        <v>458</v>
      </c>
      <c r="N112" s="1" t="s">
        <v>215</v>
      </c>
      <c r="O112" s="1"/>
      <c r="P112" s="1" t="s">
        <v>459</v>
      </c>
      <c r="Q112" s="1" t="s">
        <v>460</v>
      </c>
      <c r="R112" s="1" t="s">
        <v>216</v>
      </c>
      <c r="S112" s="1" t="s">
        <v>218</v>
      </c>
      <c r="T112" s="11">
        <v>46163.28125</v>
      </c>
      <c r="U112" s="1" t="s">
        <v>218</v>
      </c>
      <c r="V112" s="11">
        <v>46175.215277777781</v>
      </c>
    </row>
    <row r="113" spans="1:22" x14ac:dyDescent="0.3">
      <c r="A113" s="1">
        <v>216091</v>
      </c>
      <c r="B113" s="1">
        <v>715591</v>
      </c>
      <c r="C113" s="1" t="s">
        <v>1188</v>
      </c>
      <c r="D113" s="1" t="s">
        <v>461</v>
      </c>
      <c r="E113" s="1" t="s">
        <v>462</v>
      </c>
      <c r="F113" s="4">
        <v>22460</v>
      </c>
      <c r="G113">
        <v>64</v>
      </c>
      <c r="H113" s="1" t="s">
        <v>212</v>
      </c>
      <c r="I113" s="1" t="s">
        <v>1501</v>
      </c>
      <c r="J113" s="1" t="s">
        <v>1501</v>
      </c>
      <c r="K113" s="1">
        <v>8529</v>
      </c>
      <c r="L113" s="1" t="s">
        <v>261</v>
      </c>
      <c r="M113" s="1" t="s">
        <v>463</v>
      </c>
      <c r="N113" s="1" t="s">
        <v>215</v>
      </c>
      <c r="O113" s="1"/>
      <c r="P113" s="1" t="s">
        <v>464</v>
      </c>
      <c r="Q113" s="1" t="s">
        <v>465</v>
      </c>
      <c r="R113" s="1" t="s">
        <v>216</v>
      </c>
      <c r="S113" s="1" t="s">
        <v>218</v>
      </c>
      <c r="T113" s="11">
        <v>46160.944444444445</v>
      </c>
      <c r="U113" s="1" t="s">
        <v>218</v>
      </c>
      <c r="V113" s="11">
        <v>46173.243055555555</v>
      </c>
    </row>
    <row r="114" spans="1:22" x14ac:dyDescent="0.3">
      <c r="A114" s="1">
        <v>489480</v>
      </c>
      <c r="B114" s="1">
        <v>385038</v>
      </c>
      <c r="C114" s="1" t="s">
        <v>1188</v>
      </c>
      <c r="D114" s="1" t="s">
        <v>466</v>
      </c>
      <c r="E114" s="1" t="s">
        <v>467</v>
      </c>
      <c r="F114" s="4">
        <v>37125</v>
      </c>
      <c r="G114">
        <v>24</v>
      </c>
      <c r="H114" s="1" t="s">
        <v>212</v>
      </c>
      <c r="I114" s="1" t="s">
        <v>1502</v>
      </c>
      <c r="J114" s="1" t="s">
        <v>1502</v>
      </c>
      <c r="K114" s="1">
        <v>8529</v>
      </c>
      <c r="L114" s="1" t="s">
        <v>214</v>
      </c>
      <c r="M114" s="1" t="s">
        <v>1207</v>
      </c>
      <c r="N114" s="1" t="s">
        <v>215</v>
      </c>
      <c r="O114" s="1"/>
      <c r="P114" s="1" t="s">
        <v>212</v>
      </c>
      <c r="Q114" s="1"/>
      <c r="R114" s="1" t="s">
        <v>216</v>
      </c>
      <c r="S114" s="1" t="s">
        <v>218</v>
      </c>
      <c r="T114" s="11">
        <v>46160.892361111109</v>
      </c>
      <c r="U114" s="1" t="s">
        <v>218</v>
      </c>
      <c r="V114" s="11">
        <v>46172.385416666664</v>
      </c>
    </row>
    <row r="115" spans="1:22" x14ac:dyDescent="0.3">
      <c r="A115" s="1">
        <v>715702</v>
      </c>
      <c r="B115" s="1">
        <v>385038</v>
      </c>
      <c r="C115" s="1" t="s">
        <v>1189</v>
      </c>
      <c r="D115" s="1" t="s">
        <v>468</v>
      </c>
      <c r="E115" s="1" t="s">
        <v>469</v>
      </c>
      <c r="F115" s="4">
        <v>26632</v>
      </c>
      <c r="G115">
        <v>53</v>
      </c>
      <c r="H115" s="1" t="s">
        <v>212</v>
      </c>
      <c r="I115" s="1" t="s">
        <v>1502</v>
      </c>
      <c r="J115" s="1" t="s">
        <v>1502</v>
      </c>
      <c r="K115" s="1">
        <v>8529</v>
      </c>
      <c r="L115" s="1" t="s">
        <v>214</v>
      </c>
      <c r="M115" s="1" t="s">
        <v>1207</v>
      </c>
      <c r="N115" s="1" t="s">
        <v>215</v>
      </c>
      <c r="O115" s="1"/>
      <c r="P115" s="1" t="s">
        <v>212</v>
      </c>
      <c r="Q115" s="1"/>
      <c r="R115" s="1" t="s">
        <v>216</v>
      </c>
      <c r="S115" s="1" t="s">
        <v>218</v>
      </c>
      <c r="T115" s="11">
        <v>46160.892361111109</v>
      </c>
      <c r="U115" s="1" t="s">
        <v>218</v>
      </c>
      <c r="V115" s="11">
        <v>46172.385416666664</v>
      </c>
    </row>
    <row r="116" spans="1:22" x14ac:dyDescent="0.3">
      <c r="A116" s="1">
        <v>138400</v>
      </c>
      <c r="B116" s="1">
        <v>105732</v>
      </c>
      <c r="C116" s="1" t="s">
        <v>1188</v>
      </c>
      <c r="D116" s="1" t="s">
        <v>470</v>
      </c>
      <c r="E116" s="1" t="s">
        <v>471</v>
      </c>
      <c r="F116" s="4">
        <v>28977</v>
      </c>
      <c r="G116">
        <v>46</v>
      </c>
      <c r="H116" s="1" t="s">
        <v>212</v>
      </c>
      <c r="I116" s="1" t="s">
        <v>1501</v>
      </c>
      <c r="J116" s="1" t="s">
        <v>1501</v>
      </c>
      <c r="K116" s="1">
        <v>8530</v>
      </c>
      <c r="L116" s="1" t="s">
        <v>214</v>
      </c>
      <c r="M116" s="1" t="s">
        <v>1190</v>
      </c>
      <c r="N116" s="1" t="s">
        <v>215</v>
      </c>
      <c r="O116" s="1"/>
      <c r="P116" s="1" t="s">
        <v>212</v>
      </c>
      <c r="Q116" s="1"/>
      <c r="R116" s="1" t="s">
        <v>216</v>
      </c>
      <c r="S116" s="1" t="s">
        <v>218</v>
      </c>
      <c r="T116" s="11">
        <v>46160.392361111109</v>
      </c>
      <c r="U116" s="1" t="s">
        <v>218</v>
      </c>
      <c r="V116" s="11">
        <v>46173.128472222219</v>
      </c>
    </row>
    <row r="117" spans="1:22" x14ac:dyDescent="0.3">
      <c r="A117" s="1">
        <v>753896</v>
      </c>
      <c r="B117" s="1">
        <v>610608</v>
      </c>
      <c r="C117" s="1" t="s">
        <v>1188</v>
      </c>
      <c r="D117" s="1" t="s">
        <v>472</v>
      </c>
      <c r="E117" s="1" t="s">
        <v>473</v>
      </c>
      <c r="F117" s="4">
        <v>20712</v>
      </c>
      <c r="G117">
        <v>69</v>
      </c>
      <c r="H117" s="1" t="s">
        <v>212</v>
      </c>
      <c r="I117" s="1" t="s">
        <v>1501</v>
      </c>
      <c r="J117" s="1" t="s">
        <v>1501</v>
      </c>
      <c r="K117" s="1">
        <v>8530</v>
      </c>
      <c r="L117" s="1" t="s">
        <v>214</v>
      </c>
      <c r="M117" s="1" t="s">
        <v>1190</v>
      </c>
      <c r="N117" s="1" t="s">
        <v>215</v>
      </c>
      <c r="O117" s="1"/>
      <c r="P117" s="1" t="s">
        <v>212</v>
      </c>
      <c r="Q117" s="1"/>
      <c r="R117" s="1" t="s">
        <v>216</v>
      </c>
      <c r="S117" s="1" t="s">
        <v>218</v>
      </c>
      <c r="T117" s="11">
        <v>46160.392361111109</v>
      </c>
      <c r="U117" s="1" t="s">
        <v>218</v>
      </c>
      <c r="V117" s="11">
        <v>46173.128472222219</v>
      </c>
    </row>
    <row r="118" spans="1:22" x14ac:dyDescent="0.3">
      <c r="A118" s="1">
        <v>754448</v>
      </c>
      <c r="B118" s="1">
        <v>610608</v>
      </c>
      <c r="C118" s="1" t="s">
        <v>1189</v>
      </c>
      <c r="D118" s="1" t="s">
        <v>474</v>
      </c>
      <c r="E118" s="1" t="s">
        <v>473</v>
      </c>
      <c r="F118" s="4">
        <v>21356</v>
      </c>
      <c r="G118">
        <v>67</v>
      </c>
      <c r="H118" s="1" t="s">
        <v>212</v>
      </c>
      <c r="I118" s="1" t="s">
        <v>1501</v>
      </c>
      <c r="J118" s="1" t="s">
        <v>1501</v>
      </c>
      <c r="K118" s="1">
        <v>8530</v>
      </c>
      <c r="L118" s="1" t="s">
        <v>214</v>
      </c>
      <c r="M118" s="1" t="s">
        <v>1190</v>
      </c>
      <c r="N118" s="1" t="s">
        <v>215</v>
      </c>
      <c r="O118" s="1"/>
      <c r="P118" s="1" t="s">
        <v>212</v>
      </c>
      <c r="Q118" s="1"/>
      <c r="R118" s="1" t="s">
        <v>216</v>
      </c>
      <c r="S118" s="1" t="s">
        <v>218</v>
      </c>
      <c r="T118" s="11">
        <v>46160.392361111109</v>
      </c>
      <c r="U118" s="1" t="s">
        <v>218</v>
      </c>
      <c r="V118" s="11">
        <v>46173.128472222219</v>
      </c>
    </row>
    <row r="119" spans="1:22" x14ac:dyDescent="0.3">
      <c r="A119" s="1">
        <v>755596</v>
      </c>
      <c r="B119" s="1">
        <v>610608</v>
      </c>
      <c r="C119" s="1" t="s">
        <v>1189</v>
      </c>
      <c r="D119" s="1" t="s">
        <v>475</v>
      </c>
      <c r="E119" s="1" t="s">
        <v>271</v>
      </c>
      <c r="F119" s="4">
        <v>20133</v>
      </c>
      <c r="G119">
        <v>71</v>
      </c>
      <c r="H119" s="1" t="s">
        <v>212</v>
      </c>
      <c r="I119" s="1" t="s">
        <v>1501</v>
      </c>
      <c r="J119" s="1" t="s">
        <v>1501</v>
      </c>
      <c r="K119" s="1">
        <v>8530</v>
      </c>
      <c r="L119" s="1" t="s">
        <v>214</v>
      </c>
      <c r="M119" s="1" t="s">
        <v>1190</v>
      </c>
      <c r="N119" s="1" t="s">
        <v>215</v>
      </c>
      <c r="O119" s="1"/>
      <c r="P119" s="1" t="s">
        <v>212</v>
      </c>
      <c r="Q119" s="1"/>
      <c r="R119" s="1" t="s">
        <v>216</v>
      </c>
      <c r="S119" s="1" t="s">
        <v>218</v>
      </c>
      <c r="T119" s="11">
        <v>46160.392361111109</v>
      </c>
      <c r="U119" s="1" t="s">
        <v>218</v>
      </c>
      <c r="V119" s="11">
        <v>46173.128472222219</v>
      </c>
    </row>
    <row r="120" spans="1:22" x14ac:dyDescent="0.3">
      <c r="A120" s="1">
        <v>663326</v>
      </c>
      <c r="B120" s="1">
        <v>539117</v>
      </c>
      <c r="C120" s="1" t="s">
        <v>1188</v>
      </c>
      <c r="D120" s="1" t="s">
        <v>271</v>
      </c>
      <c r="E120" s="1" t="s">
        <v>476</v>
      </c>
      <c r="F120" s="4">
        <v>24675</v>
      </c>
      <c r="G120">
        <v>58</v>
      </c>
      <c r="H120" s="1" t="s">
        <v>212</v>
      </c>
      <c r="I120" s="1" t="s">
        <v>1501</v>
      </c>
      <c r="J120" s="1" t="s">
        <v>1501</v>
      </c>
      <c r="K120" s="1">
        <v>8530</v>
      </c>
      <c r="L120" s="1" t="s">
        <v>214</v>
      </c>
      <c r="M120" s="1" t="s">
        <v>1202</v>
      </c>
      <c r="N120" s="1" t="s">
        <v>215</v>
      </c>
      <c r="O120" s="1"/>
      <c r="P120" s="1" t="s">
        <v>212</v>
      </c>
      <c r="Q120" s="1"/>
      <c r="R120" s="1" t="s">
        <v>216</v>
      </c>
      <c r="S120" s="1" t="s">
        <v>218</v>
      </c>
      <c r="T120" s="11">
        <v>46160.107638888891</v>
      </c>
      <c r="U120" s="1" t="s">
        <v>218</v>
      </c>
      <c r="V120" s="11">
        <v>46172.409722222219</v>
      </c>
    </row>
    <row r="121" spans="1:22" x14ac:dyDescent="0.3">
      <c r="A121" s="1">
        <v>663631</v>
      </c>
      <c r="B121" s="1">
        <v>539117</v>
      </c>
      <c r="C121" s="1" t="s">
        <v>1188</v>
      </c>
      <c r="D121" s="1" t="s">
        <v>477</v>
      </c>
      <c r="E121" s="1" t="s">
        <v>476</v>
      </c>
      <c r="F121" s="4">
        <v>38869</v>
      </c>
      <c r="G121">
        <v>19</v>
      </c>
      <c r="H121" s="1" t="s">
        <v>212</v>
      </c>
      <c r="I121" s="1" t="s">
        <v>1501</v>
      </c>
      <c r="J121" s="1" t="s">
        <v>1501</v>
      </c>
      <c r="K121" s="1">
        <v>8530</v>
      </c>
      <c r="L121" s="1" t="s">
        <v>214</v>
      </c>
      <c r="M121" s="1" t="s">
        <v>1202</v>
      </c>
      <c r="N121" s="1" t="s">
        <v>215</v>
      </c>
      <c r="O121" s="1"/>
      <c r="P121" s="1" t="s">
        <v>212</v>
      </c>
      <c r="Q121" s="1"/>
      <c r="R121" s="1" t="s">
        <v>216</v>
      </c>
      <c r="S121" s="1" t="s">
        <v>218</v>
      </c>
      <c r="T121" s="11">
        <v>46160.107638888891</v>
      </c>
      <c r="U121" s="1" t="s">
        <v>218</v>
      </c>
      <c r="V121" s="11">
        <v>46172.409722222219</v>
      </c>
    </row>
    <row r="122" spans="1:22" x14ac:dyDescent="0.3">
      <c r="A122" s="1">
        <v>674924</v>
      </c>
      <c r="B122" s="1">
        <v>539117</v>
      </c>
      <c r="C122" s="1" t="s">
        <v>1189</v>
      </c>
      <c r="D122" s="1" t="s">
        <v>254</v>
      </c>
      <c r="E122" s="1" t="s">
        <v>476</v>
      </c>
      <c r="F122" s="4">
        <v>26723</v>
      </c>
      <c r="G122">
        <v>53</v>
      </c>
      <c r="H122" s="1" t="s">
        <v>212</v>
      </c>
      <c r="I122" s="1" t="s">
        <v>1501</v>
      </c>
      <c r="J122" s="1" t="s">
        <v>1501</v>
      </c>
      <c r="K122" s="1">
        <v>8530</v>
      </c>
      <c r="L122" s="1" t="s">
        <v>214</v>
      </c>
      <c r="M122" s="1" t="s">
        <v>1202</v>
      </c>
      <c r="N122" s="1" t="s">
        <v>215</v>
      </c>
      <c r="O122" s="1"/>
      <c r="P122" s="1" t="s">
        <v>212</v>
      </c>
      <c r="Q122" s="1"/>
      <c r="R122" s="1" t="s">
        <v>216</v>
      </c>
      <c r="S122" s="1" t="s">
        <v>218</v>
      </c>
      <c r="T122" s="11">
        <v>46160.107638888891</v>
      </c>
      <c r="U122" s="1" t="s">
        <v>218</v>
      </c>
      <c r="V122" s="11">
        <v>46172.409722222219</v>
      </c>
    </row>
    <row r="123" spans="1:22" x14ac:dyDescent="0.3">
      <c r="A123" s="1">
        <v>400757</v>
      </c>
      <c r="B123" s="1">
        <v>314285</v>
      </c>
      <c r="C123" s="1" t="s">
        <v>1188</v>
      </c>
      <c r="D123" s="1" t="s">
        <v>478</v>
      </c>
      <c r="E123" s="1" t="s">
        <v>479</v>
      </c>
      <c r="F123" s="4">
        <v>25013</v>
      </c>
      <c r="G123">
        <v>57</v>
      </c>
      <c r="H123" s="1" t="s">
        <v>212</v>
      </c>
      <c r="I123" s="1" t="s">
        <v>1501</v>
      </c>
      <c r="J123" s="1" t="s">
        <v>1501</v>
      </c>
      <c r="K123" s="1">
        <v>8524</v>
      </c>
      <c r="L123" s="1" t="s">
        <v>261</v>
      </c>
      <c r="M123" s="1" t="s">
        <v>480</v>
      </c>
      <c r="N123" s="1" t="s">
        <v>215</v>
      </c>
      <c r="O123" s="1" t="b">
        <v>1</v>
      </c>
      <c r="P123" s="1" t="s">
        <v>481</v>
      </c>
      <c r="Q123" s="1" t="s">
        <v>482</v>
      </c>
      <c r="R123" s="1" t="s">
        <v>216</v>
      </c>
      <c r="S123" s="1" t="s">
        <v>218</v>
      </c>
      <c r="T123" s="11">
        <v>46163.677083333336</v>
      </c>
      <c r="U123" s="1" t="s">
        <v>218</v>
      </c>
      <c r="V123" s="11">
        <v>46179.368055555555</v>
      </c>
    </row>
    <row r="124" spans="1:22" x14ac:dyDescent="0.3">
      <c r="A124" s="1">
        <v>400819</v>
      </c>
      <c r="B124" s="1">
        <v>314285</v>
      </c>
      <c r="C124" s="1" t="s">
        <v>1189</v>
      </c>
      <c r="D124" s="1" t="s">
        <v>483</v>
      </c>
      <c r="E124" s="1" t="s">
        <v>484</v>
      </c>
      <c r="F124" s="4">
        <v>23033</v>
      </c>
      <c r="G124">
        <v>63</v>
      </c>
      <c r="H124" s="1" t="s">
        <v>212</v>
      </c>
      <c r="I124" s="1" t="s">
        <v>1501</v>
      </c>
      <c r="J124" s="1" t="s">
        <v>1501</v>
      </c>
      <c r="K124" s="1">
        <v>8524</v>
      </c>
      <c r="L124" s="1" t="s">
        <v>261</v>
      </c>
      <c r="M124" s="1" t="s">
        <v>480</v>
      </c>
      <c r="N124" s="1" t="s">
        <v>215</v>
      </c>
      <c r="O124" s="1" t="b">
        <v>1</v>
      </c>
      <c r="P124" s="1" t="s">
        <v>481</v>
      </c>
      <c r="Q124" s="1" t="s">
        <v>482</v>
      </c>
      <c r="R124" s="1" t="s">
        <v>216</v>
      </c>
      <c r="S124" s="1" t="s">
        <v>218</v>
      </c>
      <c r="T124" s="11">
        <v>46163.677083333336</v>
      </c>
      <c r="U124" s="1" t="s">
        <v>218</v>
      </c>
      <c r="V124" s="11">
        <v>46179.368055555555</v>
      </c>
    </row>
    <row r="125" spans="1:22" x14ac:dyDescent="0.3">
      <c r="A125" s="1">
        <v>819297</v>
      </c>
      <c r="B125" s="1">
        <v>662395</v>
      </c>
      <c r="C125" s="1" t="s">
        <v>1188</v>
      </c>
      <c r="D125" s="1" t="s">
        <v>485</v>
      </c>
      <c r="E125" s="1" t="s">
        <v>486</v>
      </c>
      <c r="F125" s="4">
        <v>25782</v>
      </c>
      <c r="G125">
        <v>55</v>
      </c>
      <c r="H125" s="1" t="s">
        <v>212</v>
      </c>
      <c r="I125" s="1" t="s">
        <v>1501</v>
      </c>
      <c r="J125" s="1" t="s">
        <v>1501</v>
      </c>
      <c r="K125" s="1">
        <v>8529</v>
      </c>
      <c r="L125" s="1" t="s">
        <v>214</v>
      </c>
      <c r="M125" s="1" t="s">
        <v>1190</v>
      </c>
      <c r="N125" s="1" t="s">
        <v>215</v>
      </c>
      <c r="O125" s="1"/>
      <c r="P125" s="1" t="s">
        <v>212</v>
      </c>
      <c r="Q125" s="1"/>
      <c r="R125" s="1" t="s">
        <v>216</v>
      </c>
      <c r="S125" s="1" t="s">
        <v>218</v>
      </c>
      <c r="T125" s="11">
        <v>46160.392361111109</v>
      </c>
      <c r="U125" s="1" t="s">
        <v>218</v>
      </c>
      <c r="V125" s="11">
        <v>46173.128472222219</v>
      </c>
    </row>
    <row r="126" spans="1:22" x14ac:dyDescent="0.3">
      <c r="A126" s="1">
        <v>831289</v>
      </c>
      <c r="B126" s="1">
        <v>662395</v>
      </c>
      <c r="C126" s="1" t="s">
        <v>1189</v>
      </c>
      <c r="D126" s="1" t="s">
        <v>487</v>
      </c>
      <c r="E126" s="1" t="s">
        <v>486</v>
      </c>
      <c r="F126" s="4">
        <v>17786</v>
      </c>
      <c r="G126">
        <v>77</v>
      </c>
      <c r="H126" s="1" t="s">
        <v>212</v>
      </c>
      <c r="I126" s="1" t="s">
        <v>1501</v>
      </c>
      <c r="J126" s="1" t="s">
        <v>1513</v>
      </c>
      <c r="K126" s="1">
        <v>8529</v>
      </c>
      <c r="L126" s="1" t="s">
        <v>214</v>
      </c>
      <c r="M126" s="1" t="s">
        <v>1190</v>
      </c>
      <c r="N126" s="1" t="s">
        <v>215</v>
      </c>
      <c r="O126" s="1"/>
      <c r="P126" s="1" t="s">
        <v>212</v>
      </c>
      <c r="Q126" s="1"/>
      <c r="R126" s="1" t="s">
        <v>216</v>
      </c>
      <c r="S126" s="1" t="s">
        <v>218</v>
      </c>
      <c r="T126" s="11">
        <v>46160.392361111109</v>
      </c>
      <c r="U126" s="1" t="s">
        <v>218</v>
      </c>
      <c r="V126" s="11">
        <v>46173.128472222219</v>
      </c>
    </row>
    <row r="127" spans="1:22" x14ac:dyDescent="0.3">
      <c r="A127" s="1">
        <v>820033</v>
      </c>
      <c r="B127" s="1">
        <v>662934</v>
      </c>
      <c r="C127" s="1" t="s">
        <v>1189</v>
      </c>
      <c r="D127" s="1" t="s">
        <v>489</v>
      </c>
      <c r="E127" s="1" t="s">
        <v>490</v>
      </c>
      <c r="F127" s="4">
        <v>25994</v>
      </c>
      <c r="G127">
        <v>55</v>
      </c>
      <c r="H127" s="1" t="s">
        <v>212</v>
      </c>
      <c r="I127" s="1" t="s">
        <v>1501</v>
      </c>
      <c r="J127" s="1" t="s">
        <v>1501</v>
      </c>
      <c r="K127" s="1">
        <v>8531</v>
      </c>
      <c r="L127" s="1" t="s">
        <v>261</v>
      </c>
      <c r="M127" s="1" t="s">
        <v>491</v>
      </c>
      <c r="N127" s="1" t="s">
        <v>215</v>
      </c>
      <c r="O127" s="1"/>
      <c r="P127" s="1" t="s">
        <v>492</v>
      </c>
      <c r="Q127" s="1" t="s">
        <v>493</v>
      </c>
      <c r="R127" s="1" t="s">
        <v>216</v>
      </c>
      <c r="S127" s="1" t="s">
        <v>218</v>
      </c>
      <c r="T127" s="11">
        <v>46163.440972222219</v>
      </c>
      <c r="U127" s="1" t="s">
        <v>218</v>
      </c>
      <c r="V127" s="11">
        <v>46179.722222222219</v>
      </c>
    </row>
    <row r="128" spans="1:22" x14ac:dyDescent="0.3">
      <c r="A128" s="1">
        <v>820035</v>
      </c>
      <c r="B128" s="1">
        <v>662934</v>
      </c>
      <c r="C128" s="1" t="s">
        <v>1188</v>
      </c>
      <c r="D128" s="1" t="s">
        <v>494</v>
      </c>
      <c r="E128" s="1" t="s">
        <v>490</v>
      </c>
      <c r="F128" s="4">
        <v>19436</v>
      </c>
      <c r="G128">
        <v>72</v>
      </c>
      <c r="H128" s="1" t="s">
        <v>212</v>
      </c>
      <c r="I128" s="1" t="s">
        <v>1501</v>
      </c>
      <c r="J128" s="1" t="s">
        <v>1501</v>
      </c>
      <c r="K128" s="1">
        <v>8531</v>
      </c>
      <c r="L128" s="1" t="s">
        <v>261</v>
      </c>
      <c r="M128" s="1" t="s">
        <v>491</v>
      </c>
      <c r="N128" s="1" t="s">
        <v>215</v>
      </c>
      <c r="O128" s="1"/>
      <c r="P128" s="1" t="s">
        <v>492</v>
      </c>
      <c r="Q128" s="1" t="s">
        <v>493</v>
      </c>
      <c r="R128" s="1" t="s">
        <v>216</v>
      </c>
      <c r="S128" s="1" t="s">
        <v>218</v>
      </c>
      <c r="T128" s="11">
        <v>46163.440972222219</v>
      </c>
      <c r="U128" s="1" t="s">
        <v>218</v>
      </c>
      <c r="V128" s="11">
        <v>46179.722222222219</v>
      </c>
    </row>
    <row r="129" spans="1:22" x14ac:dyDescent="0.3">
      <c r="A129" s="1">
        <v>341071</v>
      </c>
      <c r="B129" s="1">
        <v>268827</v>
      </c>
      <c r="C129" s="1" t="s">
        <v>1188</v>
      </c>
      <c r="D129" s="1" t="s">
        <v>370</v>
      </c>
      <c r="E129" s="1" t="s">
        <v>453</v>
      </c>
      <c r="F129" s="4">
        <v>20811</v>
      </c>
      <c r="G129">
        <v>69</v>
      </c>
      <c r="H129" s="1" t="s">
        <v>212</v>
      </c>
      <c r="I129" s="1" t="s">
        <v>1501</v>
      </c>
      <c r="J129" s="1" t="s">
        <v>1501</v>
      </c>
      <c r="K129" s="1">
        <v>8728</v>
      </c>
      <c r="L129" s="1" t="s">
        <v>214</v>
      </c>
      <c r="M129" s="1" t="s">
        <v>1196</v>
      </c>
      <c r="N129" s="1" t="s">
        <v>215</v>
      </c>
      <c r="O129" s="1"/>
      <c r="P129" s="1" t="s">
        <v>212</v>
      </c>
      <c r="Q129" s="1"/>
      <c r="R129" s="1" t="s">
        <v>216</v>
      </c>
      <c r="S129" s="1" t="s">
        <v>218</v>
      </c>
      <c r="T129" s="11">
        <v>46164.579861111109</v>
      </c>
      <c r="U129" s="1" t="s">
        <v>218</v>
      </c>
      <c r="V129" s="11">
        <v>46175.253472222219</v>
      </c>
    </row>
    <row r="130" spans="1:22" x14ac:dyDescent="0.3">
      <c r="A130" s="1">
        <v>663772</v>
      </c>
      <c r="B130" s="1">
        <v>268827</v>
      </c>
      <c r="C130" s="1" t="s">
        <v>1189</v>
      </c>
      <c r="D130" s="1" t="s">
        <v>495</v>
      </c>
      <c r="E130" s="1" t="s">
        <v>453</v>
      </c>
      <c r="F130" s="4">
        <v>23850</v>
      </c>
      <c r="G130">
        <v>60</v>
      </c>
      <c r="H130" s="1" t="s">
        <v>212</v>
      </c>
      <c r="I130" s="1" t="s">
        <v>1501</v>
      </c>
      <c r="J130" s="1" t="s">
        <v>1501</v>
      </c>
      <c r="K130" s="1">
        <v>8728</v>
      </c>
      <c r="L130" s="1" t="s">
        <v>214</v>
      </c>
      <c r="M130" s="1" t="s">
        <v>1196</v>
      </c>
      <c r="N130" s="1" t="s">
        <v>215</v>
      </c>
      <c r="O130" s="1"/>
      <c r="P130" s="1" t="s">
        <v>212</v>
      </c>
      <c r="Q130" s="1"/>
      <c r="R130" s="1" t="s">
        <v>216</v>
      </c>
      <c r="S130" s="1" t="s">
        <v>218</v>
      </c>
      <c r="T130" s="11">
        <v>46164.579861111109</v>
      </c>
      <c r="U130" s="1" t="s">
        <v>218</v>
      </c>
      <c r="V130" s="11">
        <v>46175.253472222219</v>
      </c>
    </row>
    <row r="131" spans="1:22" x14ac:dyDescent="0.3">
      <c r="A131" s="1">
        <v>666589</v>
      </c>
      <c r="B131" s="1">
        <v>268827</v>
      </c>
      <c r="C131" s="1" t="s">
        <v>1188</v>
      </c>
      <c r="D131" s="1" t="s">
        <v>496</v>
      </c>
      <c r="E131" s="1" t="s">
        <v>453</v>
      </c>
      <c r="F131" s="4">
        <v>36467</v>
      </c>
      <c r="G131">
        <v>26</v>
      </c>
      <c r="H131" s="1" t="s">
        <v>212</v>
      </c>
      <c r="I131" s="1" t="s">
        <v>1501</v>
      </c>
      <c r="J131" s="1" t="s">
        <v>1501</v>
      </c>
      <c r="K131" s="1">
        <v>8728</v>
      </c>
      <c r="L131" s="1" t="s">
        <v>214</v>
      </c>
      <c r="M131" s="1" t="s">
        <v>1196</v>
      </c>
      <c r="N131" s="1" t="s">
        <v>215</v>
      </c>
      <c r="O131" s="1"/>
      <c r="P131" s="1" t="s">
        <v>212</v>
      </c>
      <c r="Q131" s="1"/>
      <c r="R131" s="1" t="s">
        <v>216</v>
      </c>
      <c r="S131" s="1" t="s">
        <v>218</v>
      </c>
      <c r="T131" s="11">
        <v>46164.579861111109</v>
      </c>
      <c r="U131" s="1" t="s">
        <v>218</v>
      </c>
      <c r="V131" s="11">
        <v>46175.253472222219</v>
      </c>
    </row>
    <row r="132" spans="1:22" x14ac:dyDescent="0.3">
      <c r="A132" s="1">
        <v>288573</v>
      </c>
      <c r="B132" s="1">
        <v>222994</v>
      </c>
      <c r="C132" s="1" t="s">
        <v>1188</v>
      </c>
      <c r="D132" s="1" t="s">
        <v>497</v>
      </c>
      <c r="E132" s="1" t="s">
        <v>498</v>
      </c>
      <c r="F132" s="4">
        <v>22717</v>
      </c>
      <c r="G132">
        <v>63</v>
      </c>
      <c r="H132" s="1" t="s">
        <v>212</v>
      </c>
      <c r="I132" s="1" t="s">
        <v>1501</v>
      </c>
      <c r="J132" s="1" t="s">
        <v>1501</v>
      </c>
      <c r="K132" s="1">
        <v>8672</v>
      </c>
      <c r="L132" s="1" t="s">
        <v>261</v>
      </c>
      <c r="M132" s="1" t="s">
        <v>499</v>
      </c>
      <c r="N132" s="1" t="s">
        <v>215</v>
      </c>
      <c r="O132" s="1"/>
      <c r="P132" s="1" t="s">
        <v>500</v>
      </c>
      <c r="Q132" s="1" t="s">
        <v>501</v>
      </c>
      <c r="R132" s="1" t="s">
        <v>216</v>
      </c>
      <c r="S132" s="1" t="s">
        <v>218</v>
      </c>
      <c r="T132" s="11">
        <v>46163.888888888891</v>
      </c>
      <c r="U132" s="1" t="s">
        <v>218</v>
      </c>
      <c r="V132" s="11">
        <v>46173.291666666664</v>
      </c>
    </row>
    <row r="133" spans="1:22" x14ac:dyDescent="0.3">
      <c r="A133" s="1">
        <v>720552</v>
      </c>
      <c r="B133" s="1">
        <v>584306</v>
      </c>
      <c r="C133" s="1" t="s">
        <v>1188</v>
      </c>
      <c r="D133" s="1" t="s">
        <v>502</v>
      </c>
      <c r="E133" s="1" t="s">
        <v>503</v>
      </c>
      <c r="F133" s="4">
        <v>25159</v>
      </c>
      <c r="G133">
        <v>57</v>
      </c>
      <c r="H133" s="1" t="s">
        <v>212</v>
      </c>
      <c r="I133" s="1" t="s">
        <v>1502</v>
      </c>
      <c r="J133" s="1" t="s">
        <v>1502</v>
      </c>
      <c r="K133" s="1">
        <v>8531</v>
      </c>
      <c r="L133" s="1" t="s">
        <v>261</v>
      </c>
      <c r="M133" s="1" t="s">
        <v>504</v>
      </c>
      <c r="N133" s="1" t="s">
        <v>215</v>
      </c>
      <c r="O133" s="1"/>
      <c r="P133" s="1" t="s">
        <v>505</v>
      </c>
      <c r="Q133" s="1" t="s">
        <v>506</v>
      </c>
      <c r="R133" s="1" t="s">
        <v>216</v>
      </c>
      <c r="S133" s="1" t="s">
        <v>218</v>
      </c>
      <c r="T133" s="11">
        <v>46163.388888888891</v>
      </c>
      <c r="U133" s="1" t="s">
        <v>218</v>
      </c>
      <c r="V133" s="11">
        <v>46179.732638888891</v>
      </c>
    </row>
    <row r="134" spans="1:22" x14ac:dyDescent="0.3">
      <c r="A134" s="1">
        <v>721940</v>
      </c>
      <c r="B134" s="1">
        <v>584306</v>
      </c>
      <c r="C134" s="1" t="s">
        <v>1189</v>
      </c>
      <c r="D134" s="1" t="s">
        <v>507</v>
      </c>
      <c r="E134" s="1" t="s">
        <v>508</v>
      </c>
      <c r="F134" s="4">
        <v>26006</v>
      </c>
      <c r="G134">
        <v>54</v>
      </c>
      <c r="H134" s="1" t="s">
        <v>212</v>
      </c>
      <c r="I134" s="1" t="s">
        <v>1502</v>
      </c>
      <c r="J134" s="1" t="s">
        <v>1502</v>
      </c>
      <c r="K134" s="1">
        <v>8531</v>
      </c>
      <c r="L134" s="1" t="s">
        <v>261</v>
      </c>
      <c r="M134" s="1" t="s">
        <v>504</v>
      </c>
      <c r="N134" s="1" t="s">
        <v>215</v>
      </c>
      <c r="O134" s="1"/>
      <c r="P134" s="1" t="s">
        <v>505</v>
      </c>
      <c r="Q134" s="1" t="s">
        <v>506</v>
      </c>
      <c r="R134" s="1" t="s">
        <v>216</v>
      </c>
      <c r="S134" s="1" t="s">
        <v>218</v>
      </c>
      <c r="T134" s="11">
        <v>46163.388888888891</v>
      </c>
      <c r="U134" s="1" t="s">
        <v>218</v>
      </c>
      <c r="V134" s="11">
        <v>46179.732638888891</v>
      </c>
    </row>
    <row r="135" spans="1:22" x14ac:dyDescent="0.3">
      <c r="A135" s="1">
        <v>835875</v>
      </c>
      <c r="B135" s="1">
        <v>584306</v>
      </c>
      <c r="C135" s="1" t="s">
        <v>1189</v>
      </c>
      <c r="D135" s="1" t="s">
        <v>509</v>
      </c>
      <c r="E135" s="1" t="s">
        <v>503</v>
      </c>
      <c r="F135" s="4">
        <v>38422</v>
      </c>
      <c r="G135">
        <v>20</v>
      </c>
      <c r="H135" s="1" t="s">
        <v>212</v>
      </c>
      <c r="I135" s="1" t="s">
        <v>1502</v>
      </c>
      <c r="J135" s="1" t="s">
        <v>1502</v>
      </c>
      <c r="K135" s="1">
        <v>8531</v>
      </c>
      <c r="L135" s="1" t="s">
        <v>261</v>
      </c>
      <c r="M135" s="1" t="s">
        <v>504</v>
      </c>
      <c r="N135" s="1" t="s">
        <v>215</v>
      </c>
      <c r="O135" s="1"/>
      <c r="P135" s="1" t="s">
        <v>505</v>
      </c>
      <c r="Q135" s="1" t="s">
        <v>506</v>
      </c>
      <c r="R135" s="1" t="s">
        <v>216</v>
      </c>
      <c r="S135" s="1" t="s">
        <v>218</v>
      </c>
      <c r="T135" s="11">
        <v>46163.388888888891</v>
      </c>
      <c r="U135" s="1" t="s">
        <v>218</v>
      </c>
      <c r="V135" s="11">
        <v>46179.732638888891</v>
      </c>
    </row>
    <row r="136" spans="1:22" x14ac:dyDescent="0.3">
      <c r="A136" s="1">
        <v>726109</v>
      </c>
      <c r="B136" s="1">
        <v>588347</v>
      </c>
      <c r="C136" s="1" t="s">
        <v>1188</v>
      </c>
      <c r="D136" s="1" t="s">
        <v>510</v>
      </c>
      <c r="E136" s="1" t="s">
        <v>511</v>
      </c>
      <c r="F136" s="4">
        <v>33934</v>
      </c>
      <c r="G136">
        <v>33</v>
      </c>
      <c r="H136" s="1" t="s">
        <v>212</v>
      </c>
      <c r="I136" s="1" t="s">
        <v>1501</v>
      </c>
      <c r="J136" s="1" t="s">
        <v>1501</v>
      </c>
      <c r="K136" s="1">
        <v>8540</v>
      </c>
      <c r="L136" s="1" t="s">
        <v>261</v>
      </c>
      <c r="M136" s="1" t="s">
        <v>512</v>
      </c>
      <c r="N136" s="1" t="s">
        <v>215</v>
      </c>
      <c r="O136" s="1"/>
      <c r="P136" s="1" t="s">
        <v>513</v>
      </c>
      <c r="Q136" s="1" t="s">
        <v>514</v>
      </c>
      <c r="R136" s="1" t="s">
        <v>216</v>
      </c>
      <c r="S136" s="1" t="s">
        <v>217</v>
      </c>
      <c r="T136" s="11">
        <v>46163.163194444445</v>
      </c>
      <c r="U136" s="1" t="s">
        <v>218</v>
      </c>
      <c r="V136" s="11">
        <v>46173.131944444445</v>
      </c>
    </row>
    <row r="137" spans="1:22" x14ac:dyDescent="0.3">
      <c r="A137" s="1">
        <v>726343</v>
      </c>
      <c r="B137" s="1">
        <v>588347</v>
      </c>
      <c r="C137" s="1" t="s">
        <v>1189</v>
      </c>
      <c r="D137" s="1" t="s">
        <v>515</v>
      </c>
      <c r="E137" s="1" t="s">
        <v>516</v>
      </c>
      <c r="F137" s="4">
        <v>34824</v>
      </c>
      <c r="G137">
        <v>30</v>
      </c>
      <c r="H137" s="1" t="s">
        <v>212</v>
      </c>
      <c r="I137" s="1" t="s">
        <v>1501</v>
      </c>
      <c r="J137" s="1" t="s">
        <v>1501</v>
      </c>
      <c r="K137" s="1">
        <v>8540</v>
      </c>
      <c r="L137" s="1" t="s">
        <v>261</v>
      </c>
      <c r="M137" s="1" t="s">
        <v>512</v>
      </c>
      <c r="N137" s="1" t="s">
        <v>215</v>
      </c>
      <c r="O137" s="1"/>
      <c r="P137" s="1" t="s">
        <v>513</v>
      </c>
      <c r="Q137" s="1" t="s">
        <v>514</v>
      </c>
      <c r="R137" s="1" t="s">
        <v>216</v>
      </c>
      <c r="S137" s="1" t="s">
        <v>217</v>
      </c>
      <c r="T137" s="11">
        <v>46163.163194444445</v>
      </c>
      <c r="U137" s="1" t="s">
        <v>218</v>
      </c>
      <c r="V137" s="11">
        <v>46173.131944444445</v>
      </c>
    </row>
    <row r="138" spans="1:22" x14ac:dyDescent="0.3">
      <c r="A138" s="1">
        <v>715161</v>
      </c>
      <c r="B138" s="1">
        <v>580252</v>
      </c>
      <c r="C138" s="1" t="s">
        <v>1188</v>
      </c>
      <c r="D138" s="1" t="s">
        <v>517</v>
      </c>
      <c r="E138" s="1" t="s">
        <v>518</v>
      </c>
      <c r="F138" s="4">
        <v>23673</v>
      </c>
      <c r="G138">
        <v>61</v>
      </c>
      <c r="H138" s="1" t="s">
        <v>212</v>
      </c>
      <c r="I138" s="1" t="s">
        <v>1501</v>
      </c>
      <c r="J138" s="1" t="s">
        <v>1501</v>
      </c>
      <c r="K138" s="1">
        <v>8728</v>
      </c>
      <c r="L138" s="1" t="s">
        <v>214</v>
      </c>
      <c r="M138" s="1" t="s">
        <v>1191</v>
      </c>
      <c r="N138" s="1" t="s">
        <v>215</v>
      </c>
      <c r="O138" s="1"/>
      <c r="P138" s="1" t="s">
        <v>212</v>
      </c>
      <c r="Q138" s="1"/>
      <c r="R138" s="1" t="s">
        <v>216</v>
      </c>
      <c r="S138" s="1" t="s">
        <v>218</v>
      </c>
      <c r="T138" s="11">
        <v>46163.236111111109</v>
      </c>
      <c r="U138" s="1" t="s">
        <v>218</v>
      </c>
      <c r="V138" s="11">
        <v>46175.930555555555</v>
      </c>
    </row>
    <row r="139" spans="1:22" x14ac:dyDescent="0.3">
      <c r="A139" s="1">
        <v>716055</v>
      </c>
      <c r="B139" s="1">
        <v>580252</v>
      </c>
      <c r="C139" s="1" t="s">
        <v>1189</v>
      </c>
      <c r="D139" s="1" t="s">
        <v>519</v>
      </c>
      <c r="E139" s="1" t="s">
        <v>518</v>
      </c>
      <c r="F139" s="4">
        <v>27227</v>
      </c>
      <c r="G139">
        <v>51</v>
      </c>
      <c r="H139" s="1" t="s">
        <v>212</v>
      </c>
      <c r="I139" s="1" t="s">
        <v>1501</v>
      </c>
      <c r="J139" s="1" t="s">
        <v>1501</v>
      </c>
      <c r="K139" s="1">
        <v>8728</v>
      </c>
      <c r="L139" s="1" t="s">
        <v>214</v>
      </c>
      <c r="M139" s="1" t="s">
        <v>1191</v>
      </c>
      <c r="N139" s="1" t="s">
        <v>215</v>
      </c>
      <c r="O139" s="1"/>
      <c r="P139" s="1" t="s">
        <v>212</v>
      </c>
      <c r="Q139" s="1"/>
      <c r="R139" s="1" t="s">
        <v>216</v>
      </c>
      <c r="S139" s="1" t="s">
        <v>218</v>
      </c>
      <c r="T139" s="11">
        <v>46163.236111111109</v>
      </c>
      <c r="U139" s="1" t="s">
        <v>218</v>
      </c>
      <c r="V139" s="11">
        <v>46175.930555555555</v>
      </c>
    </row>
    <row r="140" spans="1:22" x14ac:dyDescent="0.3">
      <c r="A140" s="1">
        <v>454528</v>
      </c>
      <c r="B140" s="1">
        <v>356008</v>
      </c>
      <c r="C140" s="1" t="s">
        <v>1188</v>
      </c>
      <c r="D140" s="1" t="s">
        <v>349</v>
      </c>
      <c r="E140" s="1" t="s">
        <v>520</v>
      </c>
      <c r="F140" s="4">
        <v>30683</v>
      </c>
      <c r="G140">
        <v>42</v>
      </c>
      <c r="H140" s="1" t="s">
        <v>212</v>
      </c>
      <c r="I140" s="1" t="s">
        <v>1501</v>
      </c>
      <c r="J140" s="1" t="s">
        <v>1501</v>
      </c>
      <c r="K140" s="1">
        <v>8530</v>
      </c>
      <c r="L140" s="1" t="s">
        <v>214</v>
      </c>
      <c r="M140" s="1" t="s">
        <v>1193</v>
      </c>
      <c r="N140" s="1" t="s">
        <v>215</v>
      </c>
      <c r="O140" s="1"/>
      <c r="P140" s="1" t="s">
        <v>212</v>
      </c>
      <c r="Q140" s="1"/>
      <c r="R140" s="1" t="s">
        <v>216</v>
      </c>
      <c r="S140" s="1" t="s">
        <v>218</v>
      </c>
      <c r="T140" s="11">
        <v>46160.739583333336</v>
      </c>
      <c r="U140" s="1" t="s">
        <v>218</v>
      </c>
      <c r="V140" s="11">
        <v>46172.350694444445</v>
      </c>
    </row>
    <row r="141" spans="1:22" x14ac:dyDescent="0.3">
      <c r="A141" s="1">
        <v>454596</v>
      </c>
      <c r="B141" s="1">
        <v>356008</v>
      </c>
      <c r="C141" s="1" t="s">
        <v>1189</v>
      </c>
      <c r="D141" s="1" t="s">
        <v>446</v>
      </c>
      <c r="E141" s="1" t="s">
        <v>229</v>
      </c>
      <c r="F141" s="4">
        <v>30764</v>
      </c>
      <c r="G141">
        <v>41</v>
      </c>
      <c r="H141" s="1" t="s">
        <v>212</v>
      </c>
      <c r="I141" s="1" t="s">
        <v>1501</v>
      </c>
      <c r="J141" s="1" t="s">
        <v>1501</v>
      </c>
      <c r="K141" s="1">
        <v>8530</v>
      </c>
      <c r="L141" s="1" t="s">
        <v>214</v>
      </c>
      <c r="M141" s="1" t="s">
        <v>1193</v>
      </c>
      <c r="N141" s="1" t="s">
        <v>215</v>
      </c>
      <c r="O141" s="1"/>
      <c r="P141" s="1" t="s">
        <v>212</v>
      </c>
      <c r="Q141" s="1"/>
      <c r="R141" s="1" t="s">
        <v>216</v>
      </c>
      <c r="S141" s="1" t="s">
        <v>218</v>
      </c>
      <c r="T141" s="11">
        <v>46160.739583333336</v>
      </c>
      <c r="U141" s="1" t="s">
        <v>218</v>
      </c>
      <c r="V141" s="11">
        <v>46172.350694444445</v>
      </c>
    </row>
    <row r="142" spans="1:22" x14ac:dyDescent="0.3">
      <c r="A142" s="1">
        <v>704176</v>
      </c>
      <c r="B142" s="1">
        <v>571857</v>
      </c>
      <c r="C142" s="1" t="s">
        <v>1189</v>
      </c>
      <c r="D142" s="1" t="s">
        <v>281</v>
      </c>
      <c r="E142" s="1" t="s">
        <v>521</v>
      </c>
      <c r="F142" s="4">
        <v>26713</v>
      </c>
      <c r="G142">
        <v>53</v>
      </c>
      <c r="H142" s="1" t="s">
        <v>212</v>
      </c>
      <c r="I142" s="1" t="s">
        <v>1502</v>
      </c>
      <c r="J142" s="1" t="s">
        <v>1502</v>
      </c>
      <c r="K142" s="1">
        <v>8530</v>
      </c>
      <c r="L142" s="1" t="s">
        <v>214</v>
      </c>
      <c r="M142" s="1" t="s">
        <v>1209</v>
      </c>
      <c r="N142" s="1" t="s">
        <v>215</v>
      </c>
      <c r="O142" s="1"/>
      <c r="P142" s="1" t="s">
        <v>212</v>
      </c>
      <c r="Q142" s="1"/>
      <c r="R142" s="1" t="s">
        <v>216</v>
      </c>
      <c r="S142" s="1" t="s">
        <v>218</v>
      </c>
      <c r="T142" s="11">
        <v>46160.739583333336</v>
      </c>
      <c r="U142" s="1" t="s">
        <v>218</v>
      </c>
      <c r="V142" s="11">
        <v>46172.385416666664</v>
      </c>
    </row>
    <row r="143" spans="1:22" x14ac:dyDescent="0.3">
      <c r="A143" s="1">
        <v>705685</v>
      </c>
      <c r="B143" s="1">
        <v>571857</v>
      </c>
      <c r="C143" s="1" t="s">
        <v>1188</v>
      </c>
      <c r="D143" s="1" t="s">
        <v>522</v>
      </c>
      <c r="E143" s="1" t="s">
        <v>521</v>
      </c>
      <c r="F143" s="4">
        <v>25740</v>
      </c>
      <c r="G143">
        <v>55</v>
      </c>
      <c r="H143" s="1" t="s">
        <v>212</v>
      </c>
      <c r="I143" s="1" t="s">
        <v>1502</v>
      </c>
      <c r="J143" s="1" t="s">
        <v>1502</v>
      </c>
      <c r="K143" s="1">
        <v>8530</v>
      </c>
      <c r="L143" s="1" t="s">
        <v>214</v>
      </c>
      <c r="M143" s="1" t="s">
        <v>1209</v>
      </c>
      <c r="N143" s="1" t="s">
        <v>215</v>
      </c>
      <c r="O143" s="1"/>
      <c r="P143" s="1" t="s">
        <v>212</v>
      </c>
      <c r="Q143" s="1"/>
      <c r="R143" s="1" t="s">
        <v>216</v>
      </c>
      <c r="S143" s="1" t="s">
        <v>218</v>
      </c>
      <c r="T143" s="11">
        <v>46160.739583333336</v>
      </c>
      <c r="U143" s="1" t="s">
        <v>218</v>
      </c>
      <c r="V143" s="11">
        <v>46172.385416666664</v>
      </c>
    </row>
    <row r="144" spans="1:22" x14ac:dyDescent="0.3">
      <c r="A144" s="1">
        <v>93892</v>
      </c>
      <c r="B144" s="1">
        <v>75167</v>
      </c>
      <c r="C144" s="1" t="s">
        <v>1189</v>
      </c>
      <c r="D144" s="1" t="s">
        <v>523</v>
      </c>
      <c r="E144" s="1" t="s">
        <v>524</v>
      </c>
      <c r="F144" s="4">
        <v>30355</v>
      </c>
      <c r="G144">
        <v>43</v>
      </c>
      <c r="H144" s="1" t="s">
        <v>212</v>
      </c>
      <c r="I144" s="1" t="s">
        <v>1501</v>
      </c>
      <c r="J144" s="1" t="s">
        <v>1514</v>
      </c>
      <c r="K144" s="1">
        <v>8525</v>
      </c>
      <c r="L144" s="1" t="s">
        <v>214</v>
      </c>
      <c r="M144" s="1" t="s">
        <v>1190</v>
      </c>
      <c r="N144" s="1" t="s">
        <v>215</v>
      </c>
      <c r="O144" s="1" t="b">
        <v>1</v>
      </c>
      <c r="P144" s="1" t="s">
        <v>212</v>
      </c>
      <c r="Q144" s="1"/>
      <c r="R144" s="1" t="s">
        <v>216</v>
      </c>
      <c r="S144" s="1" t="s">
        <v>218</v>
      </c>
      <c r="T144" s="11">
        <v>46160.392361111109</v>
      </c>
      <c r="U144" s="1" t="s">
        <v>218</v>
      </c>
      <c r="V144" s="11">
        <v>46173.128472222219</v>
      </c>
    </row>
    <row r="145" spans="1:22" x14ac:dyDescent="0.3">
      <c r="A145" s="1">
        <v>165900</v>
      </c>
      <c r="B145" s="1">
        <v>126985</v>
      </c>
      <c r="C145" s="1" t="s">
        <v>1189</v>
      </c>
      <c r="D145" s="1" t="s">
        <v>526</v>
      </c>
      <c r="E145" s="1" t="s">
        <v>527</v>
      </c>
      <c r="F145" s="4">
        <v>25448</v>
      </c>
      <c r="G145">
        <v>56</v>
      </c>
      <c r="H145" s="1" t="s">
        <v>212</v>
      </c>
      <c r="I145" s="1" t="s">
        <v>1501</v>
      </c>
      <c r="J145" s="1" t="s">
        <v>1501</v>
      </c>
      <c r="K145" s="1">
        <v>8531</v>
      </c>
      <c r="L145" s="1" t="s">
        <v>214</v>
      </c>
      <c r="M145" s="1" t="s">
        <v>1201</v>
      </c>
      <c r="N145" s="1" t="s">
        <v>215</v>
      </c>
      <c r="O145" s="1"/>
      <c r="P145" s="1" t="s">
        <v>212</v>
      </c>
      <c r="Q145" s="1"/>
      <c r="R145" s="1" t="s">
        <v>216</v>
      </c>
      <c r="S145" s="1" t="s">
        <v>217</v>
      </c>
      <c r="T145" s="11">
        <v>46164.930555555555</v>
      </c>
      <c r="U145" s="1" t="s">
        <v>218</v>
      </c>
      <c r="V145" s="11">
        <v>46177.149305555555</v>
      </c>
    </row>
    <row r="146" spans="1:22" x14ac:dyDescent="0.3">
      <c r="A146" s="1">
        <v>608955</v>
      </c>
      <c r="B146" s="1">
        <v>491067</v>
      </c>
      <c r="C146" s="1" t="s">
        <v>1189</v>
      </c>
      <c r="D146" s="1" t="s">
        <v>528</v>
      </c>
      <c r="E146" s="1" t="s">
        <v>229</v>
      </c>
      <c r="F146" s="4">
        <v>24522</v>
      </c>
      <c r="G146">
        <v>59</v>
      </c>
      <c r="H146" s="1" t="s">
        <v>212</v>
      </c>
      <c r="I146" s="1" t="s">
        <v>1501</v>
      </c>
      <c r="J146" s="1" t="s">
        <v>1501</v>
      </c>
      <c r="K146" s="1">
        <v>8535</v>
      </c>
      <c r="L146" s="1" t="s">
        <v>214</v>
      </c>
      <c r="M146" s="1" t="s">
        <v>1196</v>
      </c>
      <c r="N146" s="1" t="s">
        <v>215</v>
      </c>
      <c r="O146" s="1"/>
      <c r="P146" s="1" t="s">
        <v>212</v>
      </c>
      <c r="Q146" s="1"/>
      <c r="R146" s="1" t="s">
        <v>216</v>
      </c>
      <c r="S146" s="1" t="s">
        <v>218</v>
      </c>
      <c r="T146" s="11">
        <v>46164.579861111109</v>
      </c>
      <c r="U146" s="1" t="s">
        <v>218</v>
      </c>
      <c r="V146" s="11">
        <v>46175.253472222219</v>
      </c>
    </row>
    <row r="147" spans="1:22" x14ac:dyDescent="0.3">
      <c r="A147" s="1">
        <v>51461</v>
      </c>
      <c r="B147" s="1">
        <v>43489</v>
      </c>
      <c r="C147" s="1" t="s">
        <v>1188</v>
      </c>
      <c r="D147" s="1" t="s">
        <v>529</v>
      </c>
      <c r="E147" s="1" t="s">
        <v>530</v>
      </c>
      <c r="F147" s="4">
        <v>31913</v>
      </c>
      <c r="G147">
        <v>38</v>
      </c>
      <c r="H147" s="1" t="s">
        <v>212</v>
      </c>
      <c r="I147" s="1" t="s">
        <v>1507</v>
      </c>
      <c r="J147" s="1" t="s">
        <v>1507</v>
      </c>
      <c r="K147" s="1">
        <v>8529</v>
      </c>
      <c r="L147" s="1" t="s">
        <v>261</v>
      </c>
      <c r="M147" s="1" t="s">
        <v>532</v>
      </c>
      <c r="N147" s="1" t="s">
        <v>215</v>
      </c>
      <c r="O147" s="1"/>
      <c r="P147" s="1" t="s">
        <v>533</v>
      </c>
      <c r="Q147" s="1" t="s">
        <v>534</v>
      </c>
      <c r="R147" s="1" t="s">
        <v>216</v>
      </c>
      <c r="S147" s="1" t="s">
        <v>218</v>
      </c>
      <c r="T147" s="11">
        <v>46160.673611111109</v>
      </c>
      <c r="U147" s="1" t="s">
        <v>218</v>
      </c>
      <c r="V147" s="11">
        <v>46173.381944444445</v>
      </c>
    </row>
    <row r="148" spans="1:22" x14ac:dyDescent="0.3">
      <c r="A148" s="1">
        <v>670648</v>
      </c>
      <c r="B148" s="1">
        <v>545229</v>
      </c>
      <c r="C148" s="1" t="s">
        <v>1188</v>
      </c>
      <c r="D148" s="1" t="s">
        <v>535</v>
      </c>
      <c r="E148" s="1" t="s">
        <v>536</v>
      </c>
      <c r="F148" s="4">
        <v>31535</v>
      </c>
      <c r="G148">
        <v>39</v>
      </c>
      <c r="H148" s="1" t="s">
        <v>212</v>
      </c>
      <c r="I148" s="1" t="s">
        <v>1501</v>
      </c>
      <c r="J148" s="1" t="s">
        <v>1501</v>
      </c>
      <c r="K148" s="1">
        <v>8538</v>
      </c>
      <c r="L148" s="1" t="s">
        <v>261</v>
      </c>
      <c r="M148" s="1" t="s">
        <v>537</v>
      </c>
      <c r="N148" s="1" t="s">
        <v>215</v>
      </c>
      <c r="O148" s="1"/>
      <c r="P148" s="1" t="s">
        <v>538</v>
      </c>
      <c r="Q148" s="1" t="s">
        <v>539</v>
      </c>
      <c r="R148" s="1" t="s">
        <v>216</v>
      </c>
      <c r="S148" s="1" t="s">
        <v>218</v>
      </c>
      <c r="T148" s="11">
        <v>46163.809027777781</v>
      </c>
      <c r="U148" s="1" t="s">
        <v>217</v>
      </c>
      <c r="V148" s="11">
        <v>46175.9375</v>
      </c>
    </row>
    <row r="149" spans="1:22" x14ac:dyDescent="0.3">
      <c r="A149" s="1">
        <v>868390</v>
      </c>
      <c r="B149" s="1">
        <v>545229</v>
      </c>
      <c r="C149" s="1" t="s">
        <v>1189</v>
      </c>
      <c r="D149" s="1" t="s">
        <v>540</v>
      </c>
      <c r="E149" s="1" t="s">
        <v>541</v>
      </c>
      <c r="F149" s="4">
        <v>34235</v>
      </c>
      <c r="G149">
        <v>32</v>
      </c>
      <c r="H149" s="1" t="s">
        <v>212</v>
      </c>
      <c r="I149" s="1" t="s">
        <v>1501</v>
      </c>
      <c r="J149" s="1" t="s">
        <v>1501</v>
      </c>
      <c r="K149" s="1">
        <v>8538</v>
      </c>
      <c r="L149" s="1" t="s">
        <v>261</v>
      </c>
      <c r="M149" s="1" t="s">
        <v>537</v>
      </c>
      <c r="N149" s="1" t="s">
        <v>215</v>
      </c>
      <c r="O149" s="1"/>
      <c r="P149" s="1" t="s">
        <v>538</v>
      </c>
      <c r="Q149" s="1" t="s">
        <v>539</v>
      </c>
      <c r="R149" s="1" t="s">
        <v>216</v>
      </c>
      <c r="S149" s="1" t="s">
        <v>218</v>
      </c>
      <c r="T149" s="11">
        <v>46163.809027777781</v>
      </c>
      <c r="U149" s="1" t="s">
        <v>217</v>
      </c>
      <c r="V149" s="11">
        <v>46175.9375</v>
      </c>
    </row>
    <row r="150" spans="1:22" x14ac:dyDescent="0.3">
      <c r="A150" s="1">
        <v>24287</v>
      </c>
      <c r="B150" s="1">
        <v>21992</v>
      </c>
      <c r="C150" s="1" t="s">
        <v>1188</v>
      </c>
      <c r="D150" s="1" t="s">
        <v>300</v>
      </c>
      <c r="E150" s="1" t="s">
        <v>542</v>
      </c>
      <c r="F150" s="4">
        <v>22427</v>
      </c>
      <c r="G150">
        <v>64</v>
      </c>
      <c r="H150" s="1" t="s">
        <v>212</v>
      </c>
      <c r="I150" s="1" t="s">
        <v>1501</v>
      </c>
      <c r="J150" s="1" t="s">
        <v>1501</v>
      </c>
      <c r="K150" s="1">
        <v>8529</v>
      </c>
      <c r="L150" s="1" t="s">
        <v>214</v>
      </c>
      <c r="M150" s="1" t="s">
        <v>1194</v>
      </c>
      <c r="N150" s="1" t="s">
        <v>215</v>
      </c>
      <c r="O150" s="1"/>
      <c r="P150" s="1" t="s">
        <v>212</v>
      </c>
      <c r="Q150" s="1"/>
      <c r="R150" s="1" t="s">
        <v>216</v>
      </c>
      <c r="S150" s="1" t="s">
        <v>218</v>
      </c>
      <c r="T150" s="11">
        <v>46161.878472222219</v>
      </c>
      <c r="U150" s="1" t="s">
        <v>218</v>
      </c>
      <c r="V150" s="11">
        <v>46173.392361111109</v>
      </c>
    </row>
    <row r="151" spans="1:22" x14ac:dyDescent="0.3">
      <c r="A151" s="1">
        <v>24639</v>
      </c>
      <c r="B151" s="1">
        <v>21992</v>
      </c>
      <c r="C151" s="1" t="s">
        <v>1189</v>
      </c>
      <c r="D151" s="1" t="s">
        <v>543</v>
      </c>
      <c r="E151" s="1" t="s">
        <v>544</v>
      </c>
      <c r="F151" s="4">
        <v>22461</v>
      </c>
      <c r="G151">
        <v>64</v>
      </c>
      <c r="H151" s="1" t="s">
        <v>212</v>
      </c>
      <c r="I151" s="1" t="s">
        <v>1501</v>
      </c>
      <c r="J151" s="1" t="s">
        <v>1501</v>
      </c>
      <c r="K151" s="1">
        <v>8529</v>
      </c>
      <c r="L151" s="1" t="s">
        <v>214</v>
      </c>
      <c r="M151" s="1" t="s">
        <v>1194</v>
      </c>
      <c r="N151" s="1" t="s">
        <v>215</v>
      </c>
      <c r="O151" s="1"/>
      <c r="P151" s="1" t="s">
        <v>212</v>
      </c>
      <c r="Q151" s="1"/>
      <c r="R151" s="1" t="s">
        <v>216</v>
      </c>
      <c r="S151" s="1" t="s">
        <v>218</v>
      </c>
      <c r="T151" s="11">
        <v>46161.878472222219</v>
      </c>
      <c r="U151" s="1" t="s">
        <v>218</v>
      </c>
      <c r="V151" s="11">
        <v>46173.392361111109</v>
      </c>
    </row>
    <row r="152" spans="1:22" x14ac:dyDescent="0.3">
      <c r="A152" s="1">
        <v>744826</v>
      </c>
      <c r="B152" s="1">
        <v>603765</v>
      </c>
      <c r="C152" s="1" t="s">
        <v>1189</v>
      </c>
      <c r="D152" s="1" t="s">
        <v>545</v>
      </c>
      <c r="E152" s="1" t="s">
        <v>546</v>
      </c>
      <c r="F152" s="4">
        <v>27270</v>
      </c>
      <c r="G152">
        <v>51</v>
      </c>
      <c r="H152" s="1" t="s">
        <v>212</v>
      </c>
      <c r="I152" s="1" t="s">
        <v>1502</v>
      </c>
      <c r="J152" s="1" t="s">
        <v>1502</v>
      </c>
      <c r="K152" s="1">
        <v>8538</v>
      </c>
      <c r="L152" s="1" t="s">
        <v>261</v>
      </c>
      <c r="M152" s="1" t="s">
        <v>547</v>
      </c>
      <c r="N152" s="1" t="s">
        <v>215</v>
      </c>
      <c r="O152" s="1"/>
      <c r="P152" s="1" t="s">
        <v>548</v>
      </c>
      <c r="Q152" s="1" t="s">
        <v>549</v>
      </c>
      <c r="R152" s="1" t="s">
        <v>216</v>
      </c>
      <c r="S152" s="1" t="s">
        <v>218</v>
      </c>
      <c r="T152" s="11">
        <v>46163.739583333336</v>
      </c>
      <c r="U152" s="1" t="s">
        <v>218</v>
      </c>
      <c r="V152" s="11">
        <v>46175.732638888891</v>
      </c>
    </row>
    <row r="153" spans="1:22" x14ac:dyDescent="0.3">
      <c r="A153" s="1">
        <v>748546</v>
      </c>
      <c r="B153" s="1">
        <v>603765</v>
      </c>
      <c r="C153" s="1" t="s">
        <v>1189</v>
      </c>
      <c r="D153" s="1" t="s">
        <v>550</v>
      </c>
      <c r="E153" s="1" t="s">
        <v>546</v>
      </c>
      <c r="F153" s="4">
        <v>16905</v>
      </c>
      <c r="G153">
        <v>79</v>
      </c>
      <c r="H153" s="1" t="s">
        <v>212</v>
      </c>
      <c r="I153" s="1" t="s">
        <v>1502</v>
      </c>
      <c r="J153" s="1" t="s">
        <v>1502</v>
      </c>
      <c r="K153" s="1">
        <v>8538</v>
      </c>
      <c r="L153" s="1" t="s">
        <v>261</v>
      </c>
      <c r="M153" s="1" t="s">
        <v>547</v>
      </c>
      <c r="N153" s="1" t="s">
        <v>215</v>
      </c>
      <c r="O153" s="1"/>
      <c r="P153" s="1" t="s">
        <v>548</v>
      </c>
      <c r="Q153" s="1" t="s">
        <v>549</v>
      </c>
      <c r="R153" s="1" t="s">
        <v>216</v>
      </c>
      <c r="S153" s="1" t="s">
        <v>218</v>
      </c>
      <c r="T153" s="11">
        <v>46163.739583333336</v>
      </c>
      <c r="U153" s="1" t="s">
        <v>218</v>
      </c>
      <c r="V153" s="11">
        <v>46175.732638888891</v>
      </c>
    </row>
    <row r="154" spans="1:22" x14ac:dyDescent="0.3">
      <c r="A154" s="1">
        <v>43918</v>
      </c>
      <c r="B154" s="1">
        <v>37578</v>
      </c>
      <c r="C154" s="1" t="s">
        <v>1188</v>
      </c>
      <c r="D154" s="1" t="s">
        <v>551</v>
      </c>
      <c r="E154" s="1" t="s">
        <v>552</v>
      </c>
      <c r="F154" s="4">
        <v>22368</v>
      </c>
      <c r="G154">
        <v>64</v>
      </c>
      <c r="H154" s="1" t="s">
        <v>212</v>
      </c>
      <c r="I154" s="1" t="s">
        <v>1501</v>
      </c>
      <c r="J154" s="1" t="s">
        <v>1501</v>
      </c>
      <c r="K154" s="1">
        <v>8530</v>
      </c>
      <c r="L154" s="1" t="s">
        <v>214</v>
      </c>
      <c r="M154" s="1" t="s">
        <v>1193</v>
      </c>
      <c r="N154" s="1" t="s">
        <v>215</v>
      </c>
      <c r="O154" s="1"/>
      <c r="P154" s="1" t="s">
        <v>212</v>
      </c>
      <c r="Q154" s="1"/>
      <c r="R154" s="1" t="s">
        <v>216</v>
      </c>
      <c r="S154" s="1" t="s">
        <v>218</v>
      </c>
      <c r="T154" s="11">
        <v>46160.739583333336</v>
      </c>
      <c r="U154" s="1" t="s">
        <v>218</v>
      </c>
      <c r="V154" s="11">
        <v>46172.350694444445</v>
      </c>
    </row>
    <row r="155" spans="1:22" x14ac:dyDescent="0.3">
      <c r="A155" s="1">
        <v>49654</v>
      </c>
      <c r="B155" s="1">
        <v>42022</v>
      </c>
      <c r="C155" s="1" t="s">
        <v>1188</v>
      </c>
      <c r="D155" s="1" t="s">
        <v>270</v>
      </c>
      <c r="E155" s="1" t="s">
        <v>553</v>
      </c>
      <c r="F155" s="4">
        <v>27023</v>
      </c>
      <c r="G155">
        <v>52</v>
      </c>
      <c r="H155" s="1" t="s">
        <v>212</v>
      </c>
      <c r="I155" s="1" t="s">
        <v>1501</v>
      </c>
      <c r="J155" s="1" t="s">
        <v>1501</v>
      </c>
      <c r="K155" s="1">
        <v>8525</v>
      </c>
      <c r="L155" s="1" t="s">
        <v>214</v>
      </c>
      <c r="M155" s="1" t="s">
        <v>1194</v>
      </c>
      <c r="N155" s="1" t="s">
        <v>215</v>
      </c>
      <c r="O155" s="1"/>
      <c r="P155" s="1" t="s">
        <v>212</v>
      </c>
      <c r="Q155" s="1"/>
      <c r="R155" s="1" t="s">
        <v>216</v>
      </c>
      <c r="S155" s="1" t="s">
        <v>218</v>
      </c>
      <c r="T155" s="11">
        <v>46161.878472222219</v>
      </c>
      <c r="U155" s="1" t="s">
        <v>218</v>
      </c>
      <c r="V155" s="11">
        <v>46173.392361111109</v>
      </c>
    </row>
    <row r="156" spans="1:22" x14ac:dyDescent="0.3">
      <c r="A156" s="1">
        <v>103048</v>
      </c>
      <c r="B156" s="1">
        <v>152192</v>
      </c>
      <c r="C156" s="1" t="s">
        <v>1189</v>
      </c>
      <c r="D156" s="1" t="s">
        <v>554</v>
      </c>
      <c r="E156" s="1" t="s">
        <v>555</v>
      </c>
      <c r="F156" s="4">
        <v>31053</v>
      </c>
      <c r="G156">
        <v>41</v>
      </c>
      <c r="H156" s="1" t="s">
        <v>212</v>
      </c>
      <c r="I156" s="1" t="s">
        <v>1507</v>
      </c>
      <c r="J156" s="1" t="s">
        <v>1516</v>
      </c>
      <c r="K156" s="1">
        <v>8537</v>
      </c>
      <c r="L156" s="1" t="s">
        <v>261</v>
      </c>
      <c r="M156" s="1" t="s">
        <v>557</v>
      </c>
      <c r="N156" s="1" t="s">
        <v>215</v>
      </c>
      <c r="O156" s="1"/>
      <c r="P156" s="1" t="s">
        <v>558</v>
      </c>
      <c r="Q156" s="1" t="s">
        <v>559</v>
      </c>
      <c r="R156" s="1" t="s">
        <v>216</v>
      </c>
      <c r="S156" s="1" t="s">
        <v>218</v>
      </c>
      <c r="T156" s="11">
        <v>46163.944444444445</v>
      </c>
      <c r="U156" s="1" t="s">
        <v>217</v>
      </c>
      <c r="V156" s="11">
        <v>46175.055555555555</v>
      </c>
    </row>
    <row r="157" spans="1:22" x14ac:dyDescent="0.3">
      <c r="A157" s="1">
        <v>197145</v>
      </c>
      <c r="B157" s="1">
        <v>152192</v>
      </c>
      <c r="C157" s="1" t="s">
        <v>1188</v>
      </c>
      <c r="D157" s="1" t="s">
        <v>560</v>
      </c>
      <c r="E157" s="1" t="s">
        <v>561</v>
      </c>
      <c r="F157" s="4">
        <v>25471</v>
      </c>
      <c r="G157">
        <v>56</v>
      </c>
      <c r="H157" s="1" t="s">
        <v>212</v>
      </c>
      <c r="I157" s="1" t="s">
        <v>1507</v>
      </c>
      <c r="J157" s="1" t="s">
        <v>1507</v>
      </c>
      <c r="K157" s="1">
        <v>8537</v>
      </c>
      <c r="L157" s="1" t="s">
        <v>261</v>
      </c>
      <c r="M157" s="1" t="s">
        <v>557</v>
      </c>
      <c r="N157" s="1" t="s">
        <v>215</v>
      </c>
      <c r="O157" s="1"/>
      <c r="P157" s="1" t="s">
        <v>558</v>
      </c>
      <c r="Q157" s="1" t="s">
        <v>559</v>
      </c>
      <c r="R157" s="1" t="s">
        <v>216</v>
      </c>
      <c r="S157" s="1" t="s">
        <v>218</v>
      </c>
      <c r="T157" s="11">
        <v>46163.944444444445</v>
      </c>
      <c r="U157" s="1" t="s">
        <v>217</v>
      </c>
      <c r="V157" s="11">
        <v>46175.055555555555</v>
      </c>
    </row>
    <row r="158" spans="1:22" x14ac:dyDescent="0.3">
      <c r="A158" s="1">
        <v>70686</v>
      </c>
      <c r="B158" s="1">
        <v>58299</v>
      </c>
      <c r="C158" s="1" t="s">
        <v>1189</v>
      </c>
      <c r="D158" s="1" t="s">
        <v>562</v>
      </c>
      <c r="E158" s="1" t="s">
        <v>563</v>
      </c>
      <c r="F158" s="4">
        <v>21906</v>
      </c>
      <c r="G158">
        <v>66</v>
      </c>
      <c r="H158" s="1" t="s">
        <v>212</v>
      </c>
      <c r="I158" s="1" t="s">
        <v>1501</v>
      </c>
      <c r="J158" s="1" t="s">
        <v>1501</v>
      </c>
      <c r="K158" s="1">
        <v>8529</v>
      </c>
      <c r="L158" s="1" t="s">
        <v>214</v>
      </c>
      <c r="M158" s="1" t="s">
        <v>1193</v>
      </c>
      <c r="N158" s="1" t="s">
        <v>215</v>
      </c>
      <c r="O158" s="1"/>
      <c r="P158" s="1" t="s">
        <v>212</v>
      </c>
      <c r="Q158" s="1"/>
      <c r="R158" s="1" t="s">
        <v>216</v>
      </c>
      <c r="S158" s="1" t="s">
        <v>218</v>
      </c>
      <c r="T158" s="11">
        <v>46160.739583333336</v>
      </c>
      <c r="U158" s="1" t="s">
        <v>218</v>
      </c>
      <c r="V158" s="11">
        <v>46172.350694444445</v>
      </c>
    </row>
    <row r="159" spans="1:22" x14ac:dyDescent="0.3">
      <c r="A159" s="1">
        <v>838073</v>
      </c>
      <c r="B159" s="1">
        <v>677576</v>
      </c>
      <c r="C159" s="1" t="s">
        <v>1188</v>
      </c>
      <c r="D159" s="1" t="s">
        <v>564</v>
      </c>
      <c r="E159" s="1" t="s">
        <v>565</v>
      </c>
      <c r="F159" s="4">
        <v>30188</v>
      </c>
      <c r="G159">
        <v>43</v>
      </c>
      <c r="H159" s="1" t="s">
        <v>212</v>
      </c>
      <c r="I159" s="1" t="s">
        <v>1501</v>
      </c>
      <c r="J159" s="1" t="s">
        <v>1501</v>
      </c>
      <c r="K159" s="1">
        <v>8529</v>
      </c>
      <c r="L159" s="1" t="s">
        <v>261</v>
      </c>
      <c r="M159" s="1" t="s">
        <v>566</v>
      </c>
      <c r="N159" s="1" t="s">
        <v>215</v>
      </c>
      <c r="O159" s="1"/>
      <c r="P159" s="1" t="s">
        <v>567</v>
      </c>
      <c r="Q159" s="1" t="s">
        <v>568</v>
      </c>
      <c r="R159" s="1" t="s">
        <v>216</v>
      </c>
      <c r="S159" s="1" t="s">
        <v>217</v>
      </c>
      <c r="T159" s="11">
        <v>46160.579861111109</v>
      </c>
      <c r="U159" s="1" t="s">
        <v>218</v>
      </c>
      <c r="V159" s="11">
        <v>46173.392361111109</v>
      </c>
    </row>
    <row r="160" spans="1:22" x14ac:dyDescent="0.3">
      <c r="A160" s="1">
        <v>838121</v>
      </c>
      <c r="B160" s="1">
        <v>677576</v>
      </c>
      <c r="C160" s="1" t="s">
        <v>1189</v>
      </c>
      <c r="D160" s="1" t="s">
        <v>569</v>
      </c>
      <c r="E160" s="1" t="s">
        <v>565</v>
      </c>
      <c r="F160" s="4">
        <v>30711</v>
      </c>
      <c r="G160">
        <v>42</v>
      </c>
      <c r="H160" s="1" t="s">
        <v>212</v>
      </c>
      <c r="I160" s="1" t="s">
        <v>1501</v>
      </c>
      <c r="J160" s="1" t="s">
        <v>1501</v>
      </c>
      <c r="K160" s="1">
        <v>8529</v>
      </c>
      <c r="L160" s="1" t="s">
        <v>261</v>
      </c>
      <c r="M160" s="1" t="s">
        <v>566</v>
      </c>
      <c r="N160" s="1" t="s">
        <v>215</v>
      </c>
      <c r="O160" s="1"/>
      <c r="P160" s="1" t="s">
        <v>567</v>
      </c>
      <c r="Q160" s="1" t="s">
        <v>568</v>
      </c>
      <c r="R160" s="1" t="s">
        <v>216</v>
      </c>
      <c r="S160" s="1" t="s">
        <v>217</v>
      </c>
      <c r="T160" s="11">
        <v>46160.579861111109</v>
      </c>
      <c r="U160" s="1" t="s">
        <v>218</v>
      </c>
      <c r="V160" s="11">
        <v>46173.392361111109</v>
      </c>
    </row>
    <row r="161" spans="1:22" x14ac:dyDescent="0.3">
      <c r="A161" s="1">
        <v>540096</v>
      </c>
      <c r="B161" s="1">
        <v>427839</v>
      </c>
      <c r="C161" s="1" t="s">
        <v>1189</v>
      </c>
      <c r="D161" s="1" t="s">
        <v>570</v>
      </c>
      <c r="E161" s="1" t="s">
        <v>571</v>
      </c>
      <c r="F161" s="4">
        <v>29060</v>
      </c>
      <c r="G161">
        <v>46</v>
      </c>
      <c r="H161" s="1" t="s">
        <v>212</v>
      </c>
      <c r="I161" s="1" t="s">
        <v>1501</v>
      </c>
      <c r="J161" s="1" t="s">
        <v>1501</v>
      </c>
      <c r="K161" s="1">
        <v>8530</v>
      </c>
      <c r="L161" s="1" t="s">
        <v>214</v>
      </c>
      <c r="M161" s="1" t="s">
        <v>1190</v>
      </c>
      <c r="N161" s="1" t="s">
        <v>215</v>
      </c>
      <c r="O161" s="1"/>
      <c r="P161" s="1" t="s">
        <v>212</v>
      </c>
      <c r="Q161" s="1"/>
      <c r="R161" s="1" t="s">
        <v>216</v>
      </c>
      <c r="S161" s="1" t="s">
        <v>218</v>
      </c>
      <c r="T161" s="11">
        <v>46160.392361111109</v>
      </c>
      <c r="U161" s="1" t="s">
        <v>218</v>
      </c>
      <c r="V161" s="11">
        <v>46173.128472222219</v>
      </c>
    </row>
    <row r="162" spans="1:22" x14ac:dyDescent="0.3">
      <c r="A162" s="1">
        <v>789502</v>
      </c>
      <c r="B162" s="1">
        <v>639299</v>
      </c>
      <c r="C162" s="1" t="s">
        <v>1188</v>
      </c>
      <c r="D162" s="1" t="s">
        <v>572</v>
      </c>
      <c r="E162" s="1" t="s">
        <v>451</v>
      </c>
      <c r="F162" s="4">
        <v>29847</v>
      </c>
      <c r="G162">
        <v>44</v>
      </c>
      <c r="H162" s="1" t="s">
        <v>212</v>
      </c>
      <c r="I162" s="1" t="s">
        <v>1501</v>
      </c>
      <c r="J162" s="1" t="s">
        <v>1501</v>
      </c>
      <c r="K162" s="1">
        <v>8524</v>
      </c>
      <c r="L162" s="1" t="s">
        <v>261</v>
      </c>
      <c r="M162" s="1" t="s">
        <v>573</v>
      </c>
      <c r="N162" s="1" t="s">
        <v>215</v>
      </c>
      <c r="O162" s="1"/>
      <c r="P162" s="1" t="s">
        <v>574</v>
      </c>
      <c r="Q162" s="1" t="s">
        <v>575</v>
      </c>
      <c r="R162" s="1" t="s">
        <v>216</v>
      </c>
      <c r="S162" s="1" t="s">
        <v>218</v>
      </c>
      <c r="T162" s="11">
        <v>46163.135416666664</v>
      </c>
      <c r="U162" s="1" t="s">
        <v>218</v>
      </c>
      <c r="V162" s="11">
        <v>46179.201388888891</v>
      </c>
    </row>
    <row r="163" spans="1:22" x14ac:dyDescent="0.3">
      <c r="A163" s="1">
        <v>789534</v>
      </c>
      <c r="B163" s="1">
        <v>639299</v>
      </c>
      <c r="C163" s="1" t="s">
        <v>1189</v>
      </c>
      <c r="D163" s="1" t="s">
        <v>576</v>
      </c>
      <c r="E163" s="1" t="s">
        <v>577</v>
      </c>
      <c r="F163" s="4">
        <v>30985</v>
      </c>
      <c r="G163">
        <v>41</v>
      </c>
      <c r="H163" s="1" t="s">
        <v>212</v>
      </c>
      <c r="I163" s="1" t="s">
        <v>1501</v>
      </c>
      <c r="J163" s="1" t="s">
        <v>1501</v>
      </c>
      <c r="K163" s="1">
        <v>8524</v>
      </c>
      <c r="L163" s="1" t="s">
        <v>261</v>
      </c>
      <c r="M163" s="1" t="s">
        <v>573</v>
      </c>
      <c r="N163" s="1" t="s">
        <v>215</v>
      </c>
      <c r="O163" s="1"/>
      <c r="P163" s="1" t="s">
        <v>574</v>
      </c>
      <c r="Q163" s="1" t="s">
        <v>575</v>
      </c>
      <c r="R163" s="1" t="s">
        <v>216</v>
      </c>
      <c r="S163" s="1" t="s">
        <v>218</v>
      </c>
      <c r="T163" s="11">
        <v>46163.135416666664</v>
      </c>
      <c r="U163" s="1" t="s">
        <v>218</v>
      </c>
      <c r="V163" s="11">
        <v>46179.201388888891</v>
      </c>
    </row>
    <row r="164" spans="1:22" x14ac:dyDescent="0.3">
      <c r="A164" s="1">
        <v>336076</v>
      </c>
      <c r="B164" s="1">
        <v>265037</v>
      </c>
      <c r="C164" s="1" t="s">
        <v>1188</v>
      </c>
      <c r="D164" s="1" t="s">
        <v>578</v>
      </c>
      <c r="E164" s="1" t="s">
        <v>385</v>
      </c>
      <c r="F164" s="4">
        <v>26674</v>
      </c>
      <c r="G164">
        <v>53</v>
      </c>
      <c r="H164" s="1" t="s">
        <v>212</v>
      </c>
      <c r="I164" s="1" t="s">
        <v>1501</v>
      </c>
      <c r="J164" s="1" t="s">
        <v>1501</v>
      </c>
      <c r="K164" s="1">
        <v>8567</v>
      </c>
      <c r="L164" s="1" t="s">
        <v>214</v>
      </c>
      <c r="M164" s="1" t="s">
        <v>1200</v>
      </c>
      <c r="N164" s="1" t="s">
        <v>215</v>
      </c>
      <c r="O164" s="1"/>
      <c r="P164" s="1" t="s">
        <v>212</v>
      </c>
      <c r="Q164" s="1"/>
      <c r="R164" s="1" t="s">
        <v>216</v>
      </c>
      <c r="S164" s="1" t="s">
        <v>217</v>
      </c>
      <c r="T164" s="11">
        <v>46164.055555555555</v>
      </c>
      <c r="U164" s="1" t="s">
        <v>218</v>
      </c>
      <c r="V164" s="11">
        <v>46177.253472222219</v>
      </c>
    </row>
    <row r="165" spans="1:22" x14ac:dyDescent="0.3">
      <c r="A165" s="1">
        <v>336099</v>
      </c>
      <c r="B165" s="1">
        <v>265037</v>
      </c>
      <c r="C165" s="1" t="s">
        <v>1189</v>
      </c>
      <c r="D165" s="1" t="s">
        <v>579</v>
      </c>
      <c r="E165" s="1" t="s">
        <v>385</v>
      </c>
      <c r="F165" s="4">
        <v>27469</v>
      </c>
      <c r="G165">
        <v>50</v>
      </c>
      <c r="H165" s="1" t="s">
        <v>212</v>
      </c>
      <c r="I165" s="1" t="s">
        <v>1501</v>
      </c>
      <c r="J165" s="1" t="s">
        <v>1501</v>
      </c>
      <c r="K165" s="1">
        <v>8567</v>
      </c>
      <c r="L165" s="1" t="s">
        <v>214</v>
      </c>
      <c r="M165" s="1" t="s">
        <v>1200</v>
      </c>
      <c r="N165" s="1" t="s">
        <v>215</v>
      </c>
      <c r="O165" s="1"/>
      <c r="P165" s="1" t="s">
        <v>212</v>
      </c>
      <c r="Q165" s="1"/>
      <c r="R165" s="1" t="s">
        <v>216</v>
      </c>
      <c r="S165" s="1" t="s">
        <v>217</v>
      </c>
      <c r="T165" s="11">
        <v>46164.055555555555</v>
      </c>
      <c r="U165" s="1" t="s">
        <v>218</v>
      </c>
      <c r="V165" s="11">
        <v>46177.253472222219</v>
      </c>
    </row>
    <row r="166" spans="1:22" x14ac:dyDescent="0.3">
      <c r="A166" s="1">
        <v>343231</v>
      </c>
      <c r="B166" s="1">
        <v>265037</v>
      </c>
      <c r="C166" s="1" t="s">
        <v>1188</v>
      </c>
      <c r="D166" s="1" t="s">
        <v>580</v>
      </c>
      <c r="E166" s="1" t="s">
        <v>581</v>
      </c>
      <c r="F166" s="4">
        <v>26127</v>
      </c>
      <c r="G166">
        <v>54</v>
      </c>
      <c r="H166" s="1" t="s">
        <v>212</v>
      </c>
      <c r="I166" s="1" t="s">
        <v>1501</v>
      </c>
      <c r="J166" s="1" t="s">
        <v>1501</v>
      </c>
      <c r="K166" s="1">
        <v>8567</v>
      </c>
      <c r="L166" s="1" t="s">
        <v>214</v>
      </c>
      <c r="M166" s="1" t="s">
        <v>1200</v>
      </c>
      <c r="N166" s="1" t="s">
        <v>215</v>
      </c>
      <c r="O166" s="1"/>
      <c r="P166" s="1" t="s">
        <v>212</v>
      </c>
      <c r="Q166" s="1"/>
      <c r="R166" s="1" t="s">
        <v>216</v>
      </c>
      <c r="S166" s="1" t="s">
        <v>217</v>
      </c>
      <c r="T166" s="11">
        <v>46164.055555555555</v>
      </c>
      <c r="U166" s="1" t="s">
        <v>218</v>
      </c>
      <c r="V166" s="11">
        <v>46177.253472222219</v>
      </c>
    </row>
    <row r="167" spans="1:22" x14ac:dyDescent="0.3">
      <c r="A167" s="1">
        <v>343239</v>
      </c>
      <c r="B167" s="1">
        <v>265037</v>
      </c>
      <c r="C167" s="1" t="s">
        <v>1189</v>
      </c>
      <c r="D167" s="1" t="s">
        <v>582</v>
      </c>
      <c r="E167" s="1" t="s">
        <v>583</v>
      </c>
      <c r="F167" s="4">
        <v>25671</v>
      </c>
      <c r="G167">
        <v>55</v>
      </c>
      <c r="H167" s="1" t="s">
        <v>212</v>
      </c>
      <c r="I167" s="1" t="s">
        <v>1501</v>
      </c>
      <c r="J167" s="1" t="s">
        <v>1501</v>
      </c>
      <c r="K167" s="1">
        <v>8567</v>
      </c>
      <c r="L167" s="1" t="s">
        <v>214</v>
      </c>
      <c r="M167" s="1" t="s">
        <v>1200</v>
      </c>
      <c r="N167" s="1" t="s">
        <v>215</v>
      </c>
      <c r="O167" s="1"/>
      <c r="P167" s="1" t="s">
        <v>212</v>
      </c>
      <c r="Q167" s="1"/>
      <c r="R167" s="1" t="s">
        <v>216</v>
      </c>
      <c r="S167" s="1" t="s">
        <v>217</v>
      </c>
      <c r="T167" s="11">
        <v>46164.055555555555</v>
      </c>
      <c r="U167" s="1" t="s">
        <v>218</v>
      </c>
      <c r="V167" s="11">
        <v>46177.253472222219</v>
      </c>
    </row>
    <row r="168" spans="1:22" x14ac:dyDescent="0.3">
      <c r="A168" s="1">
        <v>794297</v>
      </c>
      <c r="B168" s="1">
        <v>643085</v>
      </c>
      <c r="C168" s="1" t="s">
        <v>1188</v>
      </c>
      <c r="D168" s="1" t="s">
        <v>321</v>
      </c>
      <c r="E168" s="1" t="s">
        <v>584</v>
      </c>
      <c r="F168" s="4">
        <v>36493</v>
      </c>
      <c r="G168">
        <v>26</v>
      </c>
      <c r="H168" s="1" t="s">
        <v>212</v>
      </c>
      <c r="I168" s="1" t="s">
        <v>1501</v>
      </c>
      <c r="J168" s="1" t="s">
        <v>1501</v>
      </c>
      <c r="K168" s="1">
        <v>8672</v>
      </c>
      <c r="L168" s="1" t="s">
        <v>261</v>
      </c>
      <c r="M168" s="1" t="s">
        <v>585</v>
      </c>
      <c r="N168" s="1" t="s">
        <v>215</v>
      </c>
      <c r="O168" s="1"/>
      <c r="P168" s="1" t="s">
        <v>586</v>
      </c>
      <c r="Q168" s="1" t="s">
        <v>587</v>
      </c>
      <c r="R168" s="1" t="s">
        <v>216</v>
      </c>
      <c r="S168" s="1" t="s">
        <v>218</v>
      </c>
      <c r="T168" s="11">
        <v>46163.677083333336</v>
      </c>
      <c r="U168" s="1" t="s">
        <v>218</v>
      </c>
      <c r="V168" s="11">
        <v>46173.208333333336</v>
      </c>
    </row>
    <row r="169" spans="1:22" x14ac:dyDescent="0.3">
      <c r="A169" s="1">
        <v>68814</v>
      </c>
      <c r="B169" s="1">
        <v>56866</v>
      </c>
      <c r="C169" s="1" t="s">
        <v>1189</v>
      </c>
      <c r="D169" s="1" t="s">
        <v>588</v>
      </c>
      <c r="E169" s="1" t="s">
        <v>229</v>
      </c>
      <c r="F169" s="4">
        <v>27094</v>
      </c>
      <c r="G169">
        <v>51</v>
      </c>
      <c r="H169" s="1" t="s">
        <v>212</v>
      </c>
      <c r="I169" s="1" t="s">
        <v>1502</v>
      </c>
      <c r="J169" s="1" t="s">
        <v>1502</v>
      </c>
      <c r="K169" s="1">
        <v>8525</v>
      </c>
      <c r="L169" s="1" t="s">
        <v>214</v>
      </c>
      <c r="M169" s="1" t="s">
        <v>1207</v>
      </c>
      <c r="N169" s="1" t="s">
        <v>215</v>
      </c>
      <c r="O169" s="1"/>
      <c r="P169" s="1" t="s">
        <v>212</v>
      </c>
      <c r="Q169" s="1"/>
      <c r="R169" s="1" t="s">
        <v>216</v>
      </c>
      <c r="S169" s="1" t="s">
        <v>218</v>
      </c>
      <c r="T169" s="11">
        <v>46160.892361111109</v>
      </c>
      <c r="U169" s="1" t="s">
        <v>218</v>
      </c>
      <c r="V169" s="11">
        <v>46172.385416666664</v>
      </c>
    </row>
    <row r="170" spans="1:22" x14ac:dyDescent="0.3">
      <c r="A170" s="1">
        <v>776328</v>
      </c>
      <c r="B170" s="1">
        <v>629101</v>
      </c>
      <c r="C170" s="1" t="s">
        <v>1189</v>
      </c>
      <c r="D170" s="1" t="s">
        <v>589</v>
      </c>
      <c r="E170" s="1" t="s">
        <v>590</v>
      </c>
      <c r="F170" s="4">
        <v>28377</v>
      </c>
      <c r="G170">
        <v>48</v>
      </c>
      <c r="H170" s="1" t="s">
        <v>212</v>
      </c>
      <c r="I170" s="1" t="s">
        <v>1501</v>
      </c>
      <c r="J170" s="1" t="s">
        <v>1501</v>
      </c>
      <c r="K170" s="1">
        <v>8529</v>
      </c>
      <c r="L170" s="1" t="s">
        <v>214</v>
      </c>
      <c r="M170" s="1" t="s">
        <v>1190</v>
      </c>
      <c r="N170" s="1" t="s">
        <v>215</v>
      </c>
      <c r="O170" s="1"/>
      <c r="P170" s="1" t="s">
        <v>212</v>
      </c>
      <c r="Q170" s="1"/>
      <c r="R170" s="1" t="s">
        <v>216</v>
      </c>
      <c r="S170" s="1" t="s">
        <v>218</v>
      </c>
      <c r="T170" s="11">
        <v>46160.392361111109</v>
      </c>
      <c r="U170" s="1" t="s">
        <v>218</v>
      </c>
      <c r="V170" s="11">
        <v>46173.128472222219</v>
      </c>
    </row>
    <row r="171" spans="1:22" x14ac:dyDescent="0.3">
      <c r="A171" s="1">
        <v>788119</v>
      </c>
      <c r="B171" s="1">
        <v>629101</v>
      </c>
      <c r="C171" s="1" t="s">
        <v>1188</v>
      </c>
      <c r="D171" s="1" t="s">
        <v>591</v>
      </c>
      <c r="E171" s="1" t="s">
        <v>590</v>
      </c>
      <c r="F171" s="4">
        <v>26983</v>
      </c>
      <c r="G171">
        <v>52</v>
      </c>
      <c r="H171" s="1" t="s">
        <v>212</v>
      </c>
      <c r="I171" s="1" t="s">
        <v>1501</v>
      </c>
      <c r="J171" s="1" t="s">
        <v>1501</v>
      </c>
      <c r="K171" s="1">
        <v>8529</v>
      </c>
      <c r="L171" s="1" t="s">
        <v>214</v>
      </c>
      <c r="M171" s="1" t="s">
        <v>1190</v>
      </c>
      <c r="N171" s="1" t="s">
        <v>215</v>
      </c>
      <c r="O171" s="1"/>
      <c r="P171" s="1" t="s">
        <v>212</v>
      </c>
      <c r="Q171" s="1"/>
      <c r="R171" s="1" t="s">
        <v>216</v>
      </c>
      <c r="S171" s="1" t="s">
        <v>218</v>
      </c>
      <c r="T171" s="11">
        <v>46160.392361111109</v>
      </c>
      <c r="U171" s="1" t="s">
        <v>218</v>
      </c>
      <c r="V171" s="11">
        <v>46173.128472222219</v>
      </c>
    </row>
    <row r="172" spans="1:22" x14ac:dyDescent="0.3">
      <c r="A172" s="1">
        <v>249563</v>
      </c>
      <c r="B172" s="1">
        <v>191644</v>
      </c>
      <c r="C172" s="1" t="s">
        <v>1188</v>
      </c>
      <c r="D172" s="1" t="s">
        <v>592</v>
      </c>
      <c r="E172" s="1" t="s">
        <v>220</v>
      </c>
      <c r="F172" s="4">
        <v>27276</v>
      </c>
      <c r="G172">
        <v>51</v>
      </c>
      <c r="H172" s="1" t="s">
        <v>212</v>
      </c>
      <c r="I172" s="1" t="s">
        <v>1502</v>
      </c>
      <c r="J172" s="1" t="s">
        <v>1502</v>
      </c>
      <c r="K172" s="1">
        <v>8544</v>
      </c>
      <c r="L172" s="1" t="s">
        <v>214</v>
      </c>
      <c r="M172" s="1" t="s">
        <v>1190</v>
      </c>
      <c r="N172" s="1" t="s">
        <v>215</v>
      </c>
      <c r="O172" s="1"/>
      <c r="P172" s="1" t="s">
        <v>212</v>
      </c>
      <c r="Q172" s="1"/>
      <c r="R172" s="1" t="s">
        <v>216</v>
      </c>
      <c r="S172" s="1" t="s">
        <v>218</v>
      </c>
      <c r="T172" s="11">
        <v>46160.392361111109</v>
      </c>
      <c r="U172" s="1" t="s">
        <v>218</v>
      </c>
      <c r="V172" s="11">
        <v>46173.128472222219</v>
      </c>
    </row>
    <row r="173" spans="1:22" x14ac:dyDescent="0.3">
      <c r="A173" s="1">
        <v>808725</v>
      </c>
      <c r="B173" s="1">
        <v>191644</v>
      </c>
      <c r="C173" s="1" t="s">
        <v>1189</v>
      </c>
      <c r="D173" s="1" t="s">
        <v>593</v>
      </c>
      <c r="E173" s="1" t="s">
        <v>594</v>
      </c>
      <c r="F173" s="4">
        <v>28861</v>
      </c>
      <c r="G173">
        <v>47</v>
      </c>
      <c r="H173" s="1" t="s">
        <v>212</v>
      </c>
      <c r="I173" s="1" t="s">
        <v>1502</v>
      </c>
      <c r="J173" s="1" t="s">
        <v>1502</v>
      </c>
      <c r="K173" s="1">
        <v>8544</v>
      </c>
      <c r="L173" s="1" t="s">
        <v>214</v>
      </c>
      <c r="M173" s="1" t="s">
        <v>1190</v>
      </c>
      <c r="N173" s="1" t="s">
        <v>215</v>
      </c>
      <c r="O173" s="1"/>
      <c r="P173" s="1" t="s">
        <v>212</v>
      </c>
      <c r="Q173" s="1"/>
      <c r="R173" s="1" t="s">
        <v>216</v>
      </c>
      <c r="S173" s="1" t="s">
        <v>218</v>
      </c>
      <c r="T173" s="11">
        <v>46160.392361111109</v>
      </c>
      <c r="U173" s="1" t="s">
        <v>218</v>
      </c>
      <c r="V173" s="11">
        <v>46173.128472222219</v>
      </c>
    </row>
    <row r="174" spans="1:22" x14ac:dyDescent="0.3">
      <c r="A174" s="1">
        <v>690923</v>
      </c>
      <c r="B174" s="1">
        <v>561458</v>
      </c>
      <c r="C174" s="1" t="s">
        <v>1189</v>
      </c>
      <c r="D174" s="1" t="s">
        <v>595</v>
      </c>
      <c r="E174" s="1" t="s">
        <v>596</v>
      </c>
      <c r="F174" s="4">
        <v>26330</v>
      </c>
      <c r="G174">
        <v>54</v>
      </c>
      <c r="H174" s="1" t="s">
        <v>212</v>
      </c>
      <c r="I174" s="1" t="s">
        <v>1501</v>
      </c>
      <c r="J174" s="1" t="s">
        <v>1501</v>
      </c>
      <c r="K174" s="1">
        <v>8525</v>
      </c>
      <c r="L174" s="1" t="s">
        <v>214</v>
      </c>
      <c r="M174" s="1" t="s">
        <v>1190</v>
      </c>
      <c r="N174" s="1" t="s">
        <v>215</v>
      </c>
      <c r="O174" s="1"/>
      <c r="P174" s="1" t="s">
        <v>212</v>
      </c>
      <c r="Q174" s="1"/>
      <c r="R174" s="1" t="s">
        <v>216</v>
      </c>
      <c r="S174" s="1" t="s">
        <v>218</v>
      </c>
      <c r="T174" s="11">
        <v>46160.392361111109</v>
      </c>
      <c r="U174" s="1" t="s">
        <v>218</v>
      </c>
      <c r="V174" s="11">
        <v>46173.128472222219</v>
      </c>
    </row>
    <row r="175" spans="1:22" x14ac:dyDescent="0.3">
      <c r="A175" s="1">
        <v>128717</v>
      </c>
      <c r="B175" s="1">
        <v>98851</v>
      </c>
      <c r="C175" s="1" t="s">
        <v>1189</v>
      </c>
      <c r="D175" s="1" t="s">
        <v>365</v>
      </c>
      <c r="E175" s="1" t="s">
        <v>553</v>
      </c>
      <c r="F175" s="4">
        <v>27539</v>
      </c>
      <c r="G175">
        <v>50</v>
      </c>
      <c r="H175" s="1" t="s">
        <v>212</v>
      </c>
      <c r="I175" s="1" t="s">
        <v>1501</v>
      </c>
      <c r="J175" s="1" t="s">
        <v>1501</v>
      </c>
      <c r="K175" s="1">
        <v>8540</v>
      </c>
      <c r="L175" s="1" t="s">
        <v>261</v>
      </c>
      <c r="M175" s="1" t="s">
        <v>597</v>
      </c>
      <c r="N175" s="1" t="s">
        <v>215</v>
      </c>
      <c r="O175" s="1"/>
      <c r="P175" s="1" t="s">
        <v>598</v>
      </c>
      <c r="Q175" s="1" t="s">
        <v>599</v>
      </c>
      <c r="R175" s="1" t="s">
        <v>216</v>
      </c>
      <c r="S175" s="1" t="s">
        <v>218</v>
      </c>
      <c r="T175" s="11">
        <v>46163.184027777781</v>
      </c>
      <c r="U175" s="1" t="s">
        <v>218</v>
      </c>
      <c r="V175" s="11">
        <v>46173.0625</v>
      </c>
    </row>
    <row r="176" spans="1:22" x14ac:dyDescent="0.3">
      <c r="A176" s="1">
        <v>724678</v>
      </c>
      <c r="B176" s="1">
        <v>98851</v>
      </c>
      <c r="C176" s="1" t="s">
        <v>1188</v>
      </c>
      <c r="D176" s="1" t="s">
        <v>600</v>
      </c>
      <c r="E176" s="1" t="s">
        <v>601</v>
      </c>
      <c r="F176" s="4">
        <v>23420</v>
      </c>
      <c r="G176">
        <v>62</v>
      </c>
      <c r="H176" s="1" t="s">
        <v>212</v>
      </c>
      <c r="I176" s="1" t="s">
        <v>1501</v>
      </c>
      <c r="J176" s="1" t="s">
        <v>1501</v>
      </c>
      <c r="K176" s="1">
        <v>8540</v>
      </c>
      <c r="L176" s="1" t="s">
        <v>261</v>
      </c>
      <c r="M176" s="1" t="s">
        <v>597</v>
      </c>
      <c r="N176" s="1" t="s">
        <v>215</v>
      </c>
      <c r="O176" s="1"/>
      <c r="P176" s="1" t="s">
        <v>598</v>
      </c>
      <c r="Q176" s="1" t="s">
        <v>599</v>
      </c>
      <c r="R176" s="1" t="s">
        <v>216</v>
      </c>
      <c r="S176" s="1" t="s">
        <v>218</v>
      </c>
      <c r="T176" s="11">
        <v>46163.184027777781</v>
      </c>
      <c r="U176" s="1" t="s">
        <v>218</v>
      </c>
      <c r="V176" s="11">
        <v>46173.0625</v>
      </c>
    </row>
    <row r="177" spans="1:22" x14ac:dyDescent="0.3">
      <c r="A177" s="1">
        <v>518254</v>
      </c>
      <c r="B177" s="1">
        <v>409844</v>
      </c>
      <c r="C177" s="1" t="s">
        <v>1188</v>
      </c>
      <c r="D177" s="1" t="s">
        <v>602</v>
      </c>
      <c r="E177" s="1" t="s">
        <v>603</v>
      </c>
      <c r="F177" s="4">
        <v>17485</v>
      </c>
      <c r="G177">
        <v>78</v>
      </c>
      <c r="H177" s="1" t="s">
        <v>212</v>
      </c>
      <c r="I177" s="1" t="s">
        <v>1501</v>
      </c>
      <c r="J177" s="1" t="s">
        <v>1501</v>
      </c>
      <c r="K177" s="1">
        <v>8710</v>
      </c>
      <c r="L177" s="1" t="s">
        <v>214</v>
      </c>
      <c r="M177" s="1" t="s">
        <v>1190</v>
      </c>
      <c r="N177" s="1" t="s">
        <v>215</v>
      </c>
      <c r="O177" s="1"/>
      <c r="P177" s="1" t="s">
        <v>212</v>
      </c>
      <c r="Q177" s="1"/>
      <c r="R177" s="1" t="s">
        <v>216</v>
      </c>
      <c r="S177" s="1" t="s">
        <v>218</v>
      </c>
      <c r="T177" s="11">
        <v>46160.392361111109</v>
      </c>
      <c r="U177" s="1" t="s">
        <v>218</v>
      </c>
      <c r="V177" s="11">
        <v>46173.128472222219</v>
      </c>
    </row>
    <row r="178" spans="1:22" x14ac:dyDescent="0.3">
      <c r="A178" s="1">
        <v>786761</v>
      </c>
      <c r="B178" s="1">
        <v>637209</v>
      </c>
      <c r="C178" s="1" t="s">
        <v>1189</v>
      </c>
      <c r="D178" s="1" t="s">
        <v>604</v>
      </c>
      <c r="E178" s="1" t="s">
        <v>605</v>
      </c>
      <c r="F178" s="4">
        <v>23464</v>
      </c>
      <c r="G178">
        <v>61</v>
      </c>
      <c r="H178" s="1" t="s">
        <v>212</v>
      </c>
      <c r="I178" s="1" t="s">
        <v>1501</v>
      </c>
      <c r="J178" s="1" t="s">
        <v>1501</v>
      </c>
      <c r="K178" s="1">
        <v>8537</v>
      </c>
      <c r="L178" s="1" t="s">
        <v>261</v>
      </c>
      <c r="M178" s="1" t="s">
        <v>606</v>
      </c>
      <c r="N178" s="1" t="s">
        <v>215</v>
      </c>
      <c r="O178" s="1"/>
      <c r="P178" s="1" t="s">
        <v>607</v>
      </c>
      <c r="Q178" s="1" t="s">
        <v>608</v>
      </c>
      <c r="R178" s="1" t="s">
        <v>216</v>
      </c>
      <c r="S178" s="1" t="s">
        <v>218</v>
      </c>
      <c r="T178" s="11">
        <v>46163.152777777781</v>
      </c>
      <c r="U178" s="1" t="s">
        <v>218</v>
      </c>
      <c r="V178" s="11">
        <v>46175.038194444445</v>
      </c>
    </row>
    <row r="179" spans="1:22" x14ac:dyDescent="0.3">
      <c r="A179" s="1">
        <v>876970</v>
      </c>
      <c r="B179" s="1">
        <v>637209</v>
      </c>
      <c r="C179" s="1" t="s">
        <v>1188</v>
      </c>
      <c r="D179" s="1" t="s">
        <v>418</v>
      </c>
      <c r="E179" s="1" t="s">
        <v>605</v>
      </c>
      <c r="F179" s="4">
        <v>19120</v>
      </c>
      <c r="G179">
        <v>73</v>
      </c>
      <c r="H179" s="1" t="s">
        <v>212</v>
      </c>
      <c r="I179" s="1" t="s">
        <v>1501</v>
      </c>
      <c r="J179" s="1" t="s">
        <v>1501</v>
      </c>
      <c r="K179" s="1">
        <v>8537</v>
      </c>
      <c r="L179" s="1" t="s">
        <v>261</v>
      </c>
      <c r="M179" s="1" t="s">
        <v>606</v>
      </c>
      <c r="N179" s="1" t="s">
        <v>215</v>
      </c>
      <c r="O179" s="1"/>
      <c r="P179" s="1" t="s">
        <v>607</v>
      </c>
      <c r="Q179" s="1" t="s">
        <v>608</v>
      </c>
      <c r="R179" s="1" t="s">
        <v>216</v>
      </c>
      <c r="S179" s="1" t="s">
        <v>218</v>
      </c>
      <c r="T179" s="11">
        <v>46163.152777777781</v>
      </c>
      <c r="U179" s="1" t="s">
        <v>218</v>
      </c>
      <c r="V179" s="11">
        <v>46175.038194444445</v>
      </c>
    </row>
    <row r="180" spans="1:22" x14ac:dyDescent="0.3">
      <c r="A180" s="1">
        <v>877004</v>
      </c>
      <c r="B180" s="1">
        <v>637209</v>
      </c>
      <c r="C180" s="1" t="s">
        <v>1189</v>
      </c>
      <c r="D180" s="1" t="s">
        <v>609</v>
      </c>
      <c r="E180" s="1" t="s">
        <v>301</v>
      </c>
      <c r="F180" s="4">
        <v>24543</v>
      </c>
      <c r="G180">
        <v>58</v>
      </c>
      <c r="H180" s="1" t="s">
        <v>212</v>
      </c>
      <c r="I180" s="1" t="s">
        <v>1501</v>
      </c>
      <c r="J180" s="1" t="s">
        <v>1501</v>
      </c>
      <c r="K180" s="1">
        <v>8537</v>
      </c>
      <c r="L180" s="1" t="s">
        <v>261</v>
      </c>
      <c r="M180" s="1" t="s">
        <v>606</v>
      </c>
      <c r="N180" s="1" t="s">
        <v>215</v>
      </c>
      <c r="O180" s="1"/>
      <c r="P180" s="1" t="s">
        <v>607</v>
      </c>
      <c r="Q180" s="1" t="s">
        <v>608</v>
      </c>
      <c r="R180" s="1" t="s">
        <v>216</v>
      </c>
      <c r="S180" s="1" t="s">
        <v>218</v>
      </c>
      <c r="T180" s="11">
        <v>46163.152777777781</v>
      </c>
      <c r="U180" s="1" t="s">
        <v>218</v>
      </c>
      <c r="V180" s="11">
        <v>46175.038194444445</v>
      </c>
    </row>
    <row r="181" spans="1:22" x14ac:dyDescent="0.3">
      <c r="A181" s="1">
        <v>551328</v>
      </c>
      <c r="B181" s="1">
        <v>437991</v>
      </c>
      <c r="C181" s="1" t="s">
        <v>1189</v>
      </c>
      <c r="D181" s="1" t="s">
        <v>610</v>
      </c>
      <c r="E181" s="1" t="s">
        <v>611</v>
      </c>
      <c r="F181" s="4">
        <v>25768</v>
      </c>
      <c r="G181">
        <v>55</v>
      </c>
      <c r="H181" s="1" t="s">
        <v>212</v>
      </c>
      <c r="I181" s="1" t="s">
        <v>1502</v>
      </c>
      <c r="J181" s="1" t="s">
        <v>1502</v>
      </c>
      <c r="K181" s="1">
        <v>8530</v>
      </c>
      <c r="L181" s="1" t="s">
        <v>214</v>
      </c>
      <c r="M181" s="1" t="s">
        <v>1210</v>
      </c>
      <c r="N181" s="1" t="s">
        <v>215</v>
      </c>
      <c r="O181" s="1"/>
      <c r="P181" s="1" t="s">
        <v>212</v>
      </c>
      <c r="Q181" s="1"/>
      <c r="R181" s="1" t="s">
        <v>216</v>
      </c>
      <c r="S181" s="1" t="s">
        <v>218</v>
      </c>
      <c r="T181" s="11">
        <v>46162.739583333336</v>
      </c>
      <c r="U181" s="1" t="s">
        <v>218</v>
      </c>
      <c r="V181" s="11">
        <v>46173.385416666664</v>
      </c>
    </row>
    <row r="182" spans="1:22" x14ac:dyDescent="0.3">
      <c r="A182" s="1">
        <v>742352</v>
      </c>
      <c r="B182" s="1">
        <v>437991</v>
      </c>
      <c r="C182" s="1" t="s">
        <v>1188</v>
      </c>
      <c r="D182" s="1" t="s">
        <v>490</v>
      </c>
      <c r="E182" s="1" t="s">
        <v>271</v>
      </c>
      <c r="F182" s="4">
        <v>26184</v>
      </c>
      <c r="G182">
        <v>54</v>
      </c>
      <c r="H182" s="1" t="s">
        <v>212</v>
      </c>
      <c r="I182" s="1" t="s">
        <v>1502</v>
      </c>
      <c r="J182" s="1" t="s">
        <v>1502</v>
      </c>
      <c r="K182" s="1">
        <v>8530</v>
      </c>
      <c r="L182" s="1" t="s">
        <v>214</v>
      </c>
      <c r="M182" s="1" t="s">
        <v>1210</v>
      </c>
      <c r="N182" s="1" t="s">
        <v>215</v>
      </c>
      <c r="O182" s="1"/>
      <c r="P182" s="1" t="s">
        <v>212</v>
      </c>
      <c r="Q182" s="1"/>
      <c r="R182" s="1" t="s">
        <v>216</v>
      </c>
      <c r="S182" s="1" t="s">
        <v>218</v>
      </c>
      <c r="T182" s="11">
        <v>46162.739583333336</v>
      </c>
      <c r="U182" s="1" t="s">
        <v>218</v>
      </c>
      <c r="V182" s="11">
        <v>46173.385416666664</v>
      </c>
    </row>
    <row r="183" spans="1:22" x14ac:dyDescent="0.3">
      <c r="A183" s="1">
        <v>828152</v>
      </c>
      <c r="B183" s="1">
        <v>669605</v>
      </c>
      <c r="C183" s="1" t="s">
        <v>1188</v>
      </c>
      <c r="D183" s="1" t="s">
        <v>612</v>
      </c>
      <c r="E183" s="1" t="s">
        <v>613</v>
      </c>
      <c r="F183" s="4">
        <v>19326</v>
      </c>
      <c r="G183">
        <v>73</v>
      </c>
      <c r="H183" s="1" t="s">
        <v>212</v>
      </c>
      <c r="I183" s="1" t="s">
        <v>1503</v>
      </c>
      <c r="J183" s="1" t="s">
        <v>1503</v>
      </c>
      <c r="K183" s="1">
        <v>8540</v>
      </c>
      <c r="L183" s="1" t="s">
        <v>214</v>
      </c>
      <c r="M183" s="1" t="s">
        <v>1205</v>
      </c>
      <c r="N183" s="1" t="s">
        <v>215</v>
      </c>
      <c r="O183" s="1"/>
      <c r="P183" s="1" t="s">
        <v>212</v>
      </c>
      <c r="Q183" s="1"/>
      <c r="R183" s="1" t="s">
        <v>216</v>
      </c>
      <c r="S183" s="1" t="s">
        <v>218</v>
      </c>
      <c r="T183" s="11">
        <v>46163.392361111109</v>
      </c>
      <c r="U183" s="1" t="s">
        <v>218</v>
      </c>
      <c r="V183" s="11">
        <v>46172.340277777781</v>
      </c>
    </row>
    <row r="184" spans="1:22" x14ac:dyDescent="0.3">
      <c r="A184" s="1">
        <v>828258</v>
      </c>
      <c r="B184" s="1">
        <v>669605</v>
      </c>
      <c r="C184" s="1" t="s">
        <v>1189</v>
      </c>
      <c r="D184" s="1" t="s">
        <v>614</v>
      </c>
      <c r="E184" s="1" t="s">
        <v>613</v>
      </c>
      <c r="F184" s="4">
        <v>22729</v>
      </c>
      <c r="G184">
        <v>63</v>
      </c>
      <c r="H184" s="1" t="s">
        <v>212</v>
      </c>
      <c r="I184" s="1" t="s">
        <v>1503</v>
      </c>
      <c r="J184" s="1" t="s">
        <v>1503</v>
      </c>
      <c r="K184" s="1">
        <v>8540</v>
      </c>
      <c r="L184" s="1" t="s">
        <v>214</v>
      </c>
      <c r="M184" s="1" t="s">
        <v>1205</v>
      </c>
      <c r="N184" s="1" t="s">
        <v>215</v>
      </c>
      <c r="O184" s="1"/>
      <c r="P184" s="1" t="s">
        <v>212</v>
      </c>
      <c r="Q184" s="1"/>
      <c r="R184" s="1" t="s">
        <v>216</v>
      </c>
      <c r="S184" s="1" t="s">
        <v>218</v>
      </c>
      <c r="T184" s="11">
        <v>46163.392361111109</v>
      </c>
      <c r="U184" s="1" t="s">
        <v>218</v>
      </c>
      <c r="V184" s="11">
        <v>46172.340277777781</v>
      </c>
    </row>
    <row r="185" spans="1:22" x14ac:dyDescent="0.3">
      <c r="A185" s="1">
        <v>689744</v>
      </c>
      <c r="B185" s="1">
        <v>560534</v>
      </c>
      <c r="C185" s="1" t="s">
        <v>1189</v>
      </c>
      <c r="D185" s="1" t="s">
        <v>615</v>
      </c>
      <c r="E185" s="1" t="s">
        <v>616</v>
      </c>
      <c r="F185" s="4">
        <v>24778</v>
      </c>
      <c r="G185">
        <v>58</v>
      </c>
      <c r="H185" s="1" t="s">
        <v>212</v>
      </c>
      <c r="I185" s="1" t="s">
        <v>1501</v>
      </c>
      <c r="J185" s="1" t="s">
        <v>1501</v>
      </c>
      <c r="K185" s="1">
        <v>8672</v>
      </c>
      <c r="L185" s="1" t="s">
        <v>261</v>
      </c>
      <c r="M185" s="1" t="s">
        <v>617</v>
      </c>
      <c r="N185" s="1" t="s">
        <v>215</v>
      </c>
      <c r="O185" s="1"/>
      <c r="P185" s="1" t="s">
        <v>618</v>
      </c>
      <c r="Q185" s="1" t="s">
        <v>619</v>
      </c>
      <c r="R185" s="1" t="s">
        <v>216</v>
      </c>
      <c r="S185" s="1" t="s">
        <v>218</v>
      </c>
      <c r="T185" s="11">
        <v>46163.888888888891</v>
      </c>
      <c r="U185" s="1" t="s">
        <v>218</v>
      </c>
      <c r="V185" s="11">
        <v>46173.215277777781</v>
      </c>
    </row>
    <row r="186" spans="1:22" x14ac:dyDescent="0.3">
      <c r="A186" s="1">
        <v>689751</v>
      </c>
      <c r="B186" s="1">
        <v>560534</v>
      </c>
      <c r="C186" s="1" t="s">
        <v>1189</v>
      </c>
      <c r="D186" s="1" t="s">
        <v>620</v>
      </c>
      <c r="E186" s="1" t="s">
        <v>431</v>
      </c>
      <c r="F186" s="4">
        <v>21274</v>
      </c>
      <c r="G186">
        <v>67</v>
      </c>
      <c r="H186" s="1" t="s">
        <v>212</v>
      </c>
      <c r="I186" s="1" t="s">
        <v>1501</v>
      </c>
      <c r="J186" s="1" t="s">
        <v>1501</v>
      </c>
      <c r="K186" s="1">
        <v>8672</v>
      </c>
      <c r="L186" s="1" t="s">
        <v>261</v>
      </c>
      <c r="M186" s="1" t="s">
        <v>617</v>
      </c>
      <c r="N186" s="1" t="s">
        <v>215</v>
      </c>
      <c r="O186" s="1"/>
      <c r="P186" s="1" t="s">
        <v>618</v>
      </c>
      <c r="Q186" s="1" t="s">
        <v>619</v>
      </c>
      <c r="R186" s="1" t="s">
        <v>216</v>
      </c>
      <c r="S186" s="1" t="s">
        <v>218</v>
      </c>
      <c r="T186" s="11">
        <v>46163.888888888891</v>
      </c>
      <c r="U186" s="1" t="s">
        <v>218</v>
      </c>
      <c r="V186" s="11">
        <v>46173.215277777781</v>
      </c>
    </row>
    <row r="187" spans="1:22" x14ac:dyDescent="0.3">
      <c r="A187" s="1">
        <v>605172</v>
      </c>
      <c r="B187" s="1">
        <v>488794</v>
      </c>
      <c r="C187" s="1" t="s">
        <v>1189</v>
      </c>
      <c r="D187" s="1" t="s">
        <v>621</v>
      </c>
      <c r="E187" s="1" t="s">
        <v>622</v>
      </c>
      <c r="F187" s="4">
        <v>30527</v>
      </c>
      <c r="G187">
        <v>42</v>
      </c>
      <c r="H187" s="1" t="s">
        <v>212</v>
      </c>
      <c r="I187" s="1" t="s">
        <v>1501</v>
      </c>
      <c r="J187" s="1" t="s">
        <v>1517</v>
      </c>
      <c r="K187" s="1">
        <v>8524</v>
      </c>
      <c r="L187" s="1" t="s">
        <v>261</v>
      </c>
      <c r="M187" s="1" t="s">
        <v>624</v>
      </c>
      <c r="N187" s="1" t="s">
        <v>215</v>
      </c>
      <c r="O187" s="1"/>
      <c r="P187" s="1" t="s">
        <v>625</v>
      </c>
      <c r="Q187" s="1" t="s">
        <v>626</v>
      </c>
      <c r="R187" s="1" t="s">
        <v>216</v>
      </c>
      <c r="S187" s="1" t="s">
        <v>218</v>
      </c>
      <c r="T187" s="11">
        <v>46163.017361111109</v>
      </c>
      <c r="U187" s="1" t="s">
        <v>218</v>
      </c>
      <c r="V187" s="11">
        <v>46179.541666666664</v>
      </c>
    </row>
    <row r="188" spans="1:22" x14ac:dyDescent="0.3">
      <c r="A188" s="1">
        <v>606294</v>
      </c>
      <c r="B188" s="1">
        <v>488794</v>
      </c>
      <c r="C188" s="1" t="s">
        <v>1188</v>
      </c>
      <c r="D188" s="1" t="s">
        <v>627</v>
      </c>
      <c r="E188" s="1" t="s">
        <v>628</v>
      </c>
      <c r="F188" s="4">
        <v>26153</v>
      </c>
      <c r="G188">
        <v>54</v>
      </c>
      <c r="H188" s="1" t="s">
        <v>212</v>
      </c>
      <c r="I188" s="1" t="s">
        <v>1501</v>
      </c>
      <c r="J188" s="1" t="s">
        <v>1501</v>
      </c>
      <c r="K188" s="1">
        <v>8524</v>
      </c>
      <c r="L188" s="1" t="s">
        <v>261</v>
      </c>
      <c r="M188" s="1" t="s">
        <v>624</v>
      </c>
      <c r="N188" s="1" t="s">
        <v>215</v>
      </c>
      <c r="O188" s="1"/>
      <c r="P188" s="1" t="s">
        <v>625</v>
      </c>
      <c r="Q188" s="1" t="s">
        <v>626</v>
      </c>
      <c r="R188" s="1" t="s">
        <v>216</v>
      </c>
      <c r="S188" s="1" t="s">
        <v>218</v>
      </c>
      <c r="T188" s="11">
        <v>46163.017361111109</v>
      </c>
      <c r="U188" s="1" t="s">
        <v>218</v>
      </c>
      <c r="V188" s="11">
        <v>46179.541666666664</v>
      </c>
    </row>
    <row r="189" spans="1:22" x14ac:dyDescent="0.3">
      <c r="A189" s="1">
        <v>744903</v>
      </c>
      <c r="B189" s="1">
        <v>603822</v>
      </c>
      <c r="C189" s="1" t="s">
        <v>1188</v>
      </c>
      <c r="D189" s="1" t="s">
        <v>629</v>
      </c>
      <c r="E189" s="1" t="s">
        <v>630</v>
      </c>
      <c r="F189" s="4">
        <v>20852</v>
      </c>
      <c r="G189">
        <v>69</v>
      </c>
      <c r="H189" s="1" t="s">
        <v>212</v>
      </c>
      <c r="I189" s="1" t="s">
        <v>1501</v>
      </c>
      <c r="J189" s="1" t="s">
        <v>1501</v>
      </c>
      <c r="K189" s="1">
        <v>8714</v>
      </c>
      <c r="L189" s="1" t="s">
        <v>214</v>
      </c>
      <c r="M189" s="1" t="s">
        <v>1194</v>
      </c>
      <c r="N189" s="1" t="s">
        <v>215</v>
      </c>
      <c r="O189" s="1"/>
      <c r="P189" s="1" t="s">
        <v>212</v>
      </c>
      <c r="Q189" s="1"/>
      <c r="R189" s="1" t="s">
        <v>216</v>
      </c>
      <c r="S189" s="1" t="s">
        <v>218</v>
      </c>
      <c r="T189" s="11">
        <v>46161.878472222219</v>
      </c>
      <c r="U189" s="1" t="s">
        <v>218</v>
      </c>
      <c r="V189" s="11">
        <v>46173.392361111109</v>
      </c>
    </row>
    <row r="190" spans="1:22" x14ac:dyDescent="0.3">
      <c r="A190" s="1">
        <v>744928</v>
      </c>
      <c r="B190" s="1">
        <v>603822</v>
      </c>
      <c r="C190" s="1" t="s">
        <v>1189</v>
      </c>
      <c r="D190" s="1" t="s">
        <v>631</v>
      </c>
      <c r="E190" s="1" t="s">
        <v>630</v>
      </c>
      <c r="F190" s="4">
        <v>25557</v>
      </c>
      <c r="G190">
        <v>56</v>
      </c>
      <c r="H190" s="1" t="s">
        <v>212</v>
      </c>
      <c r="I190" s="1" t="s">
        <v>1501</v>
      </c>
      <c r="J190" s="1" t="s">
        <v>1501</v>
      </c>
      <c r="K190" s="1">
        <v>8714</v>
      </c>
      <c r="L190" s="1" t="s">
        <v>214</v>
      </c>
      <c r="M190" s="1" t="s">
        <v>1194</v>
      </c>
      <c r="N190" s="1" t="s">
        <v>215</v>
      </c>
      <c r="O190" s="1"/>
      <c r="P190" s="1" t="s">
        <v>212</v>
      </c>
      <c r="Q190" s="1"/>
      <c r="R190" s="1" t="s">
        <v>216</v>
      </c>
      <c r="S190" s="1" t="s">
        <v>218</v>
      </c>
      <c r="T190" s="11">
        <v>46161.878472222219</v>
      </c>
      <c r="U190" s="1" t="s">
        <v>218</v>
      </c>
      <c r="V190" s="11">
        <v>46173.392361111109</v>
      </c>
    </row>
    <row r="191" spans="1:22" x14ac:dyDescent="0.3">
      <c r="A191" s="1">
        <v>651738</v>
      </c>
      <c r="B191" s="1">
        <v>529044</v>
      </c>
      <c r="C191" s="1" t="s">
        <v>1188</v>
      </c>
      <c r="D191" s="1" t="s">
        <v>240</v>
      </c>
      <c r="E191" s="1" t="s">
        <v>632</v>
      </c>
      <c r="F191" s="4">
        <v>23013</v>
      </c>
      <c r="G191">
        <v>63</v>
      </c>
      <c r="H191" s="1" t="s">
        <v>212</v>
      </c>
      <c r="I191" s="1" t="s">
        <v>1501</v>
      </c>
      <c r="J191" s="1" t="s">
        <v>1501</v>
      </c>
      <c r="K191" s="1">
        <v>8714</v>
      </c>
      <c r="L191" s="1" t="s">
        <v>214</v>
      </c>
      <c r="M191" s="1" t="s">
        <v>1194</v>
      </c>
      <c r="N191" s="1" t="s">
        <v>215</v>
      </c>
      <c r="O191" s="1"/>
      <c r="P191" s="1" t="s">
        <v>212</v>
      </c>
      <c r="Q191" s="1"/>
      <c r="R191" s="1" t="s">
        <v>216</v>
      </c>
      <c r="S191" s="1" t="s">
        <v>218</v>
      </c>
      <c r="T191" s="11">
        <v>46161.878472222219</v>
      </c>
      <c r="U191" s="1" t="s">
        <v>218</v>
      </c>
      <c r="V191" s="11">
        <v>46173.392361111109</v>
      </c>
    </row>
    <row r="192" spans="1:22" x14ac:dyDescent="0.3">
      <c r="A192" s="1">
        <v>669592</v>
      </c>
      <c r="B192" s="1">
        <v>529044</v>
      </c>
      <c r="C192" s="1" t="s">
        <v>1189</v>
      </c>
      <c r="D192" s="1" t="s">
        <v>633</v>
      </c>
      <c r="E192" s="1" t="s">
        <v>507</v>
      </c>
      <c r="F192" s="4">
        <v>23071</v>
      </c>
      <c r="G192">
        <v>63</v>
      </c>
      <c r="H192" s="1" t="s">
        <v>212</v>
      </c>
      <c r="I192" s="1" t="s">
        <v>1501</v>
      </c>
      <c r="J192" s="1" t="s">
        <v>1501</v>
      </c>
      <c r="K192" s="1">
        <v>8714</v>
      </c>
      <c r="L192" s="1" t="s">
        <v>214</v>
      </c>
      <c r="M192" s="1" t="s">
        <v>1194</v>
      </c>
      <c r="N192" s="1" t="s">
        <v>215</v>
      </c>
      <c r="O192" s="1"/>
      <c r="P192" s="1" t="s">
        <v>212</v>
      </c>
      <c r="Q192" s="1"/>
      <c r="R192" s="1" t="s">
        <v>216</v>
      </c>
      <c r="S192" s="1" t="s">
        <v>218</v>
      </c>
      <c r="T192" s="11">
        <v>46161.878472222219</v>
      </c>
      <c r="U192" s="1" t="s">
        <v>218</v>
      </c>
      <c r="V192" s="11">
        <v>46173.392361111109</v>
      </c>
    </row>
    <row r="193" spans="1:22" x14ac:dyDescent="0.3">
      <c r="A193" s="1">
        <v>792890</v>
      </c>
      <c r="B193" s="1">
        <v>641990</v>
      </c>
      <c r="C193" s="1" t="s">
        <v>1188</v>
      </c>
      <c r="D193" s="1" t="s">
        <v>634</v>
      </c>
      <c r="E193" s="1" t="s">
        <v>635</v>
      </c>
      <c r="F193" s="4">
        <v>30268</v>
      </c>
      <c r="G193">
        <v>43</v>
      </c>
      <c r="H193" s="1" t="s">
        <v>212</v>
      </c>
      <c r="I193" s="1" t="s">
        <v>1501</v>
      </c>
      <c r="J193" s="1" t="s">
        <v>1501</v>
      </c>
      <c r="K193" s="1">
        <v>8540</v>
      </c>
      <c r="L193" s="1" t="s">
        <v>261</v>
      </c>
      <c r="M193" s="1" t="s">
        <v>636</v>
      </c>
      <c r="N193" s="1" t="s">
        <v>215</v>
      </c>
      <c r="O193" s="1"/>
      <c r="P193" s="1" t="s">
        <v>637</v>
      </c>
      <c r="Q193" s="1" t="s">
        <v>638</v>
      </c>
      <c r="R193" s="1" t="s">
        <v>216</v>
      </c>
      <c r="S193" s="1" t="s">
        <v>218</v>
      </c>
      <c r="T193" s="11">
        <v>46163.996527777781</v>
      </c>
      <c r="U193" s="1" t="s">
        <v>218</v>
      </c>
      <c r="V193" s="11">
        <v>46173.208333333336</v>
      </c>
    </row>
    <row r="194" spans="1:22" x14ac:dyDescent="0.3">
      <c r="A194" s="1">
        <v>792950</v>
      </c>
      <c r="B194" s="1">
        <v>641990</v>
      </c>
      <c r="C194" s="1" t="s">
        <v>1189</v>
      </c>
      <c r="D194" s="1" t="s">
        <v>639</v>
      </c>
      <c r="E194" s="1" t="s">
        <v>635</v>
      </c>
      <c r="F194" s="4">
        <v>30979</v>
      </c>
      <c r="G194">
        <v>41</v>
      </c>
      <c r="H194" s="1" t="s">
        <v>212</v>
      </c>
      <c r="I194" s="1" t="s">
        <v>1501</v>
      </c>
      <c r="J194" s="1" t="s">
        <v>1501</v>
      </c>
      <c r="K194" s="1">
        <v>8540</v>
      </c>
      <c r="L194" s="1" t="s">
        <v>261</v>
      </c>
      <c r="M194" s="1" t="s">
        <v>636</v>
      </c>
      <c r="N194" s="1" t="s">
        <v>215</v>
      </c>
      <c r="O194" s="1"/>
      <c r="P194" s="1" t="s">
        <v>637</v>
      </c>
      <c r="Q194" s="1" t="s">
        <v>638</v>
      </c>
      <c r="R194" s="1" t="s">
        <v>216</v>
      </c>
      <c r="S194" s="1" t="s">
        <v>218</v>
      </c>
      <c r="T194" s="11">
        <v>46163.996527777781</v>
      </c>
      <c r="U194" s="1" t="s">
        <v>218</v>
      </c>
      <c r="V194" s="11">
        <v>46173.208333333336</v>
      </c>
    </row>
    <row r="195" spans="1:22" x14ac:dyDescent="0.3">
      <c r="A195" s="1">
        <v>792976</v>
      </c>
      <c r="B195" s="1">
        <v>641990</v>
      </c>
      <c r="C195" s="1" t="s">
        <v>1189</v>
      </c>
      <c r="D195" s="1" t="s">
        <v>640</v>
      </c>
      <c r="E195" s="1" t="s">
        <v>635</v>
      </c>
      <c r="F195" s="4">
        <v>22662</v>
      </c>
      <c r="G195">
        <v>64</v>
      </c>
      <c r="H195" s="1" t="s">
        <v>212</v>
      </c>
      <c r="I195" s="1" t="s">
        <v>1501</v>
      </c>
      <c r="J195" s="1" t="s">
        <v>1501</v>
      </c>
      <c r="K195" s="1">
        <v>8540</v>
      </c>
      <c r="L195" s="1" t="s">
        <v>261</v>
      </c>
      <c r="M195" s="1" t="s">
        <v>636</v>
      </c>
      <c r="N195" s="1" t="s">
        <v>215</v>
      </c>
      <c r="O195" s="1"/>
      <c r="P195" s="1" t="s">
        <v>637</v>
      </c>
      <c r="Q195" s="1" t="s">
        <v>638</v>
      </c>
      <c r="R195" s="1" t="s">
        <v>216</v>
      </c>
      <c r="S195" s="1" t="s">
        <v>218</v>
      </c>
      <c r="T195" s="11">
        <v>46163.996527777781</v>
      </c>
      <c r="U195" s="1" t="s">
        <v>218</v>
      </c>
      <c r="V195" s="11">
        <v>46173.208333333336</v>
      </c>
    </row>
    <row r="196" spans="1:22" x14ac:dyDescent="0.3">
      <c r="A196" s="1">
        <v>792989</v>
      </c>
      <c r="B196" s="1">
        <v>641990</v>
      </c>
      <c r="C196" s="1" t="s">
        <v>1189</v>
      </c>
      <c r="D196" s="1" t="s">
        <v>641</v>
      </c>
      <c r="E196" s="1" t="s">
        <v>642</v>
      </c>
      <c r="F196" s="4">
        <v>25651</v>
      </c>
      <c r="G196">
        <v>55</v>
      </c>
      <c r="H196" s="1" t="s">
        <v>212</v>
      </c>
      <c r="I196" s="1" t="s">
        <v>1501</v>
      </c>
      <c r="J196" s="1" t="s">
        <v>1501</v>
      </c>
      <c r="K196" s="1">
        <v>8540</v>
      </c>
      <c r="L196" s="1" t="s">
        <v>261</v>
      </c>
      <c r="M196" s="1" t="s">
        <v>636</v>
      </c>
      <c r="N196" s="1" t="s">
        <v>215</v>
      </c>
      <c r="O196" s="1"/>
      <c r="P196" s="1" t="s">
        <v>637</v>
      </c>
      <c r="Q196" s="1" t="s">
        <v>638</v>
      </c>
      <c r="R196" s="1" t="s">
        <v>216</v>
      </c>
      <c r="S196" s="1" t="s">
        <v>218</v>
      </c>
      <c r="T196" s="11">
        <v>46163.996527777781</v>
      </c>
      <c r="U196" s="1" t="s">
        <v>218</v>
      </c>
      <c r="V196" s="11">
        <v>46173.208333333336</v>
      </c>
    </row>
    <row r="197" spans="1:22" x14ac:dyDescent="0.3">
      <c r="A197" s="1">
        <v>425825</v>
      </c>
      <c r="B197" s="1">
        <v>332676</v>
      </c>
      <c r="C197" s="1" t="s">
        <v>1189</v>
      </c>
      <c r="D197" s="1" t="s">
        <v>643</v>
      </c>
      <c r="E197" s="1" t="s">
        <v>644</v>
      </c>
      <c r="F197" s="4">
        <v>28245</v>
      </c>
      <c r="G197">
        <v>48</v>
      </c>
      <c r="H197" s="1" t="s">
        <v>212</v>
      </c>
      <c r="I197" s="1" t="s">
        <v>1501</v>
      </c>
      <c r="J197" s="1" t="s">
        <v>1501</v>
      </c>
      <c r="K197" s="1">
        <v>8530</v>
      </c>
      <c r="L197" s="1" t="s">
        <v>261</v>
      </c>
      <c r="M197" s="1" t="s">
        <v>645</v>
      </c>
      <c r="N197" s="1" t="s">
        <v>215</v>
      </c>
      <c r="O197" s="1"/>
      <c r="P197" s="1" t="s">
        <v>646</v>
      </c>
      <c r="Q197" s="1" t="s">
        <v>647</v>
      </c>
      <c r="R197" s="1" t="s">
        <v>216</v>
      </c>
      <c r="S197" s="1" t="s">
        <v>218</v>
      </c>
      <c r="T197" s="11">
        <v>46160.784722222219</v>
      </c>
      <c r="U197" s="1" t="s">
        <v>218</v>
      </c>
      <c r="V197" s="11">
        <v>46173.3125</v>
      </c>
    </row>
    <row r="198" spans="1:22" x14ac:dyDescent="0.3">
      <c r="A198" s="1">
        <v>425860</v>
      </c>
      <c r="B198" s="1">
        <v>332676</v>
      </c>
      <c r="C198" s="1" t="s">
        <v>1188</v>
      </c>
      <c r="D198" s="1" t="s">
        <v>648</v>
      </c>
      <c r="E198" s="1" t="s">
        <v>644</v>
      </c>
      <c r="F198" s="4">
        <v>28171</v>
      </c>
      <c r="G198">
        <v>49</v>
      </c>
      <c r="H198" s="1" t="s">
        <v>212</v>
      </c>
      <c r="I198" s="1" t="s">
        <v>1501</v>
      </c>
      <c r="J198" s="1" t="s">
        <v>1501</v>
      </c>
      <c r="K198" s="1">
        <v>8530</v>
      </c>
      <c r="L198" s="1" t="s">
        <v>261</v>
      </c>
      <c r="M198" s="1" t="s">
        <v>645</v>
      </c>
      <c r="N198" s="1" t="s">
        <v>215</v>
      </c>
      <c r="O198" s="1"/>
      <c r="P198" s="1" t="s">
        <v>646</v>
      </c>
      <c r="Q198" s="1" t="s">
        <v>647</v>
      </c>
      <c r="R198" s="1" t="s">
        <v>216</v>
      </c>
      <c r="S198" s="1" t="s">
        <v>218</v>
      </c>
      <c r="T198" s="11">
        <v>46160.784722222219</v>
      </c>
      <c r="U198" s="1" t="s">
        <v>218</v>
      </c>
      <c r="V198" s="11">
        <v>46173.3125</v>
      </c>
    </row>
    <row r="199" spans="1:22" x14ac:dyDescent="0.3">
      <c r="A199" s="1">
        <v>694359</v>
      </c>
      <c r="B199" s="1">
        <v>564201</v>
      </c>
      <c r="C199" s="1" t="s">
        <v>1188</v>
      </c>
      <c r="D199" s="1" t="s">
        <v>649</v>
      </c>
      <c r="E199" s="1" t="s">
        <v>650</v>
      </c>
      <c r="F199" s="4">
        <v>24119</v>
      </c>
      <c r="G199">
        <v>60</v>
      </c>
      <c r="H199" s="1" t="s">
        <v>212</v>
      </c>
      <c r="I199" s="1" t="s">
        <v>1501</v>
      </c>
      <c r="J199" s="1" t="s">
        <v>1501</v>
      </c>
      <c r="K199" s="1">
        <v>8540</v>
      </c>
      <c r="L199" s="1" t="s">
        <v>261</v>
      </c>
      <c r="M199" s="1" t="s">
        <v>651</v>
      </c>
      <c r="N199" s="1" t="s">
        <v>215</v>
      </c>
      <c r="O199" s="1"/>
      <c r="P199" s="1" t="s">
        <v>652</v>
      </c>
      <c r="Q199" s="1" t="s">
        <v>653</v>
      </c>
      <c r="R199" s="1" t="s">
        <v>216</v>
      </c>
      <c r="S199" s="1" t="s">
        <v>218</v>
      </c>
      <c r="T199" s="11">
        <v>46163.711805555555</v>
      </c>
      <c r="U199" s="1" t="s">
        <v>218</v>
      </c>
      <c r="V199" s="11">
        <v>46173.5</v>
      </c>
    </row>
    <row r="200" spans="1:22" x14ac:dyDescent="0.3">
      <c r="A200" s="1">
        <v>702637</v>
      </c>
      <c r="B200" s="1">
        <v>564201</v>
      </c>
      <c r="C200" s="1" t="s">
        <v>1189</v>
      </c>
      <c r="D200" s="1" t="s">
        <v>654</v>
      </c>
      <c r="E200" s="1" t="s">
        <v>650</v>
      </c>
      <c r="F200" s="4">
        <v>26687</v>
      </c>
      <c r="G200">
        <v>53</v>
      </c>
      <c r="H200" s="1" t="s">
        <v>212</v>
      </c>
      <c r="I200" s="1" t="s">
        <v>1501</v>
      </c>
      <c r="J200" s="1" t="s">
        <v>1501</v>
      </c>
      <c r="K200" s="1">
        <v>8540</v>
      </c>
      <c r="L200" s="1" t="s">
        <v>261</v>
      </c>
      <c r="M200" s="1" t="s">
        <v>651</v>
      </c>
      <c r="N200" s="1" t="s">
        <v>215</v>
      </c>
      <c r="O200" s="1"/>
      <c r="P200" s="1" t="s">
        <v>652</v>
      </c>
      <c r="Q200" s="1" t="s">
        <v>653</v>
      </c>
      <c r="R200" s="1" t="s">
        <v>216</v>
      </c>
      <c r="S200" s="1" t="s">
        <v>218</v>
      </c>
      <c r="T200" s="11">
        <v>46163.711805555555</v>
      </c>
      <c r="U200" s="1" t="s">
        <v>218</v>
      </c>
      <c r="V200" s="11">
        <v>46173.5</v>
      </c>
    </row>
    <row r="201" spans="1:22" x14ac:dyDescent="0.3">
      <c r="A201" s="1">
        <v>75637</v>
      </c>
      <c r="B201" s="1">
        <v>61869</v>
      </c>
      <c r="C201" s="1" t="s">
        <v>1188</v>
      </c>
      <c r="D201" s="1" t="s">
        <v>270</v>
      </c>
      <c r="E201" s="1" t="s">
        <v>655</v>
      </c>
      <c r="F201" s="4">
        <v>28456</v>
      </c>
      <c r="G201">
        <v>48</v>
      </c>
      <c r="H201" s="1" t="s">
        <v>212</v>
      </c>
      <c r="I201" s="1" t="s">
        <v>1501</v>
      </c>
      <c r="J201" s="1" t="s">
        <v>1501</v>
      </c>
      <c r="K201" s="1">
        <v>8530</v>
      </c>
      <c r="L201" s="1" t="s">
        <v>214</v>
      </c>
      <c r="M201" s="1" t="s">
        <v>1190</v>
      </c>
      <c r="N201" s="1" t="s">
        <v>215</v>
      </c>
      <c r="O201" s="1"/>
      <c r="P201" s="1" t="s">
        <v>212</v>
      </c>
      <c r="Q201" s="1"/>
      <c r="R201" s="1" t="s">
        <v>216</v>
      </c>
      <c r="S201" s="1" t="s">
        <v>218</v>
      </c>
      <c r="T201" s="11">
        <v>46160.392361111109</v>
      </c>
      <c r="U201" s="1" t="s">
        <v>218</v>
      </c>
      <c r="V201" s="11">
        <v>46173.128472222219</v>
      </c>
    </row>
    <row r="202" spans="1:22" x14ac:dyDescent="0.3">
      <c r="A202" s="1">
        <v>361916</v>
      </c>
      <c r="B202" s="1">
        <v>61869</v>
      </c>
      <c r="C202" s="1" t="s">
        <v>1189</v>
      </c>
      <c r="D202" s="1" t="s">
        <v>656</v>
      </c>
      <c r="E202" s="1" t="s">
        <v>300</v>
      </c>
      <c r="F202" s="4">
        <v>30062</v>
      </c>
      <c r="G202">
        <v>43</v>
      </c>
      <c r="H202" s="1" t="s">
        <v>212</v>
      </c>
      <c r="I202" s="1" t="s">
        <v>1501</v>
      </c>
      <c r="J202" s="1" t="s">
        <v>1501</v>
      </c>
      <c r="K202" s="1">
        <v>8530</v>
      </c>
      <c r="L202" s="1" t="s">
        <v>214</v>
      </c>
      <c r="M202" s="1" t="s">
        <v>1190</v>
      </c>
      <c r="N202" s="1" t="s">
        <v>215</v>
      </c>
      <c r="O202" s="1"/>
      <c r="P202" s="1" t="s">
        <v>212</v>
      </c>
      <c r="Q202" s="1"/>
      <c r="R202" s="1" t="s">
        <v>216</v>
      </c>
      <c r="S202" s="1" t="s">
        <v>218</v>
      </c>
      <c r="T202" s="11">
        <v>46160.392361111109</v>
      </c>
      <c r="U202" s="1" t="s">
        <v>218</v>
      </c>
      <c r="V202" s="11">
        <v>46173.128472222219</v>
      </c>
    </row>
    <row r="203" spans="1:22" x14ac:dyDescent="0.3">
      <c r="A203" s="1">
        <v>770888</v>
      </c>
      <c r="B203" s="1">
        <v>61869</v>
      </c>
      <c r="C203" s="1" t="s">
        <v>1189</v>
      </c>
      <c r="D203" s="1" t="s">
        <v>657</v>
      </c>
      <c r="E203" s="1" t="s">
        <v>655</v>
      </c>
      <c r="F203" s="4">
        <v>39642</v>
      </c>
      <c r="G203">
        <v>17</v>
      </c>
      <c r="H203" s="1" t="s">
        <v>212</v>
      </c>
      <c r="I203" s="1" t="s">
        <v>1501</v>
      </c>
      <c r="J203" s="1" t="s">
        <v>1501</v>
      </c>
      <c r="K203" s="1">
        <v>8530</v>
      </c>
      <c r="L203" s="1" t="s">
        <v>214</v>
      </c>
      <c r="M203" s="1" t="s">
        <v>1190</v>
      </c>
      <c r="N203" s="1" t="s">
        <v>215</v>
      </c>
      <c r="O203" s="1"/>
      <c r="P203" s="1" t="s">
        <v>212</v>
      </c>
      <c r="Q203" s="1"/>
      <c r="R203" s="1" t="s">
        <v>216</v>
      </c>
      <c r="S203" s="1" t="s">
        <v>218</v>
      </c>
      <c r="T203" s="11">
        <v>46160.392361111109</v>
      </c>
      <c r="U203" s="1" t="s">
        <v>218</v>
      </c>
      <c r="V203" s="11">
        <v>46173.128472222219</v>
      </c>
    </row>
    <row r="204" spans="1:22" x14ac:dyDescent="0.3">
      <c r="A204" s="1">
        <v>771184</v>
      </c>
      <c r="B204" s="1">
        <v>61869</v>
      </c>
      <c r="C204" s="1" t="s">
        <v>1188</v>
      </c>
      <c r="D204" s="1" t="s">
        <v>658</v>
      </c>
      <c r="E204" s="1" t="s">
        <v>655</v>
      </c>
      <c r="F204" s="4">
        <v>38364</v>
      </c>
      <c r="G204">
        <v>21</v>
      </c>
      <c r="H204" s="1" t="s">
        <v>212</v>
      </c>
      <c r="I204" s="1" t="s">
        <v>1501</v>
      </c>
      <c r="J204" s="1" t="s">
        <v>1501</v>
      </c>
      <c r="K204" s="1">
        <v>8530</v>
      </c>
      <c r="L204" s="1" t="s">
        <v>214</v>
      </c>
      <c r="M204" s="1" t="s">
        <v>1190</v>
      </c>
      <c r="N204" s="1" t="s">
        <v>215</v>
      </c>
      <c r="O204" s="1"/>
      <c r="P204" s="1" t="s">
        <v>212</v>
      </c>
      <c r="Q204" s="1"/>
      <c r="R204" s="1" t="s">
        <v>216</v>
      </c>
      <c r="S204" s="1" t="s">
        <v>218</v>
      </c>
      <c r="T204" s="11">
        <v>46160.392361111109</v>
      </c>
      <c r="U204" s="1" t="s">
        <v>218</v>
      </c>
      <c r="V204" s="11">
        <v>46173.128472222219</v>
      </c>
    </row>
    <row r="205" spans="1:22" x14ac:dyDescent="0.3">
      <c r="A205" s="1">
        <v>845500</v>
      </c>
      <c r="B205" s="1">
        <v>683526</v>
      </c>
      <c r="C205" s="1" t="s">
        <v>1188</v>
      </c>
      <c r="D205" s="1" t="s">
        <v>659</v>
      </c>
      <c r="E205" s="1" t="s">
        <v>280</v>
      </c>
      <c r="F205" s="4">
        <v>25569</v>
      </c>
      <c r="G205">
        <v>56</v>
      </c>
      <c r="H205" s="1" t="s">
        <v>212</v>
      </c>
      <c r="I205" s="1" t="s">
        <v>1501</v>
      </c>
      <c r="J205" s="1" t="s">
        <v>1501</v>
      </c>
      <c r="K205" s="1">
        <v>8530</v>
      </c>
      <c r="L205" s="1" t="s">
        <v>214</v>
      </c>
      <c r="M205" s="1" t="s">
        <v>1193</v>
      </c>
      <c r="N205" s="1" t="s">
        <v>215</v>
      </c>
      <c r="O205" s="1"/>
      <c r="P205" s="1" t="s">
        <v>212</v>
      </c>
      <c r="Q205" s="1"/>
      <c r="R205" s="1" t="s">
        <v>216</v>
      </c>
      <c r="S205" s="1" t="s">
        <v>218</v>
      </c>
      <c r="T205" s="11">
        <v>46160.739583333336</v>
      </c>
      <c r="U205" s="1" t="s">
        <v>218</v>
      </c>
      <c r="V205" s="11">
        <v>46172.350694444445</v>
      </c>
    </row>
    <row r="206" spans="1:22" x14ac:dyDescent="0.3">
      <c r="A206" s="1">
        <v>845737</v>
      </c>
      <c r="B206" s="1">
        <v>683526</v>
      </c>
      <c r="C206" s="1" t="s">
        <v>1189</v>
      </c>
      <c r="D206" s="1" t="s">
        <v>375</v>
      </c>
      <c r="E206" s="1" t="s">
        <v>660</v>
      </c>
      <c r="F206" s="4">
        <v>27237</v>
      </c>
      <c r="G206">
        <v>51</v>
      </c>
      <c r="H206" s="1" t="s">
        <v>212</v>
      </c>
      <c r="I206" s="1" t="s">
        <v>1501</v>
      </c>
      <c r="J206" s="1" t="s">
        <v>1501</v>
      </c>
      <c r="K206" s="1">
        <v>8530</v>
      </c>
      <c r="L206" s="1" t="s">
        <v>214</v>
      </c>
      <c r="M206" s="1" t="s">
        <v>1193</v>
      </c>
      <c r="N206" s="1" t="s">
        <v>215</v>
      </c>
      <c r="O206" s="1"/>
      <c r="P206" s="1" t="s">
        <v>212</v>
      </c>
      <c r="Q206" s="1"/>
      <c r="R206" s="1" t="s">
        <v>216</v>
      </c>
      <c r="S206" s="1" t="s">
        <v>218</v>
      </c>
      <c r="T206" s="11">
        <v>46160.739583333336</v>
      </c>
      <c r="U206" s="1" t="s">
        <v>218</v>
      </c>
      <c r="V206" s="11">
        <v>46172.350694444445</v>
      </c>
    </row>
    <row r="207" spans="1:22" x14ac:dyDescent="0.3">
      <c r="A207" s="1">
        <v>548574</v>
      </c>
      <c r="B207" s="1">
        <v>435574</v>
      </c>
      <c r="C207" s="1" t="s">
        <v>1189</v>
      </c>
      <c r="D207" s="1" t="s">
        <v>661</v>
      </c>
      <c r="E207" s="1" t="s">
        <v>662</v>
      </c>
      <c r="F207" s="4">
        <v>33336</v>
      </c>
      <c r="G207">
        <v>34</v>
      </c>
      <c r="H207" s="1" t="s">
        <v>212</v>
      </c>
      <c r="I207" s="1" t="s">
        <v>1503</v>
      </c>
      <c r="J207" s="1" t="s">
        <v>1503</v>
      </c>
      <c r="K207" s="1">
        <v>8529</v>
      </c>
      <c r="L207" s="1" t="s">
        <v>261</v>
      </c>
      <c r="M207" s="1" t="s">
        <v>663</v>
      </c>
      <c r="N207" s="1" t="s">
        <v>215</v>
      </c>
      <c r="O207" s="1"/>
      <c r="P207" s="1" t="s">
        <v>664</v>
      </c>
      <c r="Q207" s="1" t="s">
        <v>665</v>
      </c>
      <c r="R207" s="1" t="s">
        <v>216</v>
      </c>
      <c r="S207" s="1" t="s">
        <v>218</v>
      </c>
      <c r="T207" s="11">
        <v>46161.430555555555</v>
      </c>
      <c r="U207" s="1" t="s">
        <v>218</v>
      </c>
      <c r="V207" s="11">
        <v>46173.236111111109</v>
      </c>
    </row>
    <row r="208" spans="1:22" x14ac:dyDescent="0.3">
      <c r="A208" s="1">
        <v>343195</v>
      </c>
      <c r="B208" s="1">
        <v>270687</v>
      </c>
      <c r="C208" s="1" t="s">
        <v>1189</v>
      </c>
      <c r="D208" s="1" t="s">
        <v>666</v>
      </c>
      <c r="E208" s="1" t="s">
        <v>271</v>
      </c>
      <c r="F208" s="4">
        <v>29832</v>
      </c>
      <c r="G208">
        <v>44</v>
      </c>
      <c r="H208" s="1" t="s">
        <v>212</v>
      </c>
      <c r="I208" s="1" t="s">
        <v>1501</v>
      </c>
      <c r="J208" s="1" t="s">
        <v>1501</v>
      </c>
      <c r="K208" s="1">
        <v>8530</v>
      </c>
      <c r="L208" s="1" t="s">
        <v>214</v>
      </c>
      <c r="M208" s="1" t="s">
        <v>1202</v>
      </c>
      <c r="N208" s="1" t="s">
        <v>215</v>
      </c>
      <c r="O208" s="1" t="b">
        <v>1</v>
      </c>
      <c r="P208" s="1" t="s">
        <v>212</v>
      </c>
      <c r="Q208" s="1"/>
      <c r="R208" s="1" t="s">
        <v>216</v>
      </c>
      <c r="S208" s="1" t="s">
        <v>218</v>
      </c>
      <c r="T208" s="11">
        <v>46160.107638888891</v>
      </c>
      <c r="U208" s="1" t="s">
        <v>218</v>
      </c>
      <c r="V208" s="11">
        <v>46172.409722222219</v>
      </c>
    </row>
    <row r="209" spans="1:22" x14ac:dyDescent="0.3">
      <c r="A209" s="1">
        <v>343848</v>
      </c>
      <c r="B209" s="1">
        <v>270687</v>
      </c>
      <c r="C209" s="1" t="s">
        <v>1188</v>
      </c>
      <c r="D209" s="1" t="s">
        <v>667</v>
      </c>
      <c r="E209" s="1" t="s">
        <v>271</v>
      </c>
      <c r="F209" s="4">
        <v>26700</v>
      </c>
      <c r="G209">
        <v>53</v>
      </c>
      <c r="H209" s="1" t="s">
        <v>212</v>
      </c>
      <c r="I209" s="1" t="s">
        <v>1501</v>
      </c>
      <c r="J209" s="1" t="s">
        <v>1501</v>
      </c>
      <c r="K209" s="1">
        <v>8530</v>
      </c>
      <c r="L209" s="1" t="s">
        <v>214</v>
      </c>
      <c r="M209" s="1" t="s">
        <v>1202</v>
      </c>
      <c r="N209" s="1" t="s">
        <v>215</v>
      </c>
      <c r="O209" s="1" t="b">
        <v>1</v>
      </c>
      <c r="P209" s="1" t="s">
        <v>212</v>
      </c>
      <c r="Q209" s="1"/>
      <c r="R209" s="1" t="s">
        <v>216</v>
      </c>
      <c r="S209" s="1" t="s">
        <v>218</v>
      </c>
      <c r="T209" s="11">
        <v>46160.107638888891</v>
      </c>
      <c r="U209" s="1" t="s">
        <v>218</v>
      </c>
      <c r="V209" s="11">
        <v>46172.409722222219</v>
      </c>
    </row>
    <row r="210" spans="1:22" x14ac:dyDescent="0.3">
      <c r="A210" s="1">
        <v>722193</v>
      </c>
      <c r="B210" s="1">
        <v>620515</v>
      </c>
      <c r="C210" s="1" t="s">
        <v>1189</v>
      </c>
      <c r="D210" s="1" t="s">
        <v>367</v>
      </c>
      <c r="E210" s="1" t="s">
        <v>668</v>
      </c>
      <c r="F210" s="4">
        <v>27261</v>
      </c>
      <c r="G210">
        <v>51</v>
      </c>
      <c r="H210" s="1" t="s">
        <v>212</v>
      </c>
      <c r="I210" s="1" t="s">
        <v>1501</v>
      </c>
      <c r="J210" s="1" t="s">
        <v>1501</v>
      </c>
      <c r="K210" s="1">
        <v>8535</v>
      </c>
      <c r="L210" s="1" t="s">
        <v>214</v>
      </c>
      <c r="M210" s="1" t="s">
        <v>1191</v>
      </c>
      <c r="N210" s="1" t="s">
        <v>215</v>
      </c>
      <c r="O210" s="1"/>
      <c r="P210" s="1" t="s">
        <v>212</v>
      </c>
      <c r="Q210" s="1"/>
      <c r="R210" s="1" t="s">
        <v>216</v>
      </c>
      <c r="S210" s="1" t="s">
        <v>218</v>
      </c>
      <c r="T210" s="11">
        <v>46163.236111111109</v>
      </c>
      <c r="U210" s="1" t="s">
        <v>218</v>
      </c>
      <c r="V210" s="11">
        <v>46175.930555555555</v>
      </c>
    </row>
    <row r="211" spans="1:22" x14ac:dyDescent="0.3">
      <c r="A211" s="1">
        <v>765159</v>
      </c>
      <c r="B211" s="1">
        <v>620515</v>
      </c>
      <c r="C211" s="1" t="s">
        <v>1189</v>
      </c>
      <c r="D211" s="1" t="s">
        <v>669</v>
      </c>
      <c r="E211" s="1" t="s">
        <v>670</v>
      </c>
      <c r="F211" s="4">
        <v>27168</v>
      </c>
      <c r="G211">
        <v>51</v>
      </c>
      <c r="H211" s="1" t="s">
        <v>212</v>
      </c>
      <c r="I211" s="1" t="s">
        <v>1501</v>
      </c>
      <c r="J211" s="1" t="s">
        <v>1501</v>
      </c>
      <c r="K211" s="1">
        <v>8535</v>
      </c>
      <c r="L211" s="1" t="s">
        <v>214</v>
      </c>
      <c r="M211" s="1" t="s">
        <v>1191</v>
      </c>
      <c r="N211" s="1" t="s">
        <v>215</v>
      </c>
      <c r="O211" s="1"/>
      <c r="P211" s="1" t="s">
        <v>212</v>
      </c>
      <c r="Q211" s="1"/>
      <c r="R211" s="1" t="s">
        <v>216</v>
      </c>
      <c r="S211" s="1" t="s">
        <v>218</v>
      </c>
      <c r="T211" s="11">
        <v>46163.236111111109</v>
      </c>
      <c r="U211" s="1" t="s">
        <v>218</v>
      </c>
      <c r="V211" s="11">
        <v>46175.930555555555</v>
      </c>
    </row>
    <row r="212" spans="1:22" x14ac:dyDescent="0.3">
      <c r="A212" s="1">
        <v>729136</v>
      </c>
      <c r="B212" s="1">
        <v>611810</v>
      </c>
      <c r="C212" s="1" t="s">
        <v>1188</v>
      </c>
      <c r="D212" s="1" t="s">
        <v>671</v>
      </c>
      <c r="E212" s="1" t="s">
        <v>672</v>
      </c>
      <c r="F212" s="4">
        <v>22543</v>
      </c>
      <c r="G212">
        <v>64</v>
      </c>
      <c r="H212" s="1" t="s">
        <v>212</v>
      </c>
      <c r="I212" s="1" t="s">
        <v>1501</v>
      </c>
      <c r="J212" s="1" t="s">
        <v>1501</v>
      </c>
      <c r="K212" s="1">
        <v>8550</v>
      </c>
      <c r="L212" s="1" t="s">
        <v>214</v>
      </c>
      <c r="M212" s="1" t="s">
        <v>1190</v>
      </c>
      <c r="N212" s="1" t="s">
        <v>215</v>
      </c>
      <c r="O212" s="1"/>
      <c r="P212" s="1" t="s">
        <v>212</v>
      </c>
      <c r="Q212" s="1"/>
      <c r="R212" s="1" t="s">
        <v>216</v>
      </c>
      <c r="S212" s="1" t="s">
        <v>218</v>
      </c>
      <c r="T212" s="11">
        <v>46160.392361111109</v>
      </c>
      <c r="U212" s="1" t="s">
        <v>218</v>
      </c>
      <c r="V212" s="11">
        <v>46173.128472222219</v>
      </c>
    </row>
    <row r="213" spans="1:22" x14ac:dyDescent="0.3">
      <c r="A213" s="1">
        <v>755504</v>
      </c>
      <c r="B213" s="1">
        <v>611810</v>
      </c>
      <c r="C213" s="1" t="s">
        <v>1188</v>
      </c>
      <c r="D213" s="1" t="s">
        <v>673</v>
      </c>
      <c r="E213" s="1" t="s">
        <v>229</v>
      </c>
      <c r="F213" s="4">
        <v>20977</v>
      </c>
      <c r="G213">
        <v>68</v>
      </c>
      <c r="H213" s="1" t="s">
        <v>212</v>
      </c>
      <c r="I213" s="1" t="s">
        <v>1501</v>
      </c>
      <c r="J213" s="1" t="s">
        <v>1501</v>
      </c>
      <c r="K213" s="1">
        <v>8550</v>
      </c>
      <c r="L213" s="1" t="s">
        <v>214</v>
      </c>
      <c r="M213" s="1" t="s">
        <v>1190</v>
      </c>
      <c r="N213" s="1" t="s">
        <v>215</v>
      </c>
      <c r="O213" s="1"/>
      <c r="P213" s="1" t="s">
        <v>212</v>
      </c>
      <c r="Q213" s="1"/>
      <c r="R213" s="1" t="s">
        <v>216</v>
      </c>
      <c r="S213" s="1" t="s">
        <v>218</v>
      </c>
      <c r="T213" s="11">
        <v>46160.392361111109</v>
      </c>
      <c r="U213" s="1" t="s">
        <v>218</v>
      </c>
      <c r="V213" s="11">
        <v>46173.128472222219</v>
      </c>
    </row>
    <row r="214" spans="1:22" x14ac:dyDescent="0.3">
      <c r="A214" s="1">
        <v>105988</v>
      </c>
      <c r="B214" s="1">
        <v>83548</v>
      </c>
      <c r="C214" s="1" t="s">
        <v>1188</v>
      </c>
      <c r="D214" s="1" t="s">
        <v>674</v>
      </c>
      <c r="E214" s="1" t="s">
        <v>675</v>
      </c>
      <c r="F214" s="4">
        <v>24743</v>
      </c>
      <c r="G214">
        <v>58</v>
      </c>
      <c r="H214" s="1" t="s">
        <v>212</v>
      </c>
      <c r="I214" s="1" t="s">
        <v>1501</v>
      </c>
      <c r="J214" s="1" t="s">
        <v>1501</v>
      </c>
      <c r="K214" s="1">
        <v>8524</v>
      </c>
      <c r="L214" s="1" t="s">
        <v>214</v>
      </c>
      <c r="M214" s="1" t="s">
        <v>1212</v>
      </c>
      <c r="N214" s="1" t="s">
        <v>215</v>
      </c>
      <c r="O214" s="1"/>
      <c r="P214" s="1" t="s">
        <v>212</v>
      </c>
      <c r="Q214" s="1"/>
      <c r="R214" s="1" t="s">
        <v>216</v>
      </c>
      <c r="S214" s="1" t="s">
        <v>217</v>
      </c>
      <c r="T214" s="11">
        <v>46164.579861111109</v>
      </c>
      <c r="U214" s="1" t="s">
        <v>218</v>
      </c>
      <c r="V214" s="11">
        <v>46177.149305555555</v>
      </c>
    </row>
    <row r="215" spans="1:22" x14ac:dyDescent="0.3">
      <c r="A215" s="1">
        <v>106019</v>
      </c>
      <c r="B215" s="1">
        <v>83548</v>
      </c>
      <c r="C215" s="1" t="s">
        <v>1189</v>
      </c>
      <c r="D215" s="1" t="s">
        <v>676</v>
      </c>
      <c r="E215" s="1" t="s">
        <v>677</v>
      </c>
      <c r="F215" s="4">
        <v>26305</v>
      </c>
      <c r="G215">
        <v>54</v>
      </c>
      <c r="H215" s="1" t="s">
        <v>212</v>
      </c>
      <c r="I215" s="1" t="s">
        <v>1501</v>
      </c>
      <c r="J215" s="1" t="s">
        <v>1501</v>
      </c>
      <c r="K215" s="1">
        <v>8524</v>
      </c>
      <c r="L215" s="1" t="s">
        <v>214</v>
      </c>
      <c r="M215" s="1" t="s">
        <v>1212</v>
      </c>
      <c r="N215" s="1" t="s">
        <v>215</v>
      </c>
      <c r="O215" s="1"/>
      <c r="P215" s="1" t="s">
        <v>212</v>
      </c>
      <c r="Q215" s="1"/>
      <c r="R215" s="1" t="s">
        <v>216</v>
      </c>
      <c r="S215" s="1" t="s">
        <v>217</v>
      </c>
      <c r="T215" s="11">
        <v>46164.579861111109</v>
      </c>
      <c r="U215" s="1" t="s">
        <v>218</v>
      </c>
      <c r="V215" s="11">
        <v>46177.149305555555</v>
      </c>
    </row>
    <row r="216" spans="1:22" x14ac:dyDescent="0.3">
      <c r="A216" s="1">
        <v>631273</v>
      </c>
      <c r="B216" s="1">
        <v>511601</v>
      </c>
      <c r="C216" s="1" t="s">
        <v>1189</v>
      </c>
      <c r="D216" s="1" t="s">
        <v>678</v>
      </c>
      <c r="E216" s="1" t="s">
        <v>679</v>
      </c>
      <c r="F216" s="4">
        <v>30726</v>
      </c>
      <c r="G216">
        <v>42</v>
      </c>
      <c r="H216" s="1" t="s">
        <v>212</v>
      </c>
      <c r="I216" s="1" t="s">
        <v>1502</v>
      </c>
      <c r="J216" s="1" t="s">
        <v>1502</v>
      </c>
      <c r="K216" s="1">
        <v>8530</v>
      </c>
      <c r="L216" s="1" t="s">
        <v>214</v>
      </c>
      <c r="M216" s="1" t="s">
        <v>1209</v>
      </c>
      <c r="N216" s="1" t="s">
        <v>215</v>
      </c>
      <c r="O216" s="1"/>
      <c r="P216" s="1" t="s">
        <v>212</v>
      </c>
      <c r="Q216" s="1"/>
      <c r="R216" s="1" t="s">
        <v>216</v>
      </c>
      <c r="S216" s="1" t="s">
        <v>218</v>
      </c>
      <c r="T216" s="11">
        <v>46160.739583333336</v>
      </c>
      <c r="U216" s="1" t="s">
        <v>218</v>
      </c>
      <c r="V216" s="11">
        <v>46172.385416666664</v>
      </c>
    </row>
    <row r="217" spans="1:22" x14ac:dyDescent="0.3">
      <c r="A217" s="1">
        <v>631382</v>
      </c>
      <c r="B217" s="1">
        <v>511674</v>
      </c>
      <c r="C217" s="1" t="s">
        <v>1189</v>
      </c>
      <c r="D217" s="1" t="s">
        <v>680</v>
      </c>
      <c r="E217" s="1" t="s">
        <v>681</v>
      </c>
      <c r="F217" s="4">
        <v>34181</v>
      </c>
      <c r="G217">
        <v>32</v>
      </c>
      <c r="H217" s="1" t="s">
        <v>212</v>
      </c>
      <c r="I217" s="1" t="s">
        <v>1501</v>
      </c>
      <c r="J217" s="1" t="s">
        <v>1501</v>
      </c>
      <c r="K217" s="1">
        <v>8525</v>
      </c>
      <c r="L217" s="1" t="s">
        <v>214</v>
      </c>
      <c r="M217" s="1" t="s">
        <v>1202</v>
      </c>
      <c r="N217" s="1" t="s">
        <v>215</v>
      </c>
      <c r="O217" s="1"/>
      <c r="P217" s="1" t="s">
        <v>212</v>
      </c>
      <c r="Q217" s="1"/>
      <c r="R217" s="1" t="s">
        <v>216</v>
      </c>
      <c r="S217" s="1" t="s">
        <v>218</v>
      </c>
      <c r="T217" s="11">
        <v>46160.107638888891</v>
      </c>
      <c r="U217" s="1" t="s">
        <v>218</v>
      </c>
      <c r="V217" s="11">
        <v>46172.409722222219</v>
      </c>
    </row>
    <row r="218" spans="1:22" x14ac:dyDescent="0.3">
      <c r="A218" s="1">
        <v>631637</v>
      </c>
      <c r="B218" s="1">
        <v>511674</v>
      </c>
      <c r="C218" s="1" t="s">
        <v>1188</v>
      </c>
      <c r="D218" s="1" t="s">
        <v>256</v>
      </c>
      <c r="E218" s="1" t="s">
        <v>681</v>
      </c>
      <c r="F218" s="4">
        <v>32957</v>
      </c>
      <c r="G218">
        <v>35</v>
      </c>
      <c r="H218" s="1" t="s">
        <v>212</v>
      </c>
      <c r="I218" s="1" t="s">
        <v>1501</v>
      </c>
      <c r="J218" s="1" t="s">
        <v>1501</v>
      </c>
      <c r="K218" s="1">
        <v>8525</v>
      </c>
      <c r="L218" s="1" t="s">
        <v>214</v>
      </c>
      <c r="M218" s="1" t="s">
        <v>1202</v>
      </c>
      <c r="N218" s="1" t="s">
        <v>215</v>
      </c>
      <c r="O218" s="1"/>
      <c r="P218" s="1" t="s">
        <v>212</v>
      </c>
      <c r="Q218" s="1"/>
      <c r="R218" s="1" t="s">
        <v>216</v>
      </c>
      <c r="S218" s="1" t="s">
        <v>218</v>
      </c>
      <c r="T218" s="11">
        <v>46160.107638888891</v>
      </c>
      <c r="U218" s="1" t="s">
        <v>218</v>
      </c>
      <c r="V218" s="11">
        <v>46172.409722222219</v>
      </c>
    </row>
    <row r="219" spans="1:22" x14ac:dyDescent="0.3">
      <c r="A219" s="1">
        <v>770596</v>
      </c>
      <c r="B219" s="1">
        <v>624707</v>
      </c>
      <c r="C219" s="1" t="s">
        <v>1189</v>
      </c>
      <c r="D219" s="1" t="s">
        <v>298</v>
      </c>
      <c r="E219" s="1" t="s">
        <v>682</v>
      </c>
      <c r="F219" s="4">
        <v>29325</v>
      </c>
      <c r="G219">
        <v>45</v>
      </c>
      <c r="H219" s="1" t="s">
        <v>212</v>
      </c>
      <c r="I219" s="1" t="s">
        <v>1501</v>
      </c>
      <c r="J219" s="1" t="s">
        <v>1501</v>
      </c>
      <c r="K219" s="1">
        <v>8530</v>
      </c>
      <c r="L219" s="1" t="s">
        <v>214</v>
      </c>
      <c r="M219" s="1" t="s">
        <v>1190</v>
      </c>
      <c r="N219" s="1" t="s">
        <v>215</v>
      </c>
      <c r="O219" s="1"/>
      <c r="P219" s="1" t="s">
        <v>212</v>
      </c>
      <c r="Q219" s="1"/>
      <c r="R219" s="1" t="s">
        <v>216</v>
      </c>
      <c r="S219" s="1" t="s">
        <v>218</v>
      </c>
      <c r="T219" s="11">
        <v>46160.392361111109</v>
      </c>
      <c r="U219" s="1" t="s">
        <v>218</v>
      </c>
      <c r="V219" s="11">
        <v>46173.128472222219</v>
      </c>
    </row>
    <row r="220" spans="1:22" x14ac:dyDescent="0.3">
      <c r="A220" s="1">
        <v>850055</v>
      </c>
      <c r="B220" s="1">
        <v>687158</v>
      </c>
      <c r="C220" s="1" t="s">
        <v>1188</v>
      </c>
      <c r="D220" s="1" t="s">
        <v>683</v>
      </c>
      <c r="E220" s="1" t="s">
        <v>270</v>
      </c>
      <c r="F220" s="4">
        <v>25634</v>
      </c>
      <c r="G220">
        <v>55</v>
      </c>
      <c r="H220" s="1" t="s">
        <v>212</v>
      </c>
      <c r="I220" s="1" t="s">
        <v>1501</v>
      </c>
      <c r="J220" s="1" t="s">
        <v>1501</v>
      </c>
      <c r="K220" s="1">
        <v>8535</v>
      </c>
      <c r="L220" s="1" t="s">
        <v>261</v>
      </c>
      <c r="M220" s="1" t="s">
        <v>684</v>
      </c>
      <c r="N220" s="1" t="s">
        <v>215</v>
      </c>
      <c r="O220" s="1"/>
      <c r="P220" s="1" t="s">
        <v>685</v>
      </c>
      <c r="Q220" s="1" t="s">
        <v>686</v>
      </c>
      <c r="R220" s="1" t="s">
        <v>216</v>
      </c>
      <c r="S220" s="1" t="s">
        <v>218</v>
      </c>
      <c r="T220" s="11">
        <v>46163.913194444445</v>
      </c>
      <c r="U220" s="1" t="s">
        <v>218</v>
      </c>
      <c r="V220" s="11">
        <v>46175.71875</v>
      </c>
    </row>
    <row r="221" spans="1:22" x14ac:dyDescent="0.3">
      <c r="A221" s="1">
        <v>850078</v>
      </c>
      <c r="B221" s="1">
        <v>687158</v>
      </c>
      <c r="C221" s="1" t="s">
        <v>1189</v>
      </c>
      <c r="D221" s="1" t="s">
        <v>687</v>
      </c>
      <c r="E221" s="1" t="s">
        <v>229</v>
      </c>
      <c r="F221" s="4">
        <v>27705</v>
      </c>
      <c r="G221">
        <v>50</v>
      </c>
      <c r="H221" s="1" t="s">
        <v>212</v>
      </c>
      <c r="I221" s="1" t="s">
        <v>1501</v>
      </c>
      <c r="J221" s="1" t="s">
        <v>1501</v>
      </c>
      <c r="K221" s="1">
        <v>8535</v>
      </c>
      <c r="L221" s="1" t="s">
        <v>261</v>
      </c>
      <c r="M221" s="1" t="s">
        <v>684</v>
      </c>
      <c r="N221" s="1" t="s">
        <v>215</v>
      </c>
      <c r="O221" s="1"/>
      <c r="P221" s="1" t="s">
        <v>685</v>
      </c>
      <c r="Q221" s="1" t="s">
        <v>686</v>
      </c>
      <c r="R221" s="1" t="s">
        <v>216</v>
      </c>
      <c r="S221" s="1" t="s">
        <v>218</v>
      </c>
      <c r="T221" s="11">
        <v>46163.913194444445</v>
      </c>
      <c r="U221" s="1" t="s">
        <v>218</v>
      </c>
      <c r="V221" s="11">
        <v>46175.71875</v>
      </c>
    </row>
    <row r="222" spans="1:22" x14ac:dyDescent="0.3">
      <c r="A222" s="1">
        <v>524572</v>
      </c>
      <c r="B222" s="1">
        <v>415113</v>
      </c>
      <c r="C222" s="1" t="s">
        <v>1188</v>
      </c>
      <c r="D222" s="1" t="s">
        <v>431</v>
      </c>
      <c r="E222" s="1" t="s">
        <v>688</v>
      </c>
      <c r="F222" s="4">
        <v>23704</v>
      </c>
      <c r="G222">
        <v>61</v>
      </c>
      <c r="H222" s="1" t="s">
        <v>212</v>
      </c>
      <c r="I222" s="1" t="s">
        <v>1501</v>
      </c>
      <c r="J222" s="1" t="s">
        <v>1501</v>
      </c>
      <c r="K222" s="1">
        <v>8710</v>
      </c>
      <c r="L222" s="1" t="s">
        <v>214</v>
      </c>
      <c r="M222" s="1" t="s">
        <v>1190</v>
      </c>
      <c r="N222" s="1" t="s">
        <v>215</v>
      </c>
      <c r="O222" s="1"/>
      <c r="P222" s="1" t="s">
        <v>212</v>
      </c>
      <c r="Q222" s="1"/>
      <c r="R222" s="1" t="s">
        <v>216</v>
      </c>
      <c r="S222" s="1" t="s">
        <v>218</v>
      </c>
      <c r="T222" s="11">
        <v>46160.392361111109</v>
      </c>
      <c r="U222" s="1" t="s">
        <v>218</v>
      </c>
      <c r="V222" s="11">
        <v>46173.128472222219</v>
      </c>
    </row>
    <row r="223" spans="1:22" x14ac:dyDescent="0.3">
      <c r="A223" s="1">
        <v>478601</v>
      </c>
      <c r="B223" s="1">
        <v>375855</v>
      </c>
      <c r="C223" s="1" t="s">
        <v>1188</v>
      </c>
      <c r="D223" s="1" t="s">
        <v>542</v>
      </c>
      <c r="E223" s="1" t="s">
        <v>229</v>
      </c>
      <c r="F223" s="4">
        <v>29198</v>
      </c>
      <c r="G223">
        <v>46</v>
      </c>
      <c r="H223" s="1" t="s">
        <v>212</v>
      </c>
      <c r="I223" s="1" t="s">
        <v>1501</v>
      </c>
      <c r="J223" s="1" t="s">
        <v>1501</v>
      </c>
      <c r="K223" s="1">
        <v>8530</v>
      </c>
      <c r="L223" s="1" t="s">
        <v>261</v>
      </c>
      <c r="M223" s="1" t="s">
        <v>689</v>
      </c>
      <c r="N223" s="1" t="s">
        <v>215</v>
      </c>
      <c r="O223" s="1"/>
      <c r="P223" s="1" t="s">
        <v>690</v>
      </c>
      <c r="Q223" s="1" t="s">
        <v>691</v>
      </c>
      <c r="R223" s="1" t="s">
        <v>216</v>
      </c>
      <c r="S223" s="1" t="s">
        <v>217</v>
      </c>
      <c r="T223" s="11">
        <v>46160.638888888891</v>
      </c>
      <c r="U223" s="1" t="s">
        <v>218</v>
      </c>
      <c r="V223" s="11">
        <v>46173.25</v>
      </c>
    </row>
    <row r="224" spans="1:22" x14ac:dyDescent="0.3">
      <c r="A224" s="1">
        <v>615594</v>
      </c>
      <c r="B224" s="1">
        <v>519550</v>
      </c>
      <c r="C224" s="1" t="s">
        <v>1189</v>
      </c>
      <c r="D224" s="1" t="s">
        <v>692</v>
      </c>
      <c r="E224" s="1" t="s">
        <v>693</v>
      </c>
      <c r="F224" s="4">
        <v>27602</v>
      </c>
      <c r="G224">
        <v>50</v>
      </c>
      <c r="H224" s="1" t="s">
        <v>212</v>
      </c>
      <c r="I224" s="1" t="s">
        <v>1501</v>
      </c>
      <c r="J224" s="1" t="s">
        <v>1501</v>
      </c>
      <c r="K224" s="1">
        <v>8538</v>
      </c>
      <c r="L224" s="1" t="s">
        <v>214</v>
      </c>
      <c r="M224" s="1" t="s">
        <v>1191</v>
      </c>
      <c r="N224" s="1" t="s">
        <v>215</v>
      </c>
      <c r="O224" s="1"/>
      <c r="P224" s="1" t="s">
        <v>212</v>
      </c>
      <c r="Q224" s="1"/>
      <c r="R224" s="1" t="s">
        <v>216</v>
      </c>
      <c r="S224" s="1" t="s">
        <v>218</v>
      </c>
      <c r="T224" s="11">
        <v>46163.236111111109</v>
      </c>
      <c r="U224" s="1" t="s">
        <v>218</v>
      </c>
      <c r="V224" s="11">
        <v>46175.930555555555</v>
      </c>
    </row>
    <row r="225" spans="1:22" x14ac:dyDescent="0.3">
      <c r="A225" s="1">
        <v>640715</v>
      </c>
      <c r="B225" s="1">
        <v>519550</v>
      </c>
      <c r="C225" s="1" t="s">
        <v>1188</v>
      </c>
      <c r="D225" s="1" t="s">
        <v>256</v>
      </c>
      <c r="E225" s="1" t="s">
        <v>694</v>
      </c>
      <c r="F225" s="4">
        <v>27027</v>
      </c>
      <c r="G225">
        <v>52</v>
      </c>
      <c r="H225" s="1" t="s">
        <v>212</v>
      </c>
      <c r="I225" s="1" t="s">
        <v>1501</v>
      </c>
      <c r="J225" s="1" t="s">
        <v>1501</v>
      </c>
      <c r="K225" s="1">
        <v>8538</v>
      </c>
      <c r="L225" s="1" t="s">
        <v>214</v>
      </c>
      <c r="M225" s="1" t="s">
        <v>1191</v>
      </c>
      <c r="N225" s="1" t="s">
        <v>215</v>
      </c>
      <c r="O225" s="1"/>
      <c r="P225" s="1" t="s">
        <v>212</v>
      </c>
      <c r="Q225" s="1"/>
      <c r="R225" s="1" t="s">
        <v>216</v>
      </c>
      <c r="S225" s="1" t="s">
        <v>218</v>
      </c>
      <c r="T225" s="11">
        <v>46163.236111111109</v>
      </c>
      <c r="U225" s="1" t="s">
        <v>218</v>
      </c>
      <c r="V225" s="11">
        <v>46175.930555555555</v>
      </c>
    </row>
    <row r="226" spans="1:22" x14ac:dyDescent="0.3">
      <c r="A226" s="1">
        <v>102924</v>
      </c>
      <c r="B226" s="1">
        <v>81387</v>
      </c>
      <c r="C226" s="1" t="s">
        <v>1188</v>
      </c>
      <c r="D226" s="1" t="s">
        <v>695</v>
      </c>
      <c r="E226" s="1" t="s">
        <v>696</v>
      </c>
      <c r="F226" s="4">
        <v>32336</v>
      </c>
      <c r="G226">
        <v>37</v>
      </c>
      <c r="H226" s="1" t="s">
        <v>212</v>
      </c>
      <c r="I226" s="1" t="s">
        <v>1501</v>
      </c>
      <c r="J226" s="1" t="s">
        <v>1501</v>
      </c>
      <c r="K226" s="1">
        <v>8530</v>
      </c>
      <c r="L226" s="1" t="s">
        <v>214</v>
      </c>
      <c r="M226" s="1" t="s">
        <v>1203</v>
      </c>
      <c r="N226" s="1" t="s">
        <v>215</v>
      </c>
      <c r="O226" s="1"/>
      <c r="P226" s="1" t="s">
        <v>212</v>
      </c>
      <c r="Q226" s="1"/>
      <c r="R226" s="1" t="s">
        <v>216</v>
      </c>
      <c r="S226" s="1" t="s">
        <v>218</v>
      </c>
      <c r="T226" s="11">
        <v>46160.107638888891</v>
      </c>
      <c r="U226" s="1" t="s">
        <v>218</v>
      </c>
      <c r="V226" s="11">
        <v>46172.409722222219</v>
      </c>
    </row>
    <row r="227" spans="1:22" x14ac:dyDescent="0.3">
      <c r="A227" s="1">
        <v>125991</v>
      </c>
      <c r="B227" s="1">
        <v>96906</v>
      </c>
      <c r="C227" s="1" t="s">
        <v>1188</v>
      </c>
      <c r="D227" s="1" t="s">
        <v>697</v>
      </c>
      <c r="E227" s="1" t="s">
        <v>698</v>
      </c>
      <c r="F227" s="4">
        <v>27616</v>
      </c>
      <c r="G227">
        <v>50</v>
      </c>
      <c r="H227" s="1" t="s">
        <v>212</v>
      </c>
      <c r="I227" s="1" t="s">
        <v>1502</v>
      </c>
      <c r="J227" s="1" t="s">
        <v>1502</v>
      </c>
      <c r="K227" s="1">
        <v>8728</v>
      </c>
      <c r="L227" s="1" t="s">
        <v>261</v>
      </c>
      <c r="M227" s="1" t="s">
        <v>699</v>
      </c>
      <c r="N227" s="1" t="s">
        <v>215</v>
      </c>
      <c r="O227" s="1" t="b">
        <v>1</v>
      </c>
      <c r="P227" s="1" t="s">
        <v>700</v>
      </c>
      <c r="Q227" s="1" t="s">
        <v>701</v>
      </c>
      <c r="R227" s="1" t="s">
        <v>216</v>
      </c>
      <c r="S227" s="1" t="s">
        <v>218</v>
      </c>
      <c r="T227" s="11">
        <v>46163.954861111109</v>
      </c>
      <c r="U227" s="1" t="s">
        <v>217</v>
      </c>
      <c r="V227" s="11">
        <v>46175.416666666664</v>
      </c>
    </row>
    <row r="228" spans="1:22" x14ac:dyDescent="0.3">
      <c r="A228" s="1">
        <v>487652</v>
      </c>
      <c r="B228" s="1">
        <v>383428</v>
      </c>
      <c r="C228" s="1" t="s">
        <v>1189</v>
      </c>
      <c r="D228" s="1" t="s">
        <v>702</v>
      </c>
      <c r="E228" s="1" t="s">
        <v>321</v>
      </c>
      <c r="F228" s="4">
        <v>29737</v>
      </c>
      <c r="G228">
        <v>44</v>
      </c>
      <c r="H228" s="1" t="s">
        <v>212</v>
      </c>
      <c r="I228" s="1" t="s">
        <v>1501</v>
      </c>
      <c r="J228" s="1" t="s">
        <v>1501</v>
      </c>
      <c r="K228" s="1">
        <v>8530</v>
      </c>
      <c r="L228" s="1" t="s">
        <v>214</v>
      </c>
      <c r="M228" s="1" t="s">
        <v>1202</v>
      </c>
      <c r="N228" s="1" t="s">
        <v>215</v>
      </c>
      <c r="O228" s="1"/>
      <c r="P228" s="1" t="s">
        <v>212</v>
      </c>
      <c r="Q228" s="1"/>
      <c r="R228" s="1" t="s">
        <v>216</v>
      </c>
      <c r="S228" s="1" t="s">
        <v>218</v>
      </c>
      <c r="T228" s="11">
        <v>46160.107638888891</v>
      </c>
      <c r="U228" s="1" t="s">
        <v>218</v>
      </c>
      <c r="V228" s="11">
        <v>46172.409722222219</v>
      </c>
    </row>
    <row r="229" spans="1:22" x14ac:dyDescent="0.3">
      <c r="A229" s="1">
        <v>72106</v>
      </c>
      <c r="B229" s="1">
        <v>59357</v>
      </c>
      <c r="C229" s="1" t="s">
        <v>1188</v>
      </c>
      <c r="D229" s="1" t="s">
        <v>659</v>
      </c>
      <c r="E229" s="1" t="s">
        <v>703</v>
      </c>
      <c r="F229" s="4">
        <v>24838</v>
      </c>
      <c r="G229">
        <v>58</v>
      </c>
      <c r="H229" s="1" t="s">
        <v>212</v>
      </c>
      <c r="I229" s="1" t="s">
        <v>1501</v>
      </c>
      <c r="J229" s="1" t="s">
        <v>1501</v>
      </c>
      <c r="K229" s="1">
        <v>8530</v>
      </c>
      <c r="L229" s="1" t="s">
        <v>214</v>
      </c>
      <c r="M229" s="1" t="s">
        <v>1190</v>
      </c>
      <c r="N229" s="1" t="s">
        <v>215</v>
      </c>
      <c r="O229" s="1"/>
      <c r="P229" s="1" t="s">
        <v>212</v>
      </c>
      <c r="Q229" s="1"/>
      <c r="R229" s="1" t="s">
        <v>216</v>
      </c>
      <c r="S229" s="1" t="s">
        <v>218</v>
      </c>
      <c r="T229" s="11">
        <v>46160.392361111109</v>
      </c>
      <c r="U229" s="1" t="s">
        <v>218</v>
      </c>
      <c r="V229" s="11">
        <v>46173.128472222219</v>
      </c>
    </row>
    <row r="230" spans="1:22" x14ac:dyDescent="0.3">
      <c r="A230" s="1">
        <v>76398</v>
      </c>
      <c r="B230" s="1">
        <v>59357</v>
      </c>
      <c r="C230" s="1" t="s">
        <v>1189</v>
      </c>
      <c r="D230" s="1" t="s">
        <v>704</v>
      </c>
      <c r="E230" s="1" t="s">
        <v>703</v>
      </c>
      <c r="F230" s="4">
        <v>27529</v>
      </c>
      <c r="G230">
        <v>50</v>
      </c>
      <c r="H230" s="1" t="s">
        <v>212</v>
      </c>
      <c r="I230" s="1" t="s">
        <v>1501</v>
      </c>
      <c r="J230" s="1" t="s">
        <v>1501</v>
      </c>
      <c r="K230" s="1">
        <v>8530</v>
      </c>
      <c r="L230" s="1" t="s">
        <v>214</v>
      </c>
      <c r="M230" s="1" t="s">
        <v>1190</v>
      </c>
      <c r="N230" s="1" t="s">
        <v>215</v>
      </c>
      <c r="O230" s="1"/>
      <c r="P230" s="1" t="s">
        <v>212</v>
      </c>
      <c r="Q230" s="1"/>
      <c r="R230" s="1" t="s">
        <v>216</v>
      </c>
      <c r="S230" s="1" t="s">
        <v>218</v>
      </c>
      <c r="T230" s="11">
        <v>46160.392361111109</v>
      </c>
      <c r="U230" s="1" t="s">
        <v>218</v>
      </c>
      <c r="V230" s="11">
        <v>46173.128472222219</v>
      </c>
    </row>
    <row r="231" spans="1:22" x14ac:dyDescent="0.3">
      <c r="A231" s="1">
        <v>707618</v>
      </c>
      <c r="B231" s="1">
        <v>574542</v>
      </c>
      <c r="C231" s="1" t="s">
        <v>1188</v>
      </c>
      <c r="D231" s="1" t="s">
        <v>705</v>
      </c>
      <c r="E231" s="1" t="s">
        <v>706</v>
      </c>
      <c r="F231" s="4">
        <v>21971</v>
      </c>
      <c r="G231">
        <v>66</v>
      </c>
      <c r="H231" s="1" t="s">
        <v>212</v>
      </c>
      <c r="I231" s="1" t="s">
        <v>1501</v>
      </c>
      <c r="J231" s="1" t="s">
        <v>1501</v>
      </c>
      <c r="K231" s="1">
        <v>8540</v>
      </c>
      <c r="L231" s="1" t="s">
        <v>261</v>
      </c>
      <c r="M231" s="1" t="s">
        <v>707</v>
      </c>
      <c r="N231" s="1" t="s">
        <v>215</v>
      </c>
      <c r="O231" s="1"/>
      <c r="P231" s="1" t="s">
        <v>708</v>
      </c>
      <c r="Q231" s="1" t="s">
        <v>709</v>
      </c>
      <c r="R231" s="1" t="s">
        <v>216</v>
      </c>
      <c r="S231" s="1" t="s">
        <v>217</v>
      </c>
      <c r="T231" s="11">
        <v>46165.038194444445</v>
      </c>
      <c r="U231" s="1" t="s">
        <v>218</v>
      </c>
      <c r="V231" s="11">
        <v>46173.027777777781</v>
      </c>
    </row>
    <row r="232" spans="1:22" x14ac:dyDescent="0.3">
      <c r="A232" s="1">
        <v>707681</v>
      </c>
      <c r="B232" s="1">
        <v>574542</v>
      </c>
      <c r="C232" s="1" t="s">
        <v>1189</v>
      </c>
      <c r="D232" s="1" t="s">
        <v>710</v>
      </c>
      <c r="E232" s="1" t="s">
        <v>706</v>
      </c>
      <c r="F232" s="4">
        <v>22038</v>
      </c>
      <c r="G232">
        <v>65</v>
      </c>
      <c r="H232" s="1" t="s">
        <v>212</v>
      </c>
      <c r="I232" s="1" t="s">
        <v>1501</v>
      </c>
      <c r="J232" s="1" t="s">
        <v>1501</v>
      </c>
      <c r="K232" s="1">
        <v>8540</v>
      </c>
      <c r="L232" s="1" t="s">
        <v>261</v>
      </c>
      <c r="M232" s="1" t="s">
        <v>707</v>
      </c>
      <c r="N232" s="1" t="s">
        <v>215</v>
      </c>
      <c r="O232" s="1"/>
      <c r="P232" s="1" t="s">
        <v>708</v>
      </c>
      <c r="Q232" s="1" t="s">
        <v>709</v>
      </c>
      <c r="R232" s="1" t="s">
        <v>216</v>
      </c>
      <c r="S232" s="1" t="s">
        <v>217</v>
      </c>
      <c r="T232" s="11">
        <v>46165.038194444445</v>
      </c>
      <c r="U232" s="1" t="s">
        <v>218</v>
      </c>
      <c r="V232" s="11">
        <v>46173.027777777781</v>
      </c>
    </row>
    <row r="233" spans="1:22" x14ac:dyDescent="0.3">
      <c r="A233" s="1">
        <v>708367</v>
      </c>
      <c r="B233" s="1">
        <v>574542</v>
      </c>
      <c r="C233" s="1" t="s">
        <v>1189</v>
      </c>
      <c r="D233" s="1" t="s">
        <v>711</v>
      </c>
      <c r="E233" s="1" t="s">
        <v>712</v>
      </c>
      <c r="F233" s="4">
        <v>27061</v>
      </c>
      <c r="G233">
        <v>52</v>
      </c>
      <c r="H233" s="1" t="s">
        <v>212</v>
      </c>
      <c r="I233" s="1" t="s">
        <v>1501</v>
      </c>
      <c r="J233" s="1" t="s">
        <v>1501</v>
      </c>
      <c r="K233" s="1">
        <v>8540</v>
      </c>
      <c r="L233" s="1" t="s">
        <v>261</v>
      </c>
      <c r="M233" s="1" t="s">
        <v>707</v>
      </c>
      <c r="N233" s="1" t="s">
        <v>215</v>
      </c>
      <c r="O233" s="1"/>
      <c r="P233" s="1" t="s">
        <v>708</v>
      </c>
      <c r="Q233" s="1" t="s">
        <v>709</v>
      </c>
      <c r="R233" s="1" t="s">
        <v>216</v>
      </c>
      <c r="S233" s="1" t="s">
        <v>217</v>
      </c>
      <c r="T233" s="11">
        <v>46165.038194444445</v>
      </c>
      <c r="U233" s="1" t="s">
        <v>218</v>
      </c>
      <c r="V233" s="11">
        <v>46173.027777777781</v>
      </c>
    </row>
    <row r="234" spans="1:22" x14ac:dyDescent="0.3">
      <c r="A234" s="1">
        <v>714052</v>
      </c>
      <c r="B234" s="1">
        <v>574542</v>
      </c>
      <c r="C234" s="1" t="s">
        <v>1189</v>
      </c>
      <c r="D234" s="1" t="s">
        <v>713</v>
      </c>
      <c r="E234" s="1" t="s">
        <v>706</v>
      </c>
      <c r="F234" s="4">
        <v>32582</v>
      </c>
      <c r="G234">
        <v>36</v>
      </c>
      <c r="H234" s="1" t="s">
        <v>212</v>
      </c>
      <c r="I234" s="1" t="s">
        <v>1501</v>
      </c>
      <c r="J234" s="1" t="s">
        <v>1501</v>
      </c>
      <c r="K234" s="1">
        <v>8540</v>
      </c>
      <c r="L234" s="1" t="s">
        <v>261</v>
      </c>
      <c r="M234" s="1" t="s">
        <v>707</v>
      </c>
      <c r="N234" s="1" t="s">
        <v>215</v>
      </c>
      <c r="O234" s="1"/>
      <c r="P234" s="1" t="s">
        <v>708</v>
      </c>
      <c r="Q234" s="1" t="s">
        <v>709</v>
      </c>
      <c r="R234" s="1" t="s">
        <v>216</v>
      </c>
      <c r="S234" s="1" t="s">
        <v>217</v>
      </c>
      <c r="T234" s="11">
        <v>46165.038194444445</v>
      </c>
      <c r="U234" s="1" t="s">
        <v>218</v>
      </c>
      <c r="V234" s="11">
        <v>46173.027777777781</v>
      </c>
    </row>
    <row r="235" spans="1:22" x14ac:dyDescent="0.3">
      <c r="A235" s="1">
        <v>714083</v>
      </c>
      <c r="B235" s="1">
        <v>574542</v>
      </c>
      <c r="C235" s="1" t="s">
        <v>1188</v>
      </c>
      <c r="D235" s="1" t="s">
        <v>714</v>
      </c>
      <c r="E235" s="1" t="s">
        <v>706</v>
      </c>
      <c r="F235" s="4">
        <v>31597</v>
      </c>
      <c r="G235">
        <v>39</v>
      </c>
      <c r="H235" s="1" t="s">
        <v>212</v>
      </c>
      <c r="I235" s="1" t="s">
        <v>1501</v>
      </c>
      <c r="J235" s="1" t="s">
        <v>1501</v>
      </c>
      <c r="K235" s="1">
        <v>8540</v>
      </c>
      <c r="L235" s="1" t="s">
        <v>261</v>
      </c>
      <c r="M235" s="1" t="s">
        <v>707</v>
      </c>
      <c r="N235" s="1" t="s">
        <v>215</v>
      </c>
      <c r="O235" s="1"/>
      <c r="P235" s="1" t="s">
        <v>708</v>
      </c>
      <c r="Q235" s="1" t="s">
        <v>709</v>
      </c>
      <c r="R235" s="1" t="s">
        <v>216</v>
      </c>
      <c r="S235" s="1" t="s">
        <v>217</v>
      </c>
      <c r="T235" s="11">
        <v>46165.038194444445</v>
      </c>
      <c r="U235" s="1" t="s">
        <v>218</v>
      </c>
      <c r="V235" s="11">
        <v>46173.027777777781</v>
      </c>
    </row>
    <row r="236" spans="1:22" x14ac:dyDescent="0.3">
      <c r="A236" s="1">
        <v>714668</v>
      </c>
      <c r="B236" s="1">
        <v>574542</v>
      </c>
      <c r="C236" s="1" t="s">
        <v>1189</v>
      </c>
      <c r="D236" s="1" t="s">
        <v>715</v>
      </c>
      <c r="E236" s="1" t="s">
        <v>706</v>
      </c>
      <c r="F236" s="4">
        <v>30538</v>
      </c>
      <c r="G236">
        <v>42</v>
      </c>
      <c r="H236" s="1" t="s">
        <v>212</v>
      </c>
      <c r="I236" s="1" t="s">
        <v>1501</v>
      </c>
      <c r="J236" s="1" t="s">
        <v>1501</v>
      </c>
      <c r="K236" s="1">
        <v>8540</v>
      </c>
      <c r="L236" s="1" t="s">
        <v>261</v>
      </c>
      <c r="M236" s="1" t="s">
        <v>707</v>
      </c>
      <c r="N236" s="1" t="s">
        <v>215</v>
      </c>
      <c r="O236" s="1"/>
      <c r="P236" s="1" t="s">
        <v>708</v>
      </c>
      <c r="Q236" s="1" t="s">
        <v>709</v>
      </c>
      <c r="R236" s="1" t="s">
        <v>216</v>
      </c>
      <c r="S236" s="1" t="s">
        <v>217</v>
      </c>
      <c r="T236" s="11">
        <v>46165.038194444445</v>
      </c>
      <c r="U236" s="1" t="s">
        <v>218</v>
      </c>
      <c r="V236" s="11">
        <v>46173.027777777781</v>
      </c>
    </row>
    <row r="237" spans="1:22" x14ac:dyDescent="0.3">
      <c r="A237" s="1">
        <v>826354</v>
      </c>
      <c r="B237" s="1">
        <v>668030</v>
      </c>
      <c r="C237" s="1" t="s">
        <v>1189</v>
      </c>
      <c r="D237" s="1" t="s">
        <v>716</v>
      </c>
      <c r="E237" s="1" t="s">
        <v>717</v>
      </c>
      <c r="F237" s="4">
        <v>28309</v>
      </c>
      <c r="G237">
        <v>48</v>
      </c>
      <c r="H237" s="1" t="s">
        <v>212</v>
      </c>
      <c r="I237" s="1" t="s">
        <v>1502</v>
      </c>
      <c r="J237" s="1" t="s">
        <v>1502</v>
      </c>
      <c r="K237" s="1">
        <v>8529</v>
      </c>
      <c r="L237" s="1" t="s">
        <v>214</v>
      </c>
      <c r="M237" s="1" t="s">
        <v>1209</v>
      </c>
      <c r="N237" s="1" t="s">
        <v>215</v>
      </c>
      <c r="O237" s="1"/>
      <c r="P237" s="1" t="s">
        <v>212</v>
      </c>
      <c r="Q237" s="1"/>
      <c r="R237" s="1" t="s">
        <v>216</v>
      </c>
      <c r="S237" s="1" t="s">
        <v>218</v>
      </c>
      <c r="T237" s="11">
        <v>46160.739583333336</v>
      </c>
      <c r="U237" s="1" t="s">
        <v>218</v>
      </c>
      <c r="V237" s="11">
        <v>46172.385416666664</v>
      </c>
    </row>
    <row r="238" spans="1:22" x14ac:dyDescent="0.3">
      <c r="A238" s="1">
        <v>477149</v>
      </c>
      <c r="B238" s="1">
        <v>374581</v>
      </c>
      <c r="C238" s="1" t="s">
        <v>1188</v>
      </c>
      <c r="D238" s="1" t="s">
        <v>718</v>
      </c>
      <c r="E238" s="1" t="s">
        <v>719</v>
      </c>
      <c r="F238" s="4">
        <v>36514</v>
      </c>
      <c r="G238">
        <v>26</v>
      </c>
      <c r="H238" s="1" t="s">
        <v>212</v>
      </c>
      <c r="I238" s="1" t="s">
        <v>1502</v>
      </c>
      <c r="J238" s="1" t="s">
        <v>1515</v>
      </c>
      <c r="K238" s="1">
        <v>8530</v>
      </c>
      <c r="L238" s="1" t="s">
        <v>214</v>
      </c>
      <c r="M238" s="1" t="s">
        <v>1207</v>
      </c>
      <c r="N238" s="1" t="s">
        <v>215</v>
      </c>
      <c r="O238" s="1"/>
      <c r="P238" s="1" t="s">
        <v>212</v>
      </c>
      <c r="Q238" s="1"/>
      <c r="R238" s="1" t="s">
        <v>216</v>
      </c>
      <c r="S238" s="1" t="s">
        <v>218</v>
      </c>
      <c r="T238" s="11">
        <v>46160.892361111109</v>
      </c>
      <c r="U238" s="1" t="s">
        <v>218</v>
      </c>
      <c r="V238" s="11">
        <v>46172.385416666664</v>
      </c>
    </row>
    <row r="239" spans="1:22" x14ac:dyDescent="0.3">
      <c r="A239" s="1">
        <v>544594</v>
      </c>
      <c r="B239" s="1">
        <v>431894</v>
      </c>
      <c r="C239" s="1" t="s">
        <v>1188</v>
      </c>
      <c r="D239" s="1" t="s">
        <v>418</v>
      </c>
      <c r="E239" s="1" t="s">
        <v>721</v>
      </c>
      <c r="F239" s="4">
        <v>25839</v>
      </c>
      <c r="G239">
        <v>55</v>
      </c>
      <c r="H239" s="1" t="s">
        <v>212</v>
      </c>
      <c r="I239" s="1" t="s">
        <v>1505</v>
      </c>
      <c r="J239" s="1" t="s">
        <v>1505</v>
      </c>
      <c r="K239" s="1">
        <v>8529</v>
      </c>
      <c r="L239" s="1" t="s">
        <v>261</v>
      </c>
      <c r="M239" s="1" t="s">
        <v>722</v>
      </c>
      <c r="N239" s="1" t="s">
        <v>215</v>
      </c>
      <c r="O239" s="1"/>
      <c r="P239" s="1" t="s">
        <v>723</v>
      </c>
      <c r="Q239" s="1" t="s">
        <v>724</v>
      </c>
      <c r="R239" s="1" t="s">
        <v>216</v>
      </c>
      <c r="S239" s="1" t="s">
        <v>217</v>
      </c>
      <c r="T239" s="11">
        <v>46160.791666666664</v>
      </c>
      <c r="U239" s="1" t="s">
        <v>218</v>
      </c>
      <c r="V239" s="11">
        <v>46173.079861111109</v>
      </c>
    </row>
    <row r="240" spans="1:22" x14ac:dyDescent="0.3">
      <c r="A240" s="1">
        <v>544832</v>
      </c>
      <c r="B240" s="1">
        <v>431894</v>
      </c>
      <c r="C240" s="1" t="s">
        <v>1189</v>
      </c>
      <c r="D240" s="1" t="s">
        <v>669</v>
      </c>
      <c r="E240" s="1" t="s">
        <v>518</v>
      </c>
      <c r="F240" s="4">
        <v>27036</v>
      </c>
      <c r="G240">
        <v>52</v>
      </c>
      <c r="H240" s="1" t="s">
        <v>212</v>
      </c>
      <c r="I240" s="1" t="s">
        <v>1505</v>
      </c>
      <c r="J240" s="1" t="s">
        <v>1505</v>
      </c>
      <c r="K240" s="1">
        <v>8529</v>
      </c>
      <c r="L240" s="1" t="s">
        <v>261</v>
      </c>
      <c r="M240" s="1" t="s">
        <v>722</v>
      </c>
      <c r="N240" s="1" t="s">
        <v>215</v>
      </c>
      <c r="O240" s="1"/>
      <c r="P240" s="1" t="s">
        <v>723</v>
      </c>
      <c r="Q240" s="1" t="s">
        <v>724</v>
      </c>
      <c r="R240" s="1" t="s">
        <v>216</v>
      </c>
      <c r="S240" s="1" t="s">
        <v>217</v>
      </c>
      <c r="T240" s="11">
        <v>46160.791666666664</v>
      </c>
      <c r="U240" s="1" t="s">
        <v>218</v>
      </c>
      <c r="V240" s="11">
        <v>46173.079861111109</v>
      </c>
    </row>
    <row r="241" spans="1:22" x14ac:dyDescent="0.3">
      <c r="A241" s="1">
        <v>549239</v>
      </c>
      <c r="B241" s="1">
        <v>436151</v>
      </c>
      <c r="C241" s="1" t="s">
        <v>1189</v>
      </c>
      <c r="D241" s="1" t="s">
        <v>725</v>
      </c>
      <c r="E241" s="1" t="s">
        <v>726</v>
      </c>
      <c r="F241" s="4">
        <v>29131</v>
      </c>
      <c r="G241">
        <v>46</v>
      </c>
      <c r="H241" s="1" t="s">
        <v>212</v>
      </c>
      <c r="I241" s="1" t="s">
        <v>1501</v>
      </c>
      <c r="J241" s="1" t="s">
        <v>1501</v>
      </c>
      <c r="K241" s="1">
        <v>8524</v>
      </c>
      <c r="L241" s="1" t="s">
        <v>261</v>
      </c>
      <c r="M241" s="1" t="s">
        <v>727</v>
      </c>
      <c r="N241" s="1" t="s">
        <v>215</v>
      </c>
      <c r="O241" s="1"/>
      <c r="P241" s="1" t="s">
        <v>728</v>
      </c>
      <c r="Q241" s="1" t="s">
        <v>729</v>
      </c>
      <c r="R241" s="1" t="s">
        <v>216</v>
      </c>
      <c r="S241" s="1" t="s">
        <v>218</v>
      </c>
      <c r="T241" s="11">
        <v>46163.135416666664</v>
      </c>
      <c r="U241" s="1" t="s">
        <v>218</v>
      </c>
      <c r="V241" s="11">
        <v>46179.201388888891</v>
      </c>
    </row>
    <row r="242" spans="1:22" x14ac:dyDescent="0.3">
      <c r="A242" s="1">
        <v>23828</v>
      </c>
      <c r="B242" s="1">
        <v>488111</v>
      </c>
      <c r="C242" s="1" t="s">
        <v>1188</v>
      </c>
      <c r="D242" s="1" t="s">
        <v>730</v>
      </c>
      <c r="E242" s="1" t="s">
        <v>349</v>
      </c>
      <c r="F242" s="4">
        <v>20040</v>
      </c>
      <c r="G242">
        <v>71</v>
      </c>
      <c r="H242" s="1" t="s">
        <v>212</v>
      </c>
      <c r="I242" s="1" t="s">
        <v>1501</v>
      </c>
      <c r="J242" s="1" t="s">
        <v>1501</v>
      </c>
      <c r="K242" s="1">
        <v>8525</v>
      </c>
      <c r="L242" s="1" t="s">
        <v>214</v>
      </c>
      <c r="M242" s="1" t="s">
        <v>1190</v>
      </c>
      <c r="N242" s="1" t="s">
        <v>215</v>
      </c>
      <c r="O242" s="1"/>
      <c r="P242" s="1" t="s">
        <v>212</v>
      </c>
      <c r="Q242" s="1"/>
      <c r="R242" s="1" t="s">
        <v>216</v>
      </c>
      <c r="S242" s="1" t="s">
        <v>218</v>
      </c>
      <c r="T242" s="11">
        <v>46160.392361111109</v>
      </c>
      <c r="U242" s="1" t="s">
        <v>218</v>
      </c>
      <c r="V242" s="11">
        <v>46173.128472222219</v>
      </c>
    </row>
    <row r="243" spans="1:22" x14ac:dyDescent="0.3">
      <c r="A243" s="1">
        <v>605502</v>
      </c>
      <c r="B243" s="1">
        <v>488111</v>
      </c>
      <c r="C243" s="1" t="s">
        <v>1189</v>
      </c>
      <c r="D243" s="1" t="s">
        <v>731</v>
      </c>
      <c r="E243" s="1" t="s">
        <v>732</v>
      </c>
      <c r="F243" s="4">
        <v>23428</v>
      </c>
      <c r="G243">
        <v>62</v>
      </c>
      <c r="H243" s="1" t="s">
        <v>212</v>
      </c>
      <c r="I243" s="1" t="s">
        <v>1501</v>
      </c>
      <c r="J243" s="1" t="s">
        <v>1501</v>
      </c>
      <c r="K243" s="1">
        <v>8525</v>
      </c>
      <c r="L243" s="1" t="s">
        <v>214</v>
      </c>
      <c r="M243" s="1" t="s">
        <v>1190</v>
      </c>
      <c r="N243" s="1" t="s">
        <v>215</v>
      </c>
      <c r="O243" s="1"/>
      <c r="P243" s="1" t="s">
        <v>212</v>
      </c>
      <c r="Q243" s="1"/>
      <c r="R243" s="1" t="s">
        <v>216</v>
      </c>
      <c r="S243" s="1" t="s">
        <v>218</v>
      </c>
      <c r="T243" s="11">
        <v>46160.392361111109</v>
      </c>
      <c r="U243" s="1" t="s">
        <v>218</v>
      </c>
      <c r="V243" s="11">
        <v>46173.128472222219</v>
      </c>
    </row>
    <row r="244" spans="1:22" x14ac:dyDescent="0.3">
      <c r="A244" s="1">
        <v>605514</v>
      </c>
      <c r="B244" s="1">
        <v>488111</v>
      </c>
      <c r="C244" s="1" t="s">
        <v>1188</v>
      </c>
      <c r="D244" s="1" t="s">
        <v>733</v>
      </c>
      <c r="E244" s="1" t="s">
        <v>278</v>
      </c>
      <c r="F244" s="4">
        <v>20400</v>
      </c>
      <c r="G244">
        <v>70</v>
      </c>
      <c r="H244" s="1" t="s">
        <v>212</v>
      </c>
      <c r="I244" s="1" t="s">
        <v>1501</v>
      </c>
      <c r="J244" s="1" t="s">
        <v>1501</v>
      </c>
      <c r="K244" s="1">
        <v>8525</v>
      </c>
      <c r="L244" s="1" t="s">
        <v>214</v>
      </c>
      <c r="M244" s="1" t="s">
        <v>1190</v>
      </c>
      <c r="N244" s="1" t="s">
        <v>215</v>
      </c>
      <c r="O244" s="1"/>
      <c r="P244" s="1" t="s">
        <v>212</v>
      </c>
      <c r="Q244" s="1"/>
      <c r="R244" s="1" t="s">
        <v>216</v>
      </c>
      <c r="S244" s="1" t="s">
        <v>218</v>
      </c>
      <c r="T244" s="11">
        <v>46160.392361111109</v>
      </c>
      <c r="U244" s="1" t="s">
        <v>218</v>
      </c>
      <c r="V244" s="11">
        <v>46173.128472222219</v>
      </c>
    </row>
    <row r="245" spans="1:22" x14ac:dyDescent="0.3">
      <c r="A245" s="1">
        <v>636433</v>
      </c>
      <c r="B245" s="1">
        <v>488111</v>
      </c>
      <c r="C245" s="1" t="s">
        <v>1189</v>
      </c>
      <c r="D245" s="1" t="s">
        <v>734</v>
      </c>
      <c r="E245" s="1" t="s">
        <v>735</v>
      </c>
      <c r="F245" s="4">
        <v>25010</v>
      </c>
      <c r="G245">
        <v>57</v>
      </c>
      <c r="H245" s="1" t="s">
        <v>212</v>
      </c>
      <c r="I245" s="1" t="s">
        <v>1501</v>
      </c>
      <c r="J245" s="1" t="s">
        <v>1501</v>
      </c>
      <c r="K245" s="1">
        <v>8525</v>
      </c>
      <c r="L245" s="1" t="s">
        <v>214</v>
      </c>
      <c r="M245" s="1" t="s">
        <v>1190</v>
      </c>
      <c r="N245" s="1" t="s">
        <v>215</v>
      </c>
      <c r="O245" s="1"/>
      <c r="P245" s="1" t="s">
        <v>212</v>
      </c>
      <c r="Q245" s="1"/>
      <c r="R245" s="1" t="s">
        <v>216</v>
      </c>
      <c r="S245" s="1" t="s">
        <v>218</v>
      </c>
      <c r="T245" s="11">
        <v>46160.392361111109</v>
      </c>
      <c r="U245" s="1" t="s">
        <v>218</v>
      </c>
      <c r="V245" s="11">
        <v>46173.128472222219</v>
      </c>
    </row>
    <row r="246" spans="1:22" x14ac:dyDescent="0.3">
      <c r="A246" s="1">
        <v>691449</v>
      </c>
      <c r="B246" s="1">
        <v>488111</v>
      </c>
      <c r="C246" s="1" t="s">
        <v>1189</v>
      </c>
      <c r="D246" s="1" t="s">
        <v>736</v>
      </c>
      <c r="E246" s="1" t="s">
        <v>349</v>
      </c>
      <c r="F246" s="4">
        <v>21050</v>
      </c>
      <c r="G246">
        <v>68</v>
      </c>
      <c r="H246" s="1" t="s">
        <v>212</v>
      </c>
      <c r="I246" s="1" t="s">
        <v>1501</v>
      </c>
      <c r="J246" s="1" t="s">
        <v>1501</v>
      </c>
      <c r="K246" s="1">
        <v>8525</v>
      </c>
      <c r="L246" s="1" t="s">
        <v>214</v>
      </c>
      <c r="M246" s="1" t="s">
        <v>1190</v>
      </c>
      <c r="N246" s="1" t="s">
        <v>215</v>
      </c>
      <c r="O246" s="1"/>
      <c r="P246" s="1" t="s">
        <v>212</v>
      </c>
      <c r="Q246" s="1"/>
      <c r="R246" s="1" t="s">
        <v>216</v>
      </c>
      <c r="S246" s="1" t="s">
        <v>218</v>
      </c>
      <c r="T246" s="11">
        <v>46160.392361111109</v>
      </c>
      <c r="U246" s="1" t="s">
        <v>218</v>
      </c>
      <c r="V246" s="11">
        <v>46173.128472222219</v>
      </c>
    </row>
    <row r="247" spans="1:22" x14ac:dyDescent="0.3">
      <c r="A247" s="1">
        <v>120872</v>
      </c>
      <c r="B247" s="1">
        <v>93302</v>
      </c>
      <c r="C247" s="1" t="s">
        <v>1188</v>
      </c>
      <c r="D247" s="1" t="s">
        <v>737</v>
      </c>
      <c r="E247" s="1" t="s">
        <v>738</v>
      </c>
      <c r="F247" s="4">
        <v>27226</v>
      </c>
      <c r="G247">
        <v>51</v>
      </c>
      <c r="H247" s="1" t="s">
        <v>212</v>
      </c>
      <c r="I247" s="1" t="s">
        <v>1502</v>
      </c>
      <c r="J247" s="1" t="s">
        <v>1502</v>
      </c>
      <c r="K247" s="1">
        <v>8728</v>
      </c>
      <c r="L247" s="1" t="s">
        <v>261</v>
      </c>
      <c r="M247" s="1" t="s">
        <v>739</v>
      </c>
      <c r="N247" s="1" t="s">
        <v>215</v>
      </c>
      <c r="O247" s="1" t="b">
        <v>1</v>
      </c>
      <c r="P247" s="1" t="s">
        <v>740</v>
      </c>
      <c r="Q247" s="1" t="s">
        <v>741</v>
      </c>
      <c r="R247" s="1" t="s">
        <v>216</v>
      </c>
      <c r="S247" s="1" t="s">
        <v>218</v>
      </c>
      <c r="T247" s="11">
        <v>46163.954861111109</v>
      </c>
      <c r="U247" s="1" t="s">
        <v>217</v>
      </c>
      <c r="V247" s="11">
        <v>46175.416666666664</v>
      </c>
    </row>
    <row r="248" spans="1:22" x14ac:dyDescent="0.3">
      <c r="A248" s="1">
        <v>18606</v>
      </c>
      <c r="B248" s="1">
        <v>16871</v>
      </c>
      <c r="C248" s="1" t="s">
        <v>1188</v>
      </c>
      <c r="D248" s="1" t="s">
        <v>742</v>
      </c>
      <c r="E248" s="1" t="s">
        <v>743</v>
      </c>
      <c r="F248" s="4">
        <v>27165</v>
      </c>
      <c r="G248">
        <v>51</v>
      </c>
      <c r="H248" s="1" t="s">
        <v>212</v>
      </c>
      <c r="I248" s="1" t="s">
        <v>1501</v>
      </c>
      <c r="J248" s="1" t="s">
        <v>1501</v>
      </c>
      <c r="K248" s="1">
        <v>8544</v>
      </c>
      <c r="L248" s="1" t="s">
        <v>214</v>
      </c>
      <c r="M248" s="1" t="s">
        <v>1193</v>
      </c>
      <c r="N248" s="1" t="s">
        <v>215</v>
      </c>
      <c r="O248" s="1"/>
      <c r="P248" s="1" t="s">
        <v>212</v>
      </c>
      <c r="Q248" s="1"/>
      <c r="R248" s="1" t="s">
        <v>216</v>
      </c>
      <c r="S248" s="1" t="s">
        <v>218</v>
      </c>
      <c r="T248" s="11">
        <v>46160.739583333336</v>
      </c>
      <c r="U248" s="1" t="s">
        <v>218</v>
      </c>
      <c r="V248" s="11">
        <v>46172.350694444445</v>
      </c>
    </row>
    <row r="249" spans="1:22" x14ac:dyDescent="0.3">
      <c r="A249" s="1">
        <v>696422</v>
      </c>
      <c r="B249" s="1">
        <v>16871</v>
      </c>
      <c r="C249" s="1" t="s">
        <v>1189</v>
      </c>
      <c r="D249" s="1" t="s">
        <v>744</v>
      </c>
      <c r="E249" s="1" t="s">
        <v>745</v>
      </c>
      <c r="F249" s="4">
        <v>28808</v>
      </c>
      <c r="G249">
        <v>47</v>
      </c>
      <c r="H249" s="1" t="s">
        <v>212</v>
      </c>
      <c r="I249" s="1" t="s">
        <v>1501</v>
      </c>
      <c r="J249" s="1" t="s">
        <v>1501</v>
      </c>
      <c r="K249" s="1">
        <v>8544</v>
      </c>
      <c r="L249" s="1" t="s">
        <v>214</v>
      </c>
      <c r="M249" s="1" t="s">
        <v>1193</v>
      </c>
      <c r="N249" s="1" t="s">
        <v>215</v>
      </c>
      <c r="O249" s="1"/>
      <c r="P249" s="1" t="s">
        <v>212</v>
      </c>
      <c r="Q249" s="1"/>
      <c r="R249" s="1" t="s">
        <v>216</v>
      </c>
      <c r="S249" s="1" t="s">
        <v>218</v>
      </c>
      <c r="T249" s="11">
        <v>46160.739583333336</v>
      </c>
      <c r="U249" s="1" t="s">
        <v>218</v>
      </c>
      <c r="V249" s="11">
        <v>46172.350694444445</v>
      </c>
    </row>
    <row r="250" spans="1:22" x14ac:dyDescent="0.3">
      <c r="A250" s="1">
        <v>744322</v>
      </c>
      <c r="B250" s="1">
        <v>603400</v>
      </c>
      <c r="C250" s="1" t="s">
        <v>1189</v>
      </c>
      <c r="D250" s="1" t="s">
        <v>746</v>
      </c>
      <c r="E250" s="1" t="s">
        <v>747</v>
      </c>
      <c r="F250" s="4">
        <v>25534</v>
      </c>
      <c r="G250">
        <v>56</v>
      </c>
      <c r="H250" s="1" t="s">
        <v>212</v>
      </c>
      <c r="I250" s="1" t="s">
        <v>1501</v>
      </c>
      <c r="J250" s="1" t="s">
        <v>1501</v>
      </c>
      <c r="K250" s="1">
        <v>8525</v>
      </c>
      <c r="L250" s="1" t="s">
        <v>214</v>
      </c>
      <c r="M250" s="1" t="s">
        <v>1190</v>
      </c>
      <c r="N250" s="1" t="s">
        <v>215</v>
      </c>
      <c r="O250" s="1"/>
      <c r="P250" s="1" t="s">
        <v>212</v>
      </c>
      <c r="Q250" s="1"/>
      <c r="R250" s="1" t="s">
        <v>216</v>
      </c>
      <c r="S250" s="1" t="s">
        <v>218</v>
      </c>
      <c r="T250" s="11">
        <v>46160.392361111109</v>
      </c>
      <c r="U250" s="1" t="s">
        <v>218</v>
      </c>
      <c r="V250" s="11">
        <v>46173.128472222219</v>
      </c>
    </row>
    <row r="251" spans="1:22" x14ac:dyDescent="0.3">
      <c r="A251" s="1">
        <v>553890</v>
      </c>
      <c r="B251" s="1">
        <v>625995</v>
      </c>
      <c r="C251" s="1" t="s">
        <v>1189</v>
      </c>
      <c r="D251" s="1" t="s">
        <v>748</v>
      </c>
      <c r="E251" s="1" t="s">
        <v>749</v>
      </c>
      <c r="F251" s="4">
        <v>30853</v>
      </c>
      <c r="G251">
        <v>41</v>
      </c>
      <c r="H251" s="1" t="s">
        <v>212</v>
      </c>
      <c r="I251" s="1" t="s">
        <v>1501</v>
      </c>
      <c r="J251" s="1" t="s">
        <v>1501</v>
      </c>
      <c r="K251" s="1">
        <v>8528</v>
      </c>
      <c r="L251" s="1" t="s">
        <v>214</v>
      </c>
      <c r="M251" s="1" t="s">
        <v>1193</v>
      </c>
      <c r="N251" s="1" t="s">
        <v>215</v>
      </c>
      <c r="O251" s="1"/>
      <c r="P251" s="1" t="s">
        <v>212</v>
      </c>
      <c r="Q251" s="1"/>
      <c r="R251" s="1" t="s">
        <v>216</v>
      </c>
      <c r="S251" s="1" t="s">
        <v>218</v>
      </c>
      <c r="T251" s="11">
        <v>46160.739583333336</v>
      </c>
      <c r="U251" s="1" t="s">
        <v>218</v>
      </c>
      <c r="V251" s="11">
        <v>46172.350694444445</v>
      </c>
    </row>
    <row r="252" spans="1:22" x14ac:dyDescent="0.3">
      <c r="A252" s="1">
        <v>772227</v>
      </c>
      <c r="B252" s="1">
        <v>625995</v>
      </c>
      <c r="C252" s="1" t="s">
        <v>1188</v>
      </c>
      <c r="D252" s="1" t="s">
        <v>750</v>
      </c>
      <c r="E252" s="1" t="s">
        <v>749</v>
      </c>
      <c r="F252" s="4">
        <v>25714</v>
      </c>
      <c r="G252">
        <v>55</v>
      </c>
      <c r="H252" s="1" t="s">
        <v>212</v>
      </c>
      <c r="I252" s="1" t="s">
        <v>1501</v>
      </c>
      <c r="J252" s="1" t="s">
        <v>1501</v>
      </c>
      <c r="K252" s="1">
        <v>8528</v>
      </c>
      <c r="L252" s="1" t="s">
        <v>214</v>
      </c>
      <c r="M252" s="1" t="s">
        <v>1193</v>
      </c>
      <c r="N252" s="1" t="s">
        <v>215</v>
      </c>
      <c r="O252" s="1"/>
      <c r="P252" s="1" t="s">
        <v>212</v>
      </c>
      <c r="Q252" s="1"/>
      <c r="R252" s="1" t="s">
        <v>216</v>
      </c>
      <c r="S252" s="1" t="s">
        <v>218</v>
      </c>
      <c r="T252" s="11">
        <v>46160.739583333336</v>
      </c>
      <c r="U252" s="1" t="s">
        <v>218</v>
      </c>
      <c r="V252" s="11">
        <v>46172.350694444445</v>
      </c>
    </row>
    <row r="253" spans="1:22" x14ac:dyDescent="0.3">
      <c r="A253" s="1">
        <v>426534</v>
      </c>
      <c r="B253" s="1">
        <v>333200</v>
      </c>
      <c r="C253" s="1" t="s">
        <v>1188</v>
      </c>
      <c r="D253" s="1" t="s">
        <v>751</v>
      </c>
      <c r="E253" s="1" t="s">
        <v>752</v>
      </c>
      <c r="F253" s="4">
        <v>27696</v>
      </c>
      <c r="G253">
        <v>50</v>
      </c>
      <c r="H253" s="1" t="s">
        <v>212</v>
      </c>
      <c r="I253" s="1" t="s">
        <v>1501</v>
      </c>
      <c r="J253" s="1" t="s">
        <v>1501</v>
      </c>
      <c r="K253" s="1">
        <v>8525</v>
      </c>
      <c r="L253" s="1" t="s">
        <v>214</v>
      </c>
      <c r="M253" s="1" t="s">
        <v>1190</v>
      </c>
      <c r="N253" s="1" t="s">
        <v>215</v>
      </c>
      <c r="O253" s="1"/>
      <c r="P253" s="1" t="s">
        <v>212</v>
      </c>
      <c r="Q253" s="1"/>
      <c r="R253" s="1" t="s">
        <v>216</v>
      </c>
      <c r="S253" s="1" t="s">
        <v>218</v>
      </c>
      <c r="T253" s="11">
        <v>46160.392361111109</v>
      </c>
      <c r="U253" s="1" t="s">
        <v>218</v>
      </c>
      <c r="V253" s="11">
        <v>46173.128472222219</v>
      </c>
    </row>
    <row r="254" spans="1:22" x14ac:dyDescent="0.3">
      <c r="A254" s="1">
        <v>632648</v>
      </c>
      <c r="B254" s="1">
        <v>333200</v>
      </c>
      <c r="C254" s="1" t="s">
        <v>1189</v>
      </c>
      <c r="D254" s="1" t="s">
        <v>272</v>
      </c>
      <c r="E254" s="1" t="s">
        <v>752</v>
      </c>
      <c r="F254" s="4">
        <v>20508</v>
      </c>
      <c r="G254">
        <v>70</v>
      </c>
      <c r="H254" s="1" t="s">
        <v>212</v>
      </c>
      <c r="I254" s="1" t="s">
        <v>1501</v>
      </c>
      <c r="J254" s="1" t="s">
        <v>1501</v>
      </c>
      <c r="K254" s="1">
        <v>8525</v>
      </c>
      <c r="L254" s="1" t="s">
        <v>214</v>
      </c>
      <c r="M254" s="1" t="s">
        <v>1190</v>
      </c>
      <c r="N254" s="1" t="s">
        <v>215</v>
      </c>
      <c r="O254" s="1"/>
      <c r="P254" s="1" t="s">
        <v>212</v>
      </c>
      <c r="Q254" s="1"/>
      <c r="R254" s="1" t="s">
        <v>216</v>
      </c>
      <c r="S254" s="1" t="s">
        <v>218</v>
      </c>
      <c r="T254" s="11">
        <v>46160.392361111109</v>
      </c>
      <c r="U254" s="1" t="s">
        <v>218</v>
      </c>
      <c r="V254" s="11">
        <v>46173.128472222219</v>
      </c>
    </row>
    <row r="255" spans="1:22" x14ac:dyDescent="0.3">
      <c r="A255" s="1">
        <v>627570</v>
      </c>
      <c r="B255" s="1">
        <v>508157</v>
      </c>
      <c r="C255" s="1" t="s">
        <v>1189</v>
      </c>
      <c r="D255" s="1" t="s">
        <v>753</v>
      </c>
      <c r="E255" s="1" t="s">
        <v>754</v>
      </c>
      <c r="F255" s="4">
        <v>25216</v>
      </c>
      <c r="G255">
        <v>57</v>
      </c>
      <c r="H255" s="1" t="s">
        <v>212</v>
      </c>
      <c r="I255" s="1" t="s">
        <v>1501</v>
      </c>
      <c r="J255" s="1" t="s">
        <v>1501</v>
      </c>
      <c r="K255" s="1">
        <v>8529</v>
      </c>
      <c r="L255" s="1" t="s">
        <v>214</v>
      </c>
      <c r="M255" s="1" t="s">
        <v>1193</v>
      </c>
      <c r="N255" s="1" t="s">
        <v>215</v>
      </c>
      <c r="O255" s="1"/>
      <c r="P255" s="1" t="s">
        <v>212</v>
      </c>
      <c r="Q255" s="1"/>
      <c r="R255" s="1" t="s">
        <v>216</v>
      </c>
      <c r="S255" s="1" t="s">
        <v>218</v>
      </c>
      <c r="T255" s="11">
        <v>46160.739583333336</v>
      </c>
      <c r="U255" s="1" t="s">
        <v>218</v>
      </c>
      <c r="V255" s="11">
        <v>46172.350694444445</v>
      </c>
    </row>
    <row r="256" spans="1:22" x14ac:dyDescent="0.3">
      <c r="A256" s="1">
        <v>849651</v>
      </c>
      <c r="B256" s="1">
        <v>686851</v>
      </c>
      <c r="C256" s="1" t="s">
        <v>1188</v>
      </c>
      <c r="D256" s="1" t="s">
        <v>755</v>
      </c>
      <c r="E256" s="1" t="s">
        <v>756</v>
      </c>
      <c r="F256" s="4">
        <v>27276</v>
      </c>
      <c r="G256">
        <v>51</v>
      </c>
      <c r="H256" s="1" t="s">
        <v>212</v>
      </c>
      <c r="I256" s="1" t="s">
        <v>1502</v>
      </c>
      <c r="J256" s="1" t="s">
        <v>1502</v>
      </c>
      <c r="K256" s="1">
        <v>8525</v>
      </c>
      <c r="L256" s="1" t="s">
        <v>214</v>
      </c>
      <c r="M256" s="1" t="s">
        <v>1207</v>
      </c>
      <c r="N256" s="1" t="s">
        <v>215</v>
      </c>
      <c r="O256" s="1"/>
      <c r="P256" s="1" t="s">
        <v>212</v>
      </c>
      <c r="Q256" s="1"/>
      <c r="R256" s="1" t="s">
        <v>216</v>
      </c>
      <c r="S256" s="1" t="s">
        <v>218</v>
      </c>
      <c r="T256" s="11">
        <v>46160.892361111109</v>
      </c>
      <c r="U256" s="1" t="s">
        <v>218</v>
      </c>
      <c r="V256" s="11">
        <v>46172.385416666664</v>
      </c>
    </row>
    <row r="257" spans="1:22" x14ac:dyDescent="0.3">
      <c r="A257" s="1">
        <v>343808</v>
      </c>
      <c r="B257" s="1">
        <v>271162</v>
      </c>
      <c r="C257" s="1" t="s">
        <v>1188</v>
      </c>
      <c r="D257" s="1" t="s">
        <v>757</v>
      </c>
      <c r="E257" s="1" t="s">
        <v>758</v>
      </c>
      <c r="F257" s="4">
        <v>29672</v>
      </c>
      <c r="G257">
        <v>44</v>
      </c>
      <c r="H257" s="1" t="s">
        <v>212</v>
      </c>
      <c r="I257" s="1" t="s">
        <v>1501</v>
      </c>
      <c r="J257" s="1" t="s">
        <v>1501</v>
      </c>
      <c r="K257" s="1">
        <v>8530</v>
      </c>
      <c r="L257" s="1" t="s">
        <v>214</v>
      </c>
      <c r="M257" s="1" t="s">
        <v>1193</v>
      </c>
      <c r="N257" s="1" t="s">
        <v>215</v>
      </c>
      <c r="O257" s="1"/>
      <c r="P257" s="1" t="s">
        <v>212</v>
      </c>
      <c r="Q257" s="1"/>
      <c r="R257" s="1" t="s">
        <v>216</v>
      </c>
      <c r="S257" s="1" t="s">
        <v>218</v>
      </c>
      <c r="T257" s="11">
        <v>46160.739583333336</v>
      </c>
      <c r="U257" s="1" t="s">
        <v>218</v>
      </c>
      <c r="V257" s="11">
        <v>46172.350694444445</v>
      </c>
    </row>
    <row r="258" spans="1:22" x14ac:dyDescent="0.3">
      <c r="A258" s="1">
        <v>343824</v>
      </c>
      <c r="B258" s="1">
        <v>271162</v>
      </c>
      <c r="C258" s="1" t="s">
        <v>1189</v>
      </c>
      <c r="D258" s="1" t="s">
        <v>759</v>
      </c>
      <c r="E258" s="1" t="s">
        <v>760</v>
      </c>
      <c r="F258" s="4">
        <v>31079</v>
      </c>
      <c r="G258">
        <v>41</v>
      </c>
      <c r="H258" s="1" t="s">
        <v>212</v>
      </c>
      <c r="I258" s="1" t="s">
        <v>1501</v>
      </c>
      <c r="J258" s="1" t="s">
        <v>1501</v>
      </c>
      <c r="K258" s="1">
        <v>8530</v>
      </c>
      <c r="L258" s="1" t="s">
        <v>214</v>
      </c>
      <c r="M258" s="1" t="s">
        <v>1193</v>
      </c>
      <c r="N258" s="1" t="s">
        <v>215</v>
      </c>
      <c r="O258" s="1"/>
      <c r="P258" s="1" t="s">
        <v>212</v>
      </c>
      <c r="Q258" s="1"/>
      <c r="R258" s="1" t="s">
        <v>216</v>
      </c>
      <c r="S258" s="1" t="s">
        <v>218</v>
      </c>
      <c r="T258" s="11">
        <v>46160.739583333336</v>
      </c>
      <c r="U258" s="1" t="s">
        <v>218</v>
      </c>
      <c r="V258" s="11">
        <v>46172.350694444445</v>
      </c>
    </row>
    <row r="259" spans="1:22" x14ac:dyDescent="0.3">
      <c r="A259" s="1">
        <v>717283</v>
      </c>
      <c r="B259" s="1">
        <v>581956</v>
      </c>
      <c r="C259" s="1" t="s">
        <v>1188</v>
      </c>
      <c r="D259" s="1" t="s">
        <v>761</v>
      </c>
      <c r="E259" s="1" t="s">
        <v>229</v>
      </c>
      <c r="F259" s="4">
        <v>32245</v>
      </c>
      <c r="G259">
        <v>37</v>
      </c>
      <c r="H259" s="1" t="s">
        <v>212</v>
      </c>
      <c r="I259" s="1" t="s">
        <v>1501</v>
      </c>
      <c r="J259" s="1" t="s">
        <v>1501</v>
      </c>
      <c r="K259" s="1">
        <v>8537</v>
      </c>
      <c r="L259" s="1" t="s">
        <v>261</v>
      </c>
      <c r="M259" s="1" t="s">
        <v>762</v>
      </c>
      <c r="N259" s="1" t="s">
        <v>215</v>
      </c>
      <c r="O259" s="1"/>
      <c r="P259" s="1" t="s">
        <v>763</v>
      </c>
      <c r="Q259" s="1" t="s">
        <v>764</v>
      </c>
      <c r="R259" s="1" t="s">
        <v>216</v>
      </c>
      <c r="S259" s="1" t="s">
        <v>218</v>
      </c>
      <c r="T259" s="11">
        <v>46163.954861111109</v>
      </c>
      <c r="U259" s="1" t="s">
        <v>217</v>
      </c>
      <c r="V259" s="11">
        <v>46175.416666666664</v>
      </c>
    </row>
    <row r="260" spans="1:22" x14ac:dyDescent="0.3">
      <c r="A260" s="1">
        <v>718689</v>
      </c>
      <c r="B260" s="1">
        <v>581956</v>
      </c>
      <c r="C260" s="1" t="s">
        <v>1189</v>
      </c>
      <c r="D260" s="1" t="s">
        <v>765</v>
      </c>
      <c r="E260" s="1" t="s">
        <v>229</v>
      </c>
      <c r="F260" s="4">
        <v>33758</v>
      </c>
      <c r="G260">
        <v>33</v>
      </c>
      <c r="H260" s="1" t="s">
        <v>212</v>
      </c>
      <c r="I260" s="1" t="s">
        <v>1501</v>
      </c>
      <c r="J260" s="1" t="s">
        <v>1501</v>
      </c>
      <c r="K260" s="1">
        <v>8537</v>
      </c>
      <c r="L260" s="1" t="s">
        <v>261</v>
      </c>
      <c r="M260" s="1" t="s">
        <v>762</v>
      </c>
      <c r="N260" s="1" t="s">
        <v>215</v>
      </c>
      <c r="O260" s="1"/>
      <c r="P260" s="1" t="s">
        <v>763</v>
      </c>
      <c r="Q260" s="1" t="s">
        <v>764</v>
      </c>
      <c r="R260" s="1" t="s">
        <v>216</v>
      </c>
      <c r="S260" s="1" t="s">
        <v>218</v>
      </c>
      <c r="T260" s="11">
        <v>46163.954861111109</v>
      </c>
      <c r="U260" s="1" t="s">
        <v>217</v>
      </c>
      <c r="V260" s="11">
        <v>46175.416666666664</v>
      </c>
    </row>
    <row r="261" spans="1:22" x14ac:dyDescent="0.3">
      <c r="A261" s="1">
        <v>607366</v>
      </c>
      <c r="B261" s="1">
        <v>489736</v>
      </c>
      <c r="C261" s="1" t="s">
        <v>1188</v>
      </c>
      <c r="D261" s="1" t="s">
        <v>766</v>
      </c>
      <c r="E261" s="1" t="s">
        <v>241</v>
      </c>
      <c r="F261" s="4">
        <v>24725</v>
      </c>
      <c r="G261">
        <v>58</v>
      </c>
      <c r="H261" s="1" t="s">
        <v>212</v>
      </c>
      <c r="I261" s="1" t="s">
        <v>1501</v>
      </c>
      <c r="J261" s="1" t="s">
        <v>1501</v>
      </c>
      <c r="K261" s="1">
        <v>8530</v>
      </c>
      <c r="L261" s="1" t="s">
        <v>214</v>
      </c>
      <c r="M261" s="1" t="s">
        <v>1193</v>
      </c>
      <c r="N261" s="1" t="s">
        <v>215</v>
      </c>
      <c r="O261" s="1"/>
      <c r="P261" s="1" t="s">
        <v>212</v>
      </c>
      <c r="Q261" s="1"/>
      <c r="R261" s="1" t="s">
        <v>216</v>
      </c>
      <c r="S261" s="1" t="s">
        <v>218</v>
      </c>
      <c r="T261" s="11">
        <v>46160.739583333336</v>
      </c>
      <c r="U261" s="1" t="s">
        <v>218</v>
      </c>
      <c r="V261" s="11">
        <v>46172.350694444445</v>
      </c>
    </row>
    <row r="262" spans="1:22" x14ac:dyDescent="0.3">
      <c r="A262" s="1">
        <v>607371</v>
      </c>
      <c r="B262" s="1">
        <v>489736</v>
      </c>
      <c r="C262" s="1" t="s">
        <v>1189</v>
      </c>
      <c r="D262" s="1" t="s">
        <v>252</v>
      </c>
      <c r="E262" s="1" t="s">
        <v>767</v>
      </c>
      <c r="F262" s="4">
        <v>24459</v>
      </c>
      <c r="G262">
        <v>59</v>
      </c>
      <c r="H262" s="1" t="s">
        <v>212</v>
      </c>
      <c r="I262" s="1" t="s">
        <v>1501</v>
      </c>
      <c r="J262" s="1" t="s">
        <v>1501</v>
      </c>
      <c r="K262" s="1">
        <v>8530</v>
      </c>
      <c r="L262" s="1" t="s">
        <v>214</v>
      </c>
      <c r="M262" s="1" t="s">
        <v>1193</v>
      </c>
      <c r="N262" s="1" t="s">
        <v>215</v>
      </c>
      <c r="O262" s="1"/>
      <c r="P262" s="1" t="s">
        <v>212</v>
      </c>
      <c r="Q262" s="1"/>
      <c r="R262" s="1" t="s">
        <v>216</v>
      </c>
      <c r="S262" s="1" t="s">
        <v>218</v>
      </c>
      <c r="T262" s="11">
        <v>46160.739583333336</v>
      </c>
      <c r="U262" s="1" t="s">
        <v>218</v>
      </c>
      <c r="V262" s="11">
        <v>46172.350694444445</v>
      </c>
    </row>
    <row r="263" spans="1:22" x14ac:dyDescent="0.3">
      <c r="A263" s="1">
        <v>624561</v>
      </c>
      <c r="B263" s="1">
        <v>505275</v>
      </c>
      <c r="C263" s="1" t="s">
        <v>1188</v>
      </c>
      <c r="D263" s="1" t="s">
        <v>768</v>
      </c>
      <c r="E263" s="1" t="s">
        <v>769</v>
      </c>
      <c r="F263" s="4">
        <v>26894</v>
      </c>
      <c r="G263">
        <v>52</v>
      </c>
      <c r="H263" s="1" t="s">
        <v>212</v>
      </c>
      <c r="I263" s="1" t="s">
        <v>1501</v>
      </c>
      <c r="J263" s="1" t="s">
        <v>1501</v>
      </c>
      <c r="K263" s="1">
        <v>8524</v>
      </c>
      <c r="L263" s="1" t="s">
        <v>214</v>
      </c>
      <c r="M263" s="1" t="s">
        <v>1200</v>
      </c>
      <c r="N263" s="1" t="s">
        <v>215</v>
      </c>
      <c r="O263" s="1"/>
      <c r="P263" s="1" t="s">
        <v>212</v>
      </c>
      <c r="Q263" s="1"/>
      <c r="R263" s="1" t="s">
        <v>216</v>
      </c>
      <c r="S263" s="1" t="s">
        <v>217</v>
      </c>
      <c r="T263" s="11">
        <v>46164.055555555555</v>
      </c>
      <c r="U263" s="1" t="s">
        <v>218</v>
      </c>
      <c r="V263" s="11">
        <v>46177.253472222219</v>
      </c>
    </row>
    <row r="264" spans="1:22" x14ac:dyDescent="0.3">
      <c r="A264" s="1">
        <v>624563</v>
      </c>
      <c r="B264" s="1">
        <v>505275</v>
      </c>
      <c r="C264" s="1" t="s">
        <v>1189</v>
      </c>
      <c r="D264" s="1" t="s">
        <v>770</v>
      </c>
      <c r="E264" s="1" t="s">
        <v>771</v>
      </c>
      <c r="F264" s="4">
        <v>28766</v>
      </c>
      <c r="G264">
        <v>47</v>
      </c>
      <c r="H264" s="1" t="s">
        <v>212</v>
      </c>
      <c r="I264" s="1" t="s">
        <v>1501</v>
      </c>
      <c r="J264" s="1" t="s">
        <v>1501</v>
      </c>
      <c r="K264" s="1">
        <v>8524</v>
      </c>
      <c r="L264" s="1" t="s">
        <v>214</v>
      </c>
      <c r="M264" s="1" t="s">
        <v>1200</v>
      </c>
      <c r="N264" s="1" t="s">
        <v>215</v>
      </c>
      <c r="O264" s="1"/>
      <c r="P264" s="1" t="s">
        <v>212</v>
      </c>
      <c r="Q264" s="1"/>
      <c r="R264" s="1" t="s">
        <v>216</v>
      </c>
      <c r="S264" s="1" t="s">
        <v>217</v>
      </c>
      <c r="T264" s="11">
        <v>46164.055555555555</v>
      </c>
      <c r="U264" s="1" t="s">
        <v>218</v>
      </c>
      <c r="V264" s="11">
        <v>46177.253472222219</v>
      </c>
    </row>
    <row r="265" spans="1:22" x14ac:dyDescent="0.3">
      <c r="A265" s="1">
        <v>48777</v>
      </c>
      <c r="B265" s="1">
        <v>41337</v>
      </c>
      <c r="C265" s="1" t="s">
        <v>1188</v>
      </c>
      <c r="D265" s="1" t="s">
        <v>329</v>
      </c>
      <c r="E265" s="1" t="s">
        <v>772</v>
      </c>
      <c r="F265" s="4">
        <v>33297</v>
      </c>
      <c r="G265">
        <v>35</v>
      </c>
      <c r="H265" s="1" t="s">
        <v>212</v>
      </c>
      <c r="I265" s="1" t="s">
        <v>1501</v>
      </c>
      <c r="J265" s="1" t="s">
        <v>1501</v>
      </c>
      <c r="K265" s="1">
        <v>8530</v>
      </c>
      <c r="L265" s="1" t="s">
        <v>214</v>
      </c>
      <c r="M265" s="1" t="s">
        <v>1190</v>
      </c>
      <c r="N265" s="1" t="s">
        <v>215</v>
      </c>
      <c r="O265" s="1"/>
      <c r="P265" s="1" t="s">
        <v>212</v>
      </c>
      <c r="Q265" s="1"/>
      <c r="R265" s="1" t="s">
        <v>216</v>
      </c>
      <c r="S265" s="1" t="s">
        <v>218</v>
      </c>
      <c r="T265" s="11">
        <v>46160.392361111109</v>
      </c>
      <c r="U265" s="1" t="s">
        <v>218</v>
      </c>
      <c r="V265" s="11">
        <v>46173.128472222219</v>
      </c>
    </row>
    <row r="266" spans="1:22" x14ac:dyDescent="0.3">
      <c r="A266" s="1">
        <v>796717</v>
      </c>
      <c r="B266" s="1">
        <v>644892</v>
      </c>
      <c r="C266" s="1" t="s">
        <v>1188</v>
      </c>
      <c r="D266" s="1" t="s">
        <v>773</v>
      </c>
      <c r="E266" s="1" t="s">
        <v>774</v>
      </c>
      <c r="F266" s="4">
        <v>24670</v>
      </c>
      <c r="G266">
        <v>58</v>
      </c>
      <c r="H266" s="1" t="s">
        <v>212</v>
      </c>
      <c r="I266" s="1" t="s">
        <v>1501</v>
      </c>
      <c r="J266" s="1" t="s">
        <v>1501</v>
      </c>
      <c r="K266" s="1">
        <v>8729</v>
      </c>
      <c r="L266" s="1" t="s">
        <v>261</v>
      </c>
      <c r="M266" s="1" t="s">
        <v>775</v>
      </c>
      <c r="N266" s="1" t="s">
        <v>215</v>
      </c>
      <c r="O266" s="1"/>
      <c r="P266" s="1" t="s">
        <v>776</v>
      </c>
      <c r="Q266" s="1" t="s">
        <v>777</v>
      </c>
      <c r="R266" s="1" t="s">
        <v>216</v>
      </c>
      <c r="S266" s="1" t="s">
        <v>218</v>
      </c>
      <c r="T266" s="11">
        <v>46163.711805555555</v>
      </c>
      <c r="U266" s="1" t="s">
        <v>218</v>
      </c>
      <c r="V266" s="11">
        <v>46179.649305555555</v>
      </c>
    </row>
    <row r="267" spans="1:22" x14ac:dyDescent="0.3">
      <c r="A267" s="1">
        <v>855672</v>
      </c>
      <c r="B267" s="1">
        <v>644892</v>
      </c>
      <c r="C267" s="1" t="s">
        <v>1189</v>
      </c>
      <c r="D267" s="1" t="s">
        <v>778</v>
      </c>
      <c r="E267" s="1" t="s">
        <v>773</v>
      </c>
      <c r="F267" s="4">
        <v>25700</v>
      </c>
      <c r="G267">
        <v>55</v>
      </c>
      <c r="H267" s="1" t="s">
        <v>212</v>
      </c>
      <c r="I267" s="1" t="s">
        <v>1501</v>
      </c>
      <c r="J267" s="1" t="s">
        <v>1501</v>
      </c>
      <c r="K267" s="1">
        <v>8729</v>
      </c>
      <c r="L267" s="1" t="s">
        <v>261</v>
      </c>
      <c r="M267" s="1" t="s">
        <v>775</v>
      </c>
      <c r="N267" s="1" t="s">
        <v>215</v>
      </c>
      <c r="O267" s="1"/>
      <c r="P267" s="1" t="s">
        <v>776</v>
      </c>
      <c r="Q267" s="1" t="s">
        <v>777</v>
      </c>
      <c r="R267" s="1" t="s">
        <v>216</v>
      </c>
      <c r="S267" s="1" t="s">
        <v>218</v>
      </c>
      <c r="T267" s="11">
        <v>46163.711805555555</v>
      </c>
      <c r="U267" s="1" t="s">
        <v>218</v>
      </c>
      <c r="V267" s="11">
        <v>46179.649305555555</v>
      </c>
    </row>
    <row r="268" spans="1:22" x14ac:dyDescent="0.3">
      <c r="A268" s="1">
        <v>619393</v>
      </c>
      <c r="B268" s="1">
        <v>500233</v>
      </c>
      <c r="C268" s="1" t="s">
        <v>1188</v>
      </c>
      <c r="D268" s="1" t="s">
        <v>779</v>
      </c>
      <c r="E268" s="1" t="s">
        <v>780</v>
      </c>
      <c r="F268" s="4">
        <v>36489</v>
      </c>
      <c r="G268">
        <v>26</v>
      </c>
      <c r="H268" s="1" t="s">
        <v>212</v>
      </c>
      <c r="I268" s="1" t="s">
        <v>1506</v>
      </c>
      <c r="J268" s="1" t="s">
        <v>1506</v>
      </c>
      <c r="K268" s="1">
        <v>8530</v>
      </c>
      <c r="L268" s="1" t="s">
        <v>261</v>
      </c>
      <c r="M268" s="1" t="s">
        <v>781</v>
      </c>
      <c r="N268" s="1" t="s">
        <v>215</v>
      </c>
      <c r="O268" s="1"/>
      <c r="P268" s="1" t="s">
        <v>782</v>
      </c>
      <c r="Q268" s="1" t="s">
        <v>783</v>
      </c>
      <c r="R268" s="1" t="s">
        <v>216</v>
      </c>
      <c r="S268" s="1" t="s">
        <v>218</v>
      </c>
      <c r="T268" s="11">
        <v>46160.673611111109</v>
      </c>
      <c r="U268" s="1" t="s">
        <v>218</v>
      </c>
      <c r="V268" s="11">
        <v>46173.027777777781</v>
      </c>
    </row>
    <row r="269" spans="1:22" x14ac:dyDescent="0.3">
      <c r="A269" s="1">
        <v>619402</v>
      </c>
      <c r="B269" s="1">
        <v>500233</v>
      </c>
      <c r="C269" s="1" t="s">
        <v>1189</v>
      </c>
      <c r="D269" s="1" t="s">
        <v>784</v>
      </c>
      <c r="E269" s="1" t="s">
        <v>785</v>
      </c>
      <c r="F269" s="4">
        <v>37635</v>
      </c>
      <c r="G269">
        <v>23</v>
      </c>
      <c r="H269" s="1" t="s">
        <v>212</v>
      </c>
      <c r="I269" s="1" t="s">
        <v>1506</v>
      </c>
      <c r="J269" s="1" t="s">
        <v>1506</v>
      </c>
      <c r="K269" s="1">
        <v>8530</v>
      </c>
      <c r="L269" s="1" t="s">
        <v>261</v>
      </c>
      <c r="M269" s="1" t="s">
        <v>781</v>
      </c>
      <c r="N269" s="1" t="s">
        <v>215</v>
      </c>
      <c r="O269" s="1"/>
      <c r="P269" s="1" t="s">
        <v>782</v>
      </c>
      <c r="Q269" s="1" t="s">
        <v>783</v>
      </c>
      <c r="R269" s="1" t="s">
        <v>216</v>
      </c>
      <c r="S269" s="1" t="s">
        <v>218</v>
      </c>
      <c r="T269" s="11">
        <v>46160.673611111109</v>
      </c>
      <c r="U269" s="1" t="s">
        <v>218</v>
      </c>
      <c r="V269" s="11">
        <v>46173.027777777781</v>
      </c>
    </row>
    <row r="270" spans="1:22" x14ac:dyDescent="0.3">
      <c r="A270" s="1">
        <v>739831</v>
      </c>
      <c r="B270" s="1">
        <v>599689</v>
      </c>
      <c r="C270" s="1" t="s">
        <v>1189</v>
      </c>
      <c r="D270" s="1" t="s">
        <v>786</v>
      </c>
      <c r="E270" s="1" t="s">
        <v>787</v>
      </c>
      <c r="F270" s="4">
        <v>28798</v>
      </c>
      <c r="G270">
        <v>47</v>
      </c>
      <c r="H270" s="1" t="s">
        <v>212</v>
      </c>
      <c r="I270" s="1" t="s">
        <v>1502</v>
      </c>
      <c r="J270" s="1" t="s">
        <v>1502</v>
      </c>
      <c r="K270" s="1">
        <v>8530</v>
      </c>
      <c r="L270" s="1" t="s">
        <v>214</v>
      </c>
      <c r="M270" s="1" t="s">
        <v>1209</v>
      </c>
      <c r="N270" s="1" t="s">
        <v>215</v>
      </c>
      <c r="O270" s="1"/>
      <c r="P270" s="1" t="s">
        <v>212</v>
      </c>
      <c r="Q270" s="1"/>
      <c r="R270" s="1" t="s">
        <v>216</v>
      </c>
      <c r="S270" s="1" t="s">
        <v>218</v>
      </c>
      <c r="T270" s="11">
        <v>46160.739583333336</v>
      </c>
      <c r="U270" s="1" t="s">
        <v>218</v>
      </c>
      <c r="V270" s="11">
        <v>46172.385416666664</v>
      </c>
    </row>
    <row r="271" spans="1:22" x14ac:dyDescent="0.3">
      <c r="A271" s="1">
        <v>788306</v>
      </c>
      <c r="B271" s="1">
        <v>659150</v>
      </c>
      <c r="C271" s="1" t="s">
        <v>1189</v>
      </c>
      <c r="D271" s="1" t="s">
        <v>692</v>
      </c>
      <c r="E271" s="1" t="s">
        <v>271</v>
      </c>
      <c r="F271" s="4">
        <v>28309</v>
      </c>
      <c r="G271">
        <v>48</v>
      </c>
      <c r="H271" s="1" t="s">
        <v>212</v>
      </c>
      <c r="I271" s="1" t="s">
        <v>1502</v>
      </c>
      <c r="J271" s="1" t="s">
        <v>1502</v>
      </c>
      <c r="K271" s="1">
        <v>8530</v>
      </c>
      <c r="L271" s="1" t="s">
        <v>214</v>
      </c>
      <c r="M271" s="1" t="s">
        <v>1207</v>
      </c>
      <c r="N271" s="1" t="s">
        <v>215</v>
      </c>
      <c r="O271" s="1"/>
      <c r="P271" s="1" t="s">
        <v>212</v>
      </c>
      <c r="Q271" s="1"/>
      <c r="R271" s="1" t="s">
        <v>216</v>
      </c>
      <c r="S271" s="1" t="s">
        <v>218</v>
      </c>
      <c r="T271" s="11">
        <v>46160.892361111109</v>
      </c>
      <c r="U271" s="1" t="s">
        <v>218</v>
      </c>
      <c r="V271" s="11">
        <v>46172.385416666664</v>
      </c>
    </row>
    <row r="272" spans="1:22" x14ac:dyDescent="0.3">
      <c r="A272" s="1">
        <v>815030</v>
      </c>
      <c r="B272" s="1">
        <v>659150</v>
      </c>
      <c r="C272" s="1" t="s">
        <v>1188</v>
      </c>
      <c r="D272" s="1" t="s">
        <v>788</v>
      </c>
      <c r="E272" s="1" t="s">
        <v>789</v>
      </c>
      <c r="F272" s="4">
        <v>28385</v>
      </c>
      <c r="G272">
        <v>48</v>
      </c>
      <c r="H272" s="1" t="s">
        <v>212</v>
      </c>
      <c r="I272" s="1" t="s">
        <v>1502</v>
      </c>
      <c r="J272" s="1" t="s">
        <v>1502</v>
      </c>
      <c r="K272" s="1">
        <v>8530</v>
      </c>
      <c r="L272" s="1" t="s">
        <v>214</v>
      </c>
      <c r="M272" s="1" t="s">
        <v>1207</v>
      </c>
      <c r="N272" s="1" t="s">
        <v>215</v>
      </c>
      <c r="O272" s="1"/>
      <c r="P272" s="1" t="s">
        <v>212</v>
      </c>
      <c r="Q272" s="1"/>
      <c r="R272" s="1" t="s">
        <v>216</v>
      </c>
      <c r="S272" s="1" t="s">
        <v>218</v>
      </c>
      <c r="T272" s="11">
        <v>46160.892361111109</v>
      </c>
      <c r="U272" s="1" t="s">
        <v>218</v>
      </c>
      <c r="V272" s="11">
        <v>46172.385416666664</v>
      </c>
    </row>
    <row r="273" spans="1:22" x14ac:dyDescent="0.3">
      <c r="A273" s="1">
        <v>812569</v>
      </c>
      <c r="B273" s="1">
        <v>657172</v>
      </c>
      <c r="C273" s="1" t="s">
        <v>1188</v>
      </c>
      <c r="D273" s="1" t="s">
        <v>790</v>
      </c>
      <c r="E273" s="1" t="s">
        <v>791</v>
      </c>
      <c r="F273" s="4">
        <v>33520</v>
      </c>
      <c r="G273">
        <v>34</v>
      </c>
      <c r="H273" s="1" t="s">
        <v>212</v>
      </c>
      <c r="I273" s="1" t="s">
        <v>1503</v>
      </c>
      <c r="J273" s="1" t="s">
        <v>1503</v>
      </c>
      <c r="K273" s="1">
        <v>8540</v>
      </c>
      <c r="L273" s="1" t="s">
        <v>214</v>
      </c>
      <c r="M273" s="1" t="s">
        <v>1205</v>
      </c>
      <c r="N273" s="1" t="s">
        <v>215</v>
      </c>
      <c r="O273" s="1"/>
      <c r="P273" s="1" t="s">
        <v>212</v>
      </c>
      <c r="Q273" s="1"/>
      <c r="R273" s="1" t="s">
        <v>216</v>
      </c>
      <c r="S273" s="1" t="s">
        <v>218</v>
      </c>
      <c r="T273" s="11">
        <v>46163.392361111109</v>
      </c>
      <c r="U273" s="1" t="s">
        <v>218</v>
      </c>
      <c r="V273" s="11">
        <v>46172.340277777781</v>
      </c>
    </row>
    <row r="274" spans="1:22" x14ac:dyDescent="0.3">
      <c r="A274" s="1">
        <v>549047</v>
      </c>
      <c r="B274" s="1">
        <v>435987</v>
      </c>
      <c r="C274" s="1" t="s">
        <v>1188</v>
      </c>
      <c r="D274" s="1" t="s">
        <v>792</v>
      </c>
      <c r="E274" s="1" t="s">
        <v>793</v>
      </c>
      <c r="F274" s="4">
        <v>36074</v>
      </c>
      <c r="G274">
        <v>27</v>
      </c>
      <c r="H274" s="1" t="s">
        <v>212</v>
      </c>
      <c r="I274" s="1" t="s">
        <v>1501</v>
      </c>
      <c r="J274" s="1" t="s">
        <v>1501</v>
      </c>
      <c r="K274" s="1">
        <v>8530</v>
      </c>
      <c r="L274" s="1" t="s">
        <v>214</v>
      </c>
      <c r="M274" s="1" t="s">
        <v>1193</v>
      </c>
      <c r="N274" s="1" t="s">
        <v>215</v>
      </c>
      <c r="O274" s="1"/>
      <c r="P274" s="1" t="s">
        <v>212</v>
      </c>
      <c r="Q274" s="1"/>
      <c r="R274" s="1" t="s">
        <v>216</v>
      </c>
      <c r="S274" s="1" t="s">
        <v>218</v>
      </c>
      <c r="T274" s="11">
        <v>46160.739583333336</v>
      </c>
      <c r="U274" s="1" t="s">
        <v>218</v>
      </c>
      <c r="V274" s="11">
        <v>46172.350694444445</v>
      </c>
    </row>
    <row r="275" spans="1:22" x14ac:dyDescent="0.3">
      <c r="A275" s="1">
        <v>602354</v>
      </c>
      <c r="B275" s="1">
        <v>435987</v>
      </c>
      <c r="C275" s="1" t="s">
        <v>1189</v>
      </c>
      <c r="D275" s="1" t="s">
        <v>794</v>
      </c>
      <c r="E275" s="1" t="s">
        <v>266</v>
      </c>
      <c r="F275" s="4">
        <v>37741</v>
      </c>
      <c r="G275">
        <v>22</v>
      </c>
      <c r="H275" s="1" t="s">
        <v>212</v>
      </c>
      <c r="I275" s="1" t="s">
        <v>1501</v>
      </c>
      <c r="J275" s="1" t="s">
        <v>1501</v>
      </c>
      <c r="K275" s="1">
        <v>8530</v>
      </c>
      <c r="L275" s="1" t="s">
        <v>214</v>
      </c>
      <c r="M275" s="1" t="s">
        <v>1193</v>
      </c>
      <c r="N275" s="1" t="s">
        <v>215</v>
      </c>
      <c r="O275" s="1"/>
      <c r="P275" s="1" t="s">
        <v>212</v>
      </c>
      <c r="Q275" s="1"/>
      <c r="R275" s="1" t="s">
        <v>216</v>
      </c>
      <c r="S275" s="1" t="s">
        <v>218</v>
      </c>
      <c r="T275" s="11">
        <v>46160.739583333336</v>
      </c>
      <c r="U275" s="1" t="s">
        <v>218</v>
      </c>
      <c r="V275" s="11">
        <v>46172.350694444445</v>
      </c>
    </row>
    <row r="276" spans="1:22" x14ac:dyDescent="0.3">
      <c r="A276" s="1">
        <v>660769</v>
      </c>
      <c r="B276" s="1">
        <v>667703</v>
      </c>
      <c r="C276" s="1" t="s">
        <v>1189</v>
      </c>
      <c r="D276" s="1" t="s">
        <v>795</v>
      </c>
      <c r="E276" s="1" t="s">
        <v>271</v>
      </c>
      <c r="F276" s="4">
        <v>20705</v>
      </c>
      <c r="G276">
        <v>69</v>
      </c>
      <c r="H276" s="1" t="s">
        <v>212</v>
      </c>
      <c r="I276" s="1" t="s">
        <v>1502</v>
      </c>
      <c r="J276" s="1" t="s">
        <v>1502</v>
      </c>
      <c r="K276" s="1">
        <v>8670</v>
      </c>
      <c r="L276" s="1" t="s">
        <v>261</v>
      </c>
      <c r="M276" s="1" t="s">
        <v>796</v>
      </c>
      <c r="N276" s="1" t="s">
        <v>215</v>
      </c>
      <c r="O276" s="1"/>
      <c r="P276" s="1" t="s">
        <v>797</v>
      </c>
      <c r="Q276" s="1" t="s">
        <v>798</v>
      </c>
      <c r="R276" s="1" t="s">
        <v>216</v>
      </c>
      <c r="S276" s="1" t="s">
        <v>218</v>
      </c>
      <c r="T276" s="11">
        <v>46165.545138888891</v>
      </c>
      <c r="U276" s="1" t="s">
        <v>218</v>
      </c>
      <c r="V276" s="11">
        <v>46175.215277777781</v>
      </c>
    </row>
    <row r="277" spans="1:22" x14ac:dyDescent="0.3">
      <c r="A277" s="1">
        <v>825912</v>
      </c>
      <c r="B277" s="1">
        <v>667703</v>
      </c>
      <c r="C277" s="1" t="s">
        <v>1189</v>
      </c>
      <c r="D277" s="1" t="s">
        <v>799</v>
      </c>
      <c r="E277" s="1" t="s">
        <v>271</v>
      </c>
      <c r="F277" s="4">
        <v>35037</v>
      </c>
      <c r="G277">
        <v>30</v>
      </c>
      <c r="H277" s="1" t="s">
        <v>212</v>
      </c>
      <c r="I277" s="1" t="s">
        <v>1502</v>
      </c>
      <c r="J277" s="1" t="s">
        <v>1502</v>
      </c>
      <c r="K277" s="1">
        <v>8670</v>
      </c>
      <c r="L277" s="1" t="s">
        <v>261</v>
      </c>
      <c r="M277" s="1" t="s">
        <v>796</v>
      </c>
      <c r="N277" s="1" t="s">
        <v>215</v>
      </c>
      <c r="O277" s="1"/>
      <c r="P277" s="1" t="s">
        <v>797</v>
      </c>
      <c r="Q277" s="1" t="s">
        <v>798</v>
      </c>
      <c r="R277" s="1" t="s">
        <v>216</v>
      </c>
      <c r="S277" s="1" t="s">
        <v>218</v>
      </c>
      <c r="T277" s="11">
        <v>46165.545138888891</v>
      </c>
      <c r="U277" s="1" t="s">
        <v>218</v>
      </c>
      <c r="V277" s="11">
        <v>46175.215277777781</v>
      </c>
    </row>
    <row r="278" spans="1:22" x14ac:dyDescent="0.3">
      <c r="A278" s="1">
        <v>355906</v>
      </c>
      <c r="B278" s="1">
        <v>280455</v>
      </c>
      <c r="C278" s="1" t="s">
        <v>1188</v>
      </c>
      <c r="D278" s="1" t="s">
        <v>340</v>
      </c>
      <c r="E278" s="1" t="s">
        <v>800</v>
      </c>
      <c r="F278" s="4">
        <v>28876</v>
      </c>
      <c r="G278">
        <v>47</v>
      </c>
      <c r="H278" s="1" t="s">
        <v>212</v>
      </c>
      <c r="I278" s="1" t="s">
        <v>1503</v>
      </c>
      <c r="J278" s="1" t="s">
        <v>1503</v>
      </c>
      <c r="K278" s="1">
        <v>8540</v>
      </c>
      <c r="L278" s="1" t="s">
        <v>214</v>
      </c>
      <c r="M278" s="1" t="s">
        <v>1205</v>
      </c>
      <c r="N278" s="1" t="s">
        <v>215</v>
      </c>
      <c r="O278" s="1"/>
      <c r="P278" s="1" t="s">
        <v>212</v>
      </c>
      <c r="Q278" s="1"/>
      <c r="R278" s="1" t="s">
        <v>216</v>
      </c>
      <c r="S278" s="1" t="s">
        <v>218</v>
      </c>
      <c r="T278" s="11">
        <v>46163.392361111109</v>
      </c>
      <c r="U278" s="1" t="s">
        <v>218</v>
      </c>
      <c r="V278" s="11">
        <v>46172.340277777781</v>
      </c>
    </row>
    <row r="279" spans="1:22" x14ac:dyDescent="0.3">
      <c r="A279" s="1">
        <v>779352</v>
      </c>
      <c r="B279" s="1">
        <v>280455</v>
      </c>
      <c r="C279" s="1" t="s">
        <v>1189</v>
      </c>
      <c r="D279" s="1" t="s">
        <v>801</v>
      </c>
      <c r="E279" s="1" t="s">
        <v>802</v>
      </c>
      <c r="F279" s="4">
        <v>29576</v>
      </c>
      <c r="G279">
        <v>45</v>
      </c>
      <c r="H279" s="1" t="s">
        <v>212</v>
      </c>
      <c r="I279" s="1" t="s">
        <v>1503</v>
      </c>
      <c r="J279" s="1" t="s">
        <v>1503</v>
      </c>
      <c r="K279" s="1">
        <v>8540</v>
      </c>
      <c r="L279" s="1" t="s">
        <v>214</v>
      </c>
      <c r="M279" s="1" t="s">
        <v>1205</v>
      </c>
      <c r="N279" s="1" t="s">
        <v>215</v>
      </c>
      <c r="O279" s="1"/>
      <c r="P279" s="1" t="s">
        <v>212</v>
      </c>
      <c r="Q279" s="1"/>
      <c r="R279" s="1" t="s">
        <v>216</v>
      </c>
      <c r="S279" s="1" t="s">
        <v>218</v>
      </c>
      <c r="T279" s="11">
        <v>46163.392361111109</v>
      </c>
      <c r="U279" s="1" t="s">
        <v>218</v>
      </c>
      <c r="V279" s="11">
        <v>46172.340277777781</v>
      </c>
    </row>
    <row r="280" spans="1:22" x14ac:dyDescent="0.3">
      <c r="A280" s="1">
        <v>76380</v>
      </c>
      <c r="B280" s="1">
        <v>62407</v>
      </c>
      <c r="C280" s="1" t="s">
        <v>1188</v>
      </c>
      <c r="D280" s="1" t="s">
        <v>803</v>
      </c>
      <c r="E280" s="1" t="s">
        <v>650</v>
      </c>
      <c r="F280" s="4">
        <v>29839</v>
      </c>
      <c r="G280">
        <v>44</v>
      </c>
      <c r="H280" s="1" t="s">
        <v>212</v>
      </c>
      <c r="I280" s="1" t="s">
        <v>1501</v>
      </c>
      <c r="J280" s="1" t="s">
        <v>1501</v>
      </c>
      <c r="K280" s="1">
        <v>8529</v>
      </c>
      <c r="L280" s="1" t="s">
        <v>214</v>
      </c>
      <c r="M280" s="1" t="s">
        <v>1190</v>
      </c>
      <c r="N280" s="1" t="s">
        <v>215</v>
      </c>
      <c r="O280" s="1" t="b">
        <v>1</v>
      </c>
      <c r="P280" s="1" t="s">
        <v>212</v>
      </c>
      <c r="Q280" s="1"/>
      <c r="R280" s="1" t="s">
        <v>216</v>
      </c>
      <c r="S280" s="1" t="s">
        <v>218</v>
      </c>
      <c r="T280" s="11">
        <v>46160.392361111109</v>
      </c>
      <c r="U280" s="1" t="s">
        <v>218</v>
      </c>
      <c r="V280" s="11">
        <v>46173.128472222219</v>
      </c>
    </row>
    <row r="281" spans="1:22" x14ac:dyDescent="0.3">
      <c r="A281" s="1">
        <v>791920</v>
      </c>
      <c r="B281" s="1">
        <v>641155</v>
      </c>
      <c r="C281" s="1" t="s">
        <v>1188</v>
      </c>
      <c r="D281" s="1" t="s">
        <v>804</v>
      </c>
      <c r="E281" s="1" t="s">
        <v>451</v>
      </c>
      <c r="F281" s="4">
        <v>25211</v>
      </c>
      <c r="G281">
        <v>57</v>
      </c>
      <c r="H281" s="1" t="s">
        <v>212</v>
      </c>
      <c r="I281" s="1" t="s">
        <v>1501</v>
      </c>
      <c r="J281" s="1" t="s">
        <v>1501</v>
      </c>
      <c r="K281" s="1">
        <v>8538</v>
      </c>
      <c r="L281" s="1" t="s">
        <v>261</v>
      </c>
      <c r="M281" s="1" t="s">
        <v>805</v>
      </c>
      <c r="N281" s="1" t="s">
        <v>215</v>
      </c>
      <c r="O281" s="1"/>
      <c r="P281" s="1" t="s">
        <v>806</v>
      </c>
      <c r="Q281" s="1" t="s">
        <v>807</v>
      </c>
      <c r="R281" s="1" t="s">
        <v>216</v>
      </c>
      <c r="S281" s="1" t="s">
        <v>218</v>
      </c>
      <c r="T281" s="11">
        <v>46163.163194444445</v>
      </c>
      <c r="U281" s="1" t="s">
        <v>218</v>
      </c>
      <c r="V281" s="11">
        <v>46175.642361111109</v>
      </c>
    </row>
    <row r="282" spans="1:22" x14ac:dyDescent="0.3">
      <c r="A282" s="1">
        <v>792005</v>
      </c>
      <c r="B282" s="1">
        <v>641155</v>
      </c>
      <c r="C282" s="1" t="s">
        <v>1189</v>
      </c>
      <c r="D282" s="1" t="s">
        <v>808</v>
      </c>
      <c r="E282" s="1" t="s">
        <v>809</v>
      </c>
      <c r="F282" s="4">
        <v>27182</v>
      </c>
      <c r="G282">
        <v>51</v>
      </c>
      <c r="H282" s="1" t="s">
        <v>212</v>
      </c>
      <c r="I282" s="1" t="s">
        <v>1501</v>
      </c>
      <c r="J282" s="1" t="s">
        <v>1501</v>
      </c>
      <c r="K282" s="1">
        <v>8538</v>
      </c>
      <c r="L282" s="1" t="s">
        <v>261</v>
      </c>
      <c r="M282" s="1" t="s">
        <v>805</v>
      </c>
      <c r="N282" s="1" t="s">
        <v>215</v>
      </c>
      <c r="O282" s="1"/>
      <c r="P282" s="1" t="s">
        <v>806</v>
      </c>
      <c r="Q282" s="1" t="s">
        <v>807</v>
      </c>
      <c r="R282" s="1" t="s">
        <v>216</v>
      </c>
      <c r="S282" s="1" t="s">
        <v>218</v>
      </c>
      <c r="T282" s="11">
        <v>46163.163194444445</v>
      </c>
      <c r="U282" s="1" t="s">
        <v>218</v>
      </c>
      <c r="V282" s="11">
        <v>46175.642361111109</v>
      </c>
    </row>
    <row r="283" spans="1:22" x14ac:dyDescent="0.3">
      <c r="A283" s="1">
        <v>525420</v>
      </c>
      <c r="B283" s="1">
        <v>415862</v>
      </c>
      <c r="C283" s="1" t="s">
        <v>1189</v>
      </c>
      <c r="D283" s="1" t="s">
        <v>810</v>
      </c>
      <c r="E283" s="1" t="s">
        <v>811</v>
      </c>
      <c r="F283" s="4">
        <v>32912</v>
      </c>
      <c r="G283">
        <v>36</v>
      </c>
      <c r="H283" s="1" t="s">
        <v>212</v>
      </c>
      <c r="I283" s="1" t="s">
        <v>1503</v>
      </c>
      <c r="J283" s="1" t="s">
        <v>1503</v>
      </c>
      <c r="K283" s="1">
        <v>8531</v>
      </c>
      <c r="L283" s="1" t="s">
        <v>261</v>
      </c>
      <c r="M283" s="1" t="s">
        <v>812</v>
      </c>
      <c r="N283" s="1" t="s">
        <v>215</v>
      </c>
      <c r="O283" s="1"/>
      <c r="P283" s="1" t="s">
        <v>813</v>
      </c>
      <c r="Q283" s="1" t="s">
        <v>814</v>
      </c>
      <c r="R283" s="1" t="s">
        <v>216</v>
      </c>
      <c r="S283" s="1" t="s">
        <v>217</v>
      </c>
      <c r="T283" s="11">
        <v>46163.28125</v>
      </c>
      <c r="U283" s="1" t="s">
        <v>218</v>
      </c>
      <c r="V283" s="11">
        <v>46179.340277777781</v>
      </c>
    </row>
    <row r="284" spans="1:22" x14ac:dyDescent="0.3">
      <c r="A284" s="1">
        <v>599188</v>
      </c>
      <c r="B284" s="1">
        <v>415862</v>
      </c>
      <c r="C284" s="1" t="s">
        <v>1188</v>
      </c>
      <c r="D284" s="1" t="s">
        <v>240</v>
      </c>
      <c r="E284" s="1" t="s">
        <v>815</v>
      </c>
      <c r="F284" s="4">
        <v>30940</v>
      </c>
      <c r="G284">
        <v>41</v>
      </c>
      <c r="H284" s="1" t="s">
        <v>212</v>
      </c>
      <c r="I284" s="1" t="s">
        <v>1503</v>
      </c>
      <c r="J284" s="1" t="s">
        <v>1503</v>
      </c>
      <c r="K284" s="1">
        <v>8531</v>
      </c>
      <c r="L284" s="1" t="s">
        <v>261</v>
      </c>
      <c r="M284" s="1" t="s">
        <v>812</v>
      </c>
      <c r="N284" s="1" t="s">
        <v>215</v>
      </c>
      <c r="O284" s="1"/>
      <c r="P284" s="1" t="s">
        <v>813</v>
      </c>
      <c r="Q284" s="1" t="s">
        <v>814</v>
      </c>
      <c r="R284" s="1" t="s">
        <v>216</v>
      </c>
      <c r="S284" s="1" t="s">
        <v>217</v>
      </c>
      <c r="T284" s="11">
        <v>46163.28125</v>
      </c>
      <c r="U284" s="1" t="s">
        <v>218</v>
      </c>
      <c r="V284" s="11">
        <v>46179.340277777781</v>
      </c>
    </row>
    <row r="285" spans="1:22" x14ac:dyDescent="0.3">
      <c r="A285" s="1">
        <v>364568</v>
      </c>
      <c r="B285" s="1">
        <v>287307</v>
      </c>
      <c r="C285" s="1" t="s">
        <v>1188</v>
      </c>
      <c r="D285" s="1" t="s">
        <v>816</v>
      </c>
      <c r="E285" s="1" t="s">
        <v>817</v>
      </c>
      <c r="F285" s="4">
        <v>32683</v>
      </c>
      <c r="G285">
        <v>36</v>
      </c>
      <c r="H285" s="1" t="s">
        <v>212</v>
      </c>
      <c r="I285" s="1" t="s">
        <v>1501</v>
      </c>
      <c r="J285" s="1" t="s">
        <v>1501</v>
      </c>
      <c r="K285" s="1">
        <v>8540</v>
      </c>
      <c r="L285" s="1" t="s">
        <v>261</v>
      </c>
      <c r="M285" s="1" t="s">
        <v>818</v>
      </c>
      <c r="N285" s="1" t="s">
        <v>215</v>
      </c>
      <c r="O285" s="1"/>
      <c r="P285" s="1" t="s">
        <v>819</v>
      </c>
      <c r="Q285" s="1" t="s">
        <v>820</v>
      </c>
      <c r="R285" s="1" t="s">
        <v>216</v>
      </c>
      <c r="S285" s="1" t="s">
        <v>217</v>
      </c>
      <c r="T285" s="11">
        <v>46163.416666666664</v>
      </c>
      <c r="U285" s="1" t="s">
        <v>218</v>
      </c>
      <c r="V285" s="11">
        <v>46173.201388888891</v>
      </c>
    </row>
    <row r="286" spans="1:22" x14ac:dyDescent="0.3">
      <c r="A286" s="1">
        <v>548760</v>
      </c>
      <c r="B286" s="1">
        <v>435740</v>
      </c>
      <c r="C286" s="1" t="s">
        <v>1188</v>
      </c>
      <c r="D286" s="1" t="s">
        <v>441</v>
      </c>
      <c r="E286" s="1" t="s">
        <v>650</v>
      </c>
      <c r="F286" s="4">
        <v>30578</v>
      </c>
      <c r="G286">
        <v>42</v>
      </c>
      <c r="H286" s="1" t="s">
        <v>212</v>
      </c>
      <c r="I286" s="1" t="s">
        <v>1501</v>
      </c>
      <c r="J286" s="1" t="s">
        <v>1501</v>
      </c>
      <c r="K286" s="1">
        <v>8530</v>
      </c>
      <c r="L286" s="1" t="s">
        <v>214</v>
      </c>
      <c r="M286" s="1" t="s">
        <v>1194</v>
      </c>
      <c r="N286" s="1" t="s">
        <v>215</v>
      </c>
      <c r="O286" s="1"/>
      <c r="P286" s="1" t="s">
        <v>212</v>
      </c>
      <c r="Q286" s="1"/>
      <c r="R286" s="1" t="s">
        <v>216</v>
      </c>
      <c r="S286" s="1" t="s">
        <v>218</v>
      </c>
      <c r="T286" s="11">
        <v>46161.878472222219</v>
      </c>
      <c r="U286" s="1" t="s">
        <v>218</v>
      </c>
      <c r="V286" s="11">
        <v>46173.392361111109</v>
      </c>
    </row>
    <row r="287" spans="1:22" x14ac:dyDescent="0.3">
      <c r="A287" s="1">
        <v>609079</v>
      </c>
      <c r="B287" s="1">
        <v>435740</v>
      </c>
      <c r="C287" s="1" t="s">
        <v>1189</v>
      </c>
      <c r="D287" s="1" t="s">
        <v>821</v>
      </c>
      <c r="E287" s="1" t="s">
        <v>650</v>
      </c>
      <c r="F287" s="4">
        <v>32747</v>
      </c>
      <c r="G287">
        <v>36</v>
      </c>
      <c r="H287" s="1" t="s">
        <v>212</v>
      </c>
      <c r="I287" s="1" t="s">
        <v>1501</v>
      </c>
      <c r="J287" s="1" t="s">
        <v>1501</v>
      </c>
      <c r="K287" s="1">
        <v>8530</v>
      </c>
      <c r="L287" s="1" t="s">
        <v>214</v>
      </c>
      <c r="M287" s="1" t="s">
        <v>1194</v>
      </c>
      <c r="N287" s="1" t="s">
        <v>215</v>
      </c>
      <c r="O287" s="1"/>
      <c r="P287" s="1" t="s">
        <v>212</v>
      </c>
      <c r="Q287" s="1"/>
      <c r="R287" s="1" t="s">
        <v>216</v>
      </c>
      <c r="S287" s="1" t="s">
        <v>218</v>
      </c>
      <c r="T287" s="11">
        <v>46161.878472222219</v>
      </c>
      <c r="U287" s="1" t="s">
        <v>218</v>
      </c>
      <c r="V287" s="11">
        <v>46173.392361111109</v>
      </c>
    </row>
    <row r="288" spans="1:22" x14ac:dyDescent="0.3">
      <c r="A288" s="1">
        <v>849958</v>
      </c>
      <c r="B288" s="1">
        <v>687084</v>
      </c>
      <c r="C288" s="1" t="s">
        <v>1188</v>
      </c>
      <c r="D288" s="1" t="s">
        <v>822</v>
      </c>
      <c r="E288" s="1" t="s">
        <v>240</v>
      </c>
      <c r="F288" s="4">
        <v>29789</v>
      </c>
      <c r="G288">
        <v>44</v>
      </c>
      <c r="H288" s="1" t="s">
        <v>212</v>
      </c>
      <c r="I288" s="1" t="s">
        <v>1501</v>
      </c>
      <c r="J288" s="1" t="s">
        <v>1501</v>
      </c>
      <c r="K288" s="1">
        <v>8530</v>
      </c>
      <c r="L288" s="1" t="s">
        <v>214</v>
      </c>
      <c r="M288" s="1" t="s">
        <v>1190</v>
      </c>
      <c r="N288" s="1" t="s">
        <v>215</v>
      </c>
      <c r="O288" s="1"/>
      <c r="P288" s="1" t="s">
        <v>212</v>
      </c>
      <c r="Q288" s="1"/>
      <c r="R288" s="1" t="s">
        <v>216</v>
      </c>
      <c r="S288" s="1" t="s">
        <v>218</v>
      </c>
      <c r="T288" s="11">
        <v>46160.392361111109</v>
      </c>
      <c r="U288" s="1" t="s">
        <v>218</v>
      </c>
      <c r="V288" s="11">
        <v>46173.128472222219</v>
      </c>
    </row>
    <row r="289" spans="1:22" x14ac:dyDescent="0.3">
      <c r="A289" s="1">
        <v>872412</v>
      </c>
      <c r="B289" s="1">
        <v>687084</v>
      </c>
      <c r="C289" s="1" t="s">
        <v>1189</v>
      </c>
      <c r="D289" s="1" t="s">
        <v>823</v>
      </c>
      <c r="E289" s="1" t="s">
        <v>270</v>
      </c>
      <c r="F289" s="4">
        <v>30963</v>
      </c>
      <c r="G289">
        <v>41</v>
      </c>
      <c r="H289" s="1" t="s">
        <v>212</v>
      </c>
      <c r="I289" s="1" t="s">
        <v>1501</v>
      </c>
      <c r="J289" s="1" t="s">
        <v>1501</v>
      </c>
      <c r="K289" s="1">
        <v>8530</v>
      </c>
      <c r="L289" s="1" t="s">
        <v>214</v>
      </c>
      <c r="M289" s="1" t="s">
        <v>1190</v>
      </c>
      <c r="N289" s="1" t="s">
        <v>215</v>
      </c>
      <c r="O289" s="1"/>
      <c r="P289" s="1" t="s">
        <v>212</v>
      </c>
      <c r="Q289" s="1"/>
      <c r="R289" s="1" t="s">
        <v>216</v>
      </c>
      <c r="S289" s="1" t="s">
        <v>218</v>
      </c>
      <c r="T289" s="11">
        <v>46160.392361111109</v>
      </c>
      <c r="U289" s="1" t="s">
        <v>218</v>
      </c>
      <c r="V289" s="11">
        <v>46173.128472222219</v>
      </c>
    </row>
    <row r="290" spans="1:22" x14ac:dyDescent="0.3">
      <c r="A290" s="1">
        <v>32770</v>
      </c>
      <c r="B290" s="1">
        <v>28932</v>
      </c>
      <c r="C290" s="1" t="s">
        <v>1189</v>
      </c>
      <c r="D290" s="1" t="s">
        <v>824</v>
      </c>
      <c r="E290" s="1" t="s">
        <v>825</v>
      </c>
      <c r="F290" s="4">
        <v>23494</v>
      </c>
      <c r="G290">
        <v>61</v>
      </c>
      <c r="H290" s="1" t="s">
        <v>212</v>
      </c>
      <c r="I290" s="1" t="s">
        <v>1501</v>
      </c>
      <c r="J290" s="1" t="s">
        <v>1501</v>
      </c>
      <c r="K290" s="1">
        <v>8525</v>
      </c>
      <c r="L290" s="1" t="s">
        <v>214</v>
      </c>
      <c r="M290" s="1" t="s">
        <v>1193</v>
      </c>
      <c r="N290" s="1" t="s">
        <v>215</v>
      </c>
      <c r="O290" s="1"/>
      <c r="P290" s="1" t="s">
        <v>212</v>
      </c>
      <c r="Q290" s="1"/>
      <c r="R290" s="1" t="s">
        <v>216</v>
      </c>
      <c r="S290" s="1" t="s">
        <v>218</v>
      </c>
      <c r="T290" s="11">
        <v>46160.739583333336</v>
      </c>
      <c r="U290" s="1" t="s">
        <v>218</v>
      </c>
      <c r="V290" s="11">
        <v>46172.350694444445</v>
      </c>
    </row>
    <row r="291" spans="1:22" x14ac:dyDescent="0.3">
      <c r="A291" s="1">
        <v>267907</v>
      </c>
      <c r="B291" s="1">
        <v>205692</v>
      </c>
      <c r="C291" s="1" t="s">
        <v>1188</v>
      </c>
      <c r="D291" s="1" t="s">
        <v>773</v>
      </c>
      <c r="E291" s="1" t="s">
        <v>826</v>
      </c>
      <c r="F291" s="4">
        <v>29234</v>
      </c>
      <c r="G291">
        <v>46</v>
      </c>
      <c r="H291" s="1" t="s">
        <v>212</v>
      </c>
      <c r="I291" s="1" t="s">
        <v>1501</v>
      </c>
      <c r="J291" s="1" t="s">
        <v>1501</v>
      </c>
      <c r="K291" s="1">
        <v>8530</v>
      </c>
      <c r="L291" s="1" t="s">
        <v>261</v>
      </c>
      <c r="M291" s="1" t="s">
        <v>827</v>
      </c>
      <c r="N291" s="1" t="s">
        <v>215</v>
      </c>
      <c r="O291" s="1" t="b">
        <v>1</v>
      </c>
      <c r="P291" s="1" t="s">
        <v>828</v>
      </c>
      <c r="Q291" s="1" t="s">
        <v>829</v>
      </c>
      <c r="R291" s="1" t="s">
        <v>216</v>
      </c>
      <c r="S291" s="1" t="s">
        <v>218</v>
      </c>
      <c r="T291" s="11">
        <v>46162.017361111109</v>
      </c>
      <c r="U291" s="1" t="s">
        <v>218</v>
      </c>
      <c r="V291" s="11">
        <v>46173.076388888891</v>
      </c>
    </row>
    <row r="292" spans="1:22" x14ac:dyDescent="0.3">
      <c r="A292" s="1">
        <v>865211</v>
      </c>
      <c r="B292" s="1">
        <v>205692</v>
      </c>
      <c r="C292" s="1" t="s">
        <v>1189</v>
      </c>
      <c r="D292" s="1" t="s">
        <v>830</v>
      </c>
      <c r="E292" s="1" t="s">
        <v>831</v>
      </c>
      <c r="F292" s="4">
        <v>29114</v>
      </c>
      <c r="G292">
        <v>46</v>
      </c>
      <c r="H292" s="1" t="s">
        <v>212</v>
      </c>
      <c r="I292" s="1" t="s">
        <v>1501</v>
      </c>
      <c r="J292" s="1" t="s">
        <v>1501</v>
      </c>
      <c r="K292" s="1">
        <v>8530</v>
      </c>
      <c r="L292" s="1" t="s">
        <v>261</v>
      </c>
      <c r="M292" s="1" t="s">
        <v>827</v>
      </c>
      <c r="N292" s="1" t="s">
        <v>215</v>
      </c>
      <c r="O292" s="1"/>
      <c r="P292" s="1" t="s">
        <v>828</v>
      </c>
      <c r="Q292" s="1" t="s">
        <v>829</v>
      </c>
      <c r="R292" s="1" t="s">
        <v>216</v>
      </c>
      <c r="S292" s="1" t="s">
        <v>218</v>
      </c>
      <c r="T292" s="11">
        <v>46162.017361111109</v>
      </c>
      <c r="U292" s="1" t="s">
        <v>218</v>
      </c>
      <c r="V292" s="11">
        <v>46173.076388888891</v>
      </c>
    </row>
    <row r="293" spans="1:22" x14ac:dyDescent="0.3">
      <c r="A293" s="1">
        <v>807637</v>
      </c>
      <c r="B293" s="1">
        <v>653203</v>
      </c>
      <c r="C293" s="1" t="s">
        <v>1189</v>
      </c>
      <c r="D293" s="1" t="s">
        <v>832</v>
      </c>
      <c r="E293" s="1" t="s">
        <v>833</v>
      </c>
      <c r="F293" s="4">
        <v>23722</v>
      </c>
      <c r="G293">
        <v>61</v>
      </c>
      <c r="H293" s="1" t="s">
        <v>212</v>
      </c>
      <c r="I293" s="1" t="s">
        <v>1501</v>
      </c>
      <c r="J293" s="1" t="s">
        <v>1501</v>
      </c>
      <c r="K293" s="1">
        <v>8525</v>
      </c>
      <c r="L293" s="1" t="s">
        <v>214</v>
      </c>
      <c r="M293" s="1" t="s">
        <v>1202</v>
      </c>
      <c r="N293" s="1" t="s">
        <v>215</v>
      </c>
      <c r="O293" s="1"/>
      <c r="P293" s="1" t="s">
        <v>212</v>
      </c>
      <c r="Q293" s="1"/>
      <c r="R293" s="1" t="s">
        <v>216</v>
      </c>
      <c r="S293" s="1" t="s">
        <v>218</v>
      </c>
      <c r="T293" s="11">
        <v>46160.107638888891</v>
      </c>
      <c r="U293" s="1" t="s">
        <v>218</v>
      </c>
      <c r="V293" s="11">
        <v>46172.409722222219</v>
      </c>
    </row>
    <row r="294" spans="1:22" x14ac:dyDescent="0.3">
      <c r="A294" s="1">
        <v>726200</v>
      </c>
      <c r="B294" s="1">
        <v>588406</v>
      </c>
      <c r="C294" s="1" t="s">
        <v>1188</v>
      </c>
      <c r="D294" s="1" t="s">
        <v>834</v>
      </c>
      <c r="E294" s="1" t="s">
        <v>241</v>
      </c>
      <c r="F294" s="4">
        <v>21998</v>
      </c>
      <c r="G294">
        <v>65</v>
      </c>
      <c r="H294" s="1" t="s">
        <v>212</v>
      </c>
      <c r="I294" s="1" t="s">
        <v>1501</v>
      </c>
      <c r="J294" s="1" t="s">
        <v>1501</v>
      </c>
      <c r="K294" s="1">
        <v>8544</v>
      </c>
      <c r="L294" s="1" t="s">
        <v>214</v>
      </c>
      <c r="M294" s="1" t="s">
        <v>1199</v>
      </c>
      <c r="N294" s="1" t="s">
        <v>215</v>
      </c>
      <c r="O294" s="1"/>
      <c r="P294" s="1" t="s">
        <v>212</v>
      </c>
      <c r="Q294" s="1"/>
      <c r="R294" s="1" t="s">
        <v>216</v>
      </c>
      <c r="S294" s="1" t="s">
        <v>217</v>
      </c>
      <c r="T294" s="11">
        <v>46160.579861111109</v>
      </c>
      <c r="U294" s="1" t="s">
        <v>218</v>
      </c>
      <c r="V294" s="11">
        <v>46172.392361111109</v>
      </c>
    </row>
    <row r="295" spans="1:22" x14ac:dyDescent="0.3">
      <c r="A295" s="1">
        <v>726235</v>
      </c>
      <c r="B295" s="1">
        <v>588406</v>
      </c>
      <c r="C295" s="1" t="s">
        <v>1189</v>
      </c>
      <c r="D295" s="1" t="s">
        <v>835</v>
      </c>
      <c r="E295" s="1" t="s">
        <v>241</v>
      </c>
      <c r="F295" s="4">
        <v>24598</v>
      </c>
      <c r="G295">
        <v>58</v>
      </c>
      <c r="H295" s="1" t="s">
        <v>212</v>
      </c>
      <c r="I295" s="1" t="s">
        <v>1501</v>
      </c>
      <c r="J295" s="1" t="s">
        <v>1501</v>
      </c>
      <c r="K295" s="1">
        <v>8544</v>
      </c>
      <c r="L295" s="1" t="s">
        <v>214</v>
      </c>
      <c r="M295" s="1" t="s">
        <v>1199</v>
      </c>
      <c r="N295" s="1" t="s">
        <v>215</v>
      </c>
      <c r="O295" s="1"/>
      <c r="P295" s="1" t="s">
        <v>212</v>
      </c>
      <c r="Q295" s="1"/>
      <c r="R295" s="1" t="s">
        <v>216</v>
      </c>
      <c r="S295" s="1" t="s">
        <v>217</v>
      </c>
      <c r="T295" s="11">
        <v>46160.579861111109</v>
      </c>
      <c r="U295" s="1" t="s">
        <v>218</v>
      </c>
      <c r="V295" s="11">
        <v>46172.392361111109</v>
      </c>
    </row>
    <row r="296" spans="1:22" x14ac:dyDescent="0.3">
      <c r="A296" s="1">
        <v>692445</v>
      </c>
      <c r="B296" s="1">
        <v>562669</v>
      </c>
      <c r="C296" s="1" t="s">
        <v>1189</v>
      </c>
      <c r="D296" s="1" t="s">
        <v>836</v>
      </c>
      <c r="E296" s="1" t="s">
        <v>229</v>
      </c>
      <c r="F296" s="4">
        <v>29064</v>
      </c>
      <c r="G296">
        <v>46</v>
      </c>
      <c r="H296" s="1" t="s">
        <v>212</v>
      </c>
      <c r="I296" s="1" t="s">
        <v>1501</v>
      </c>
      <c r="J296" s="1" t="s">
        <v>1501</v>
      </c>
      <c r="K296" s="1">
        <v>8530</v>
      </c>
      <c r="L296" s="1" t="s">
        <v>214</v>
      </c>
      <c r="M296" s="1" t="s">
        <v>1193</v>
      </c>
      <c r="N296" s="1" t="s">
        <v>215</v>
      </c>
      <c r="O296" s="1"/>
      <c r="P296" s="1" t="s">
        <v>212</v>
      </c>
      <c r="Q296" s="1"/>
      <c r="R296" s="1" t="s">
        <v>216</v>
      </c>
      <c r="S296" s="1" t="s">
        <v>218</v>
      </c>
      <c r="T296" s="11">
        <v>46160.739583333336</v>
      </c>
      <c r="U296" s="1" t="s">
        <v>218</v>
      </c>
      <c r="V296" s="11">
        <v>46172.350694444445</v>
      </c>
    </row>
    <row r="297" spans="1:22" x14ac:dyDescent="0.3">
      <c r="A297" s="1">
        <v>693173</v>
      </c>
      <c r="B297" s="1">
        <v>562669</v>
      </c>
      <c r="C297" s="1" t="s">
        <v>1188</v>
      </c>
      <c r="D297" s="1" t="s">
        <v>837</v>
      </c>
      <c r="E297" s="1" t="s">
        <v>451</v>
      </c>
      <c r="F297" s="4">
        <v>39155</v>
      </c>
      <c r="G297">
        <v>18</v>
      </c>
      <c r="H297" s="1" t="s">
        <v>212</v>
      </c>
      <c r="I297" s="1" t="s">
        <v>1501</v>
      </c>
      <c r="J297" s="1" t="s">
        <v>1501</v>
      </c>
      <c r="K297" s="1">
        <v>8530</v>
      </c>
      <c r="L297" s="1" t="s">
        <v>214</v>
      </c>
      <c r="M297" s="1" t="s">
        <v>1193</v>
      </c>
      <c r="N297" s="1" t="s">
        <v>215</v>
      </c>
      <c r="O297" s="1"/>
      <c r="P297" s="1" t="s">
        <v>212</v>
      </c>
      <c r="Q297" s="1"/>
      <c r="R297" s="1" t="s">
        <v>216</v>
      </c>
      <c r="S297" s="1" t="s">
        <v>218</v>
      </c>
      <c r="T297" s="11">
        <v>46160.739583333336</v>
      </c>
      <c r="U297" s="1" t="s">
        <v>218</v>
      </c>
      <c r="V297" s="11">
        <v>46172.350694444445</v>
      </c>
    </row>
    <row r="298" spans="1:22" x14ac:dyDescent="0.3">
      <c r="A298" s="1">
        <v>610992</v>
      </c>
      <c r="B298" s="1">
        <v>496272</v>
      </c>
      <c r="C298" s="1" t="s">
        <v>1189</v>
      </c>
      <c r="D298" s="1" t="s">
        <v>242</v>
      </c>
      <c r="E298" s="1" t="s">
        <v>838</v>
      </c>
      <c r="F298" s="4">
        <v>30065</v>
      </c>
      <c r="G298">
        <v>43</v>
      </c>
      <c r="H298" s="1" t="s">
        <v>212</v>
      </c>
      <c r="I298" s="1" t="s">
        <v>1501</v>
      </c>
      <c r="J298" s="1" t="s">
        <v>1501</v>
      </c>
      <c r="K298" s="1">
        <v>8530</v>
      </c>
      <c r="L298" s="1" t="s">
        <v>214</v>
      </c>
      <c r="M298" s="1" t="s">
        <v>1190</v>
      </c>
      <c r="N298" s="1" t="s">
        <v>215</v>
      </c>
      <c r="O298" s="1"/>
      <c r="P298" s="1" t="s">
        <v>212</v>
      </c>
      <c r="Q298" s="1"/>
      <c r="R298" s="1" t="s">
        <v>216</v>
      </c>
      <c r="S298" s="1" t="s">
        <v>218</v>
      </c>
      <c r="T298" s="11">
        <v>46160.392361111109</v>
      </c>
      <c r="U298" s="1" t="s">
        <v>218</v>
      </c>
      <c r="V298" s="11">
        <v>46173.128472222219</v>
      </c>
    </row>
    <row r="299" spans="1:22" x14ac:dyDescent="0.3">
      <c r="A299" s="1">
        <v>614947</v>
      </c>
      <c r="B299" s="1">
        <v>496272</v>
      </c>
      <c r="C299" s="1" t="s">
        <v>1188</v>
      </c>
      <c r="D299" s="1" t="s">
        <v>839</v>
      </c>
      <c r="E299" s="1" t="s">
        <v>840</v>
      </c>
      <c r="F299" s="4">
        <v>30544</v>
      </c>
      <c r="G299">
        <v>42</v>
      </c>
      <c r="H299" s="1" t="s">
        <v>212</v>
      </c>
      <c r="I299" s="1" t="s">
        <v>1501</v>
      </c>
      <c r="J299" s="1" t="s">
        <v>1501</v>
      </c>
      <c r="K299" s="1">
        <v>8530</v>
      </c>
      <c r="L299" s="1" t="s">
        <v>214</v>
      </c>
      <c r="M299" s="1" t="s">
        <v>1190</v>
      </c>
      <c r="N299" s="1" t="s">
        <v>215</v>
      </c>
      <c r="O299" s="1"/>
      <c r="P299" s="1" t="s">
        <v>212</v>
      </c>
      <c r="Q299" s="1"/>
      <c r="R299" s="1" t="s">
        <v>216</v>
      </c>
      <c r="S299" s="1" t="s">
        <v>218</v>
      </c>
      <c r="T299" s="11">
        <v>46160.392361111109</v>
      </c>
      <c r="U299" s="1" t="s">
        <v>218</v>
      </c>
      <c r="V299" s="11">
        <v>46173.128472222219</v>
      </c>
    </row>
    <row r="300" spans="1:22" x14ac:dyDescent="0.3">
      <c r="A300" s="1">
        <v>611348</v>
      </c>
      <c r="B300" s="1">
        <v>493170</v>
      </c>
      <c r="C300" s="1" t="s">
        <v>1188</v>
      </c>
      <c r="D300" s="1" t="s">
        <v>841</v>
      </c>
      <c r="E300" s="1" t="s">
        <v>681</v>
      </c>
      <c r="F300" s="4">
        <v>22667</v>
      </c>
      <c r="G300">
        <v>64</v>
      </c>
      <c r="H300" s="1" t="s">
        <v>212</v>
      </c>
      <c r="I300" s="1" t="s">
        <v>1503</v>
      </c>
      <c r="J300" s="1" t="s">
        <v>1503</v>
      </c>
      <c r="K300" s="1">
        <v>8567</v>
      </c>
      <c r="L300" s="1" t="s">
        <v>261</v>
      </c>
      <c r="M300" s="1" t="s">
        <v>842</v>
      </c>
      <c r="N300" s="1" t="s">
        <v>215</v>
      </c>
      <c r="O300" s="1"/>
      <c r="P300" s="1" t="s">
        <v>843</v>
      </c>
      <c r="Q300" s="1" t="s">
        <v>844</v>
      </c>
      <c r="R300" s="1" t="s">
        <v>216</v>
      </c>
      <c r="S300" s="1" t="s">
        <v>218</v>
      </c>
      <c r="T300" s="11">
        <v>46163.711805555555</v>
      </c>
      <c r="U300" s="1" t="s">
        <v>218</v>
      </c>
      <c r="V300" s="11">
        <v>46179.361111111109</v>
      </c>
    </row>
    <row r="301" spans="1:22" x14ac:dyDescent="0.3">
      <c r="A301" s="1">
        <v>661319</v>
      </c>
      <c r="B301" s="1">
        <v>493170</v>
      </c>
      <c r="C301" s="1" t="s">
        <v>1189</v>
      </c>
      <c r="D301" s="1" t="s">
        <v>845</v>
      </c>
      <c r="E301" s="1" t="s">
        <v>681</v>
      </c>
      <c r="F301" s="4">
        <v>26359</v>
      </c>
      <c r="G301">
        <v>54</v>
      </c>
      <c r="H301" s="1" t="s">
        <v>212</v>
      </c>
      <c r="I301" s="1" t="s">
        <v>1503</v>
      </c>
      <c r="J301" s="1" t="s">
        <v>1503</v>
      </c>
      <c r="K301" s="1">
        <v>8567</v>
      </c>
      <c r="L301" s="1" t="s">
        <v>261</v>
      </c>
      <c r="M301" s="1" t="s">
        <v>842</v>
      </c>
      <c r="N301" s="1" t="s">
        <v>215</v>
      </c>
      <c r="O301" s="1"/>
      <c r="P301" s="1" t="s">
        <v>843</v>
      </c>
      <c r="Q301" s="1" t="s">
        <v>844</v>
      </c>
      <c r="R301" s="1" t="s">
        <v>216</v>
      </c>
      <c r="S301" s="1" t="s">
        <v>218</v>
      </c>
      <c r="T301" s="11">
        <v>46163.711805555555</v>
      </c>
      <c r="U301" s="1" t="s">
        <v>218</v>
      </c>
      <c r="V301" s="11">
        <v>46179.361111111109</v>
      </c>
    </row>
    <row r="302" spans="1:22" x14ac:dyDescent="0.3">
      <c r="A302" s="1">
        <v>662626</v>
      </c>
      <c r="B302" s="1">
        <v>493170</v>
      </c>
      <c r="C302" s="1" t="s">
        <v>1188</v>
      </c>
      <c r="D302" s="1" t="s">
        <v>846</v>
      </c>
      <c r="E302" s="1" t="s">
        <v>681</v>
      </c>
      <c r="F302" s="4">
        <v>26111</v>
      </c>
      <c r="G302">
        <v>54</v>
      </c>
      <c r="H302" s="1" t="s">
        <v>212</v>
      </c>
      <c r="I302" s="1" t="s">
        <v>1503</v>
      </c>
      <c r="J302" s="1" t="s">
        <v>1503</v>
      </c>
      <c r="K302" s="1">
        <v>8567</v>
      </c>
      <c r="L302" s="1" t="s">
        <v>261</v>
      </c>
      <c r="M302" s="1" t="s">
        <v>842</v>
      </c>
      <c r="N302" s="1" t="s">
        <v>215</v>
      </c>
      <c r="O302" s="1"/>
      <c r="P302" s="1" t="s">
        <v>843</v>
      </c>
      <c r="Q302" s="1" t="s">
        <v>844</v>
      </c>
      <c r="R302" s="1" t="s">
        <v>216</v>
      </c>
      <c r="S302" s="1" t="s">
        <v>218</v>
      </c>
      <c r="T302" s="11">
        <v>46163.711805555555</v>
      </c>
      <c r="U302" s="1" t="s">
        <v>218</v>
      </c>
      <c r="V302" s="11">
        <v>46179.361111111109</v>
      </c>
    </row>
    <row r="303" spans="1:22" x14ac:dyDescent="0.3">
      <c r="A303" s="1">
        <v>842249</v>
      </c>
      <c r="B303" s="1">
        <v>493170</v>
      </c>
      <c r="C303" s="1" t="s">
        <v>1189</v>
      </c>
      <c r="D303" s="1" t="s">
        <v>847</v>
      </c>
      <c r="E303" s="1" t="s">
        <v>681</v>
      </c>
      <c r="F303" s="4">
        <v>36967</v>
      </c>
      <c r="G303">
        <v>24</v>
      </c>
      <c r="H303" s="1" t="s">
        <v>212</v>
      </c>
      <c r="I303" s="1" t="s">
        <v>1503</v>
      </c>
      <c r="J303" s="1" t="s">
        <v>1503</v>
      </c>
      <c r="K303" s="1">
        <v>8567</v>
      </c>
      <c r="L303" s="1" t="s">
        <v>261</v>
      </c>
      <c r="M303" s="1" t="s">
        <v>842</v>
      </c>
      <c r="N303" s="1" t="s">
        <v>215</v>
      </c>
      <c r="O303" s="1"/>
      <c r="P303" s="1" t="s">
        <v>843</v>
      </c>
      <c r="Q303" s="1" t="s">
        <v>844</v>
      </c>
      <c r="R303" s="1" t="s">
        <v>216</v>
      </c>
      <c r="S303" s="1" t="s">
        <v>218</v>
      </c>
      <c r="T303" s="11">
        <v>46163.711805555555</v>
      </c>
      <c r="U303" s="1" t="s">
        <v>218</v>
      </c>
      <c r="V303" s="11">
        <v>46179.361111111109</v>
      </c>
    </row>
    <row r="304" spans="1:22" x14ac:dyDescent="0.3">
      <c r="A304" s="1">
        <v>723323</v>
      </c>
      <c r="B304" s="1">
        <v>586343</v>
      </c>
      <c r="C304" s="1" t="s">
        <v>1189</v>
      </c>
      <c r="D304" s="1" t="s">
        <v>848</v>
      </c>
      <c r="E304" s="1" t="s">
        <v>849</v>
      </c>
      <c r="F304" s="4">
        <v>26317</v>
      </c>
      <c r="G304">
        <v>54</v>
      </c>
      <c r="H304" s="1" t="s">
        <v>212</v>
      </c>
      <c r="I304" s="1" t="s">
        <v>1501</v>
      </c>
      <c r="J304" s="1" t="s">
        <v>1501</v>
      </c>
      <c r="K304" s="1">
        <v>8538</v>
      </c>
      <c r="L304" s="1" t="s">
        <v>214</v>
      </c>
      <c r="M304" s="1" t="s">
        <v>1191</v>
      </c>
      <c r="N304" s="1" t="s">
        <v>215</v>
      </c>
      <c r="O304" s="1"/>
      <c r="P304" s="1" t="s">
        <v>212</v>
      </c>
      <c r="Q304" s="1"/>
      <c r="R304" s="1" t="s">
        <v>216</v>
      </c>
      <c r="S304" s="1" t="s">
        <v>218</v>
      </c>
      <c r="T304" s="11">
        <v>46163.236111111109</v>
      </c>
      <c r="U304" s="1" t="s">
        <v>218</v>
      </c>
      <c r="V304" s="11">
        <v>46175.930555555555</v>
      </c>
    </row>
    <row r="305" spans="1:22" x14ac:dyDescent="0.3">
      <c r="A305" s="1">
        <v>723341</v>
      </c>
      <c r="B305" s="1">
        <v>586343</v>
      </c>
      <c r="C305" s="1" t="s">
        <v>1189</v>
      </c>
      <c r="D305" s="1" t="s">
        <v>367</v>
      </c>
      <c r="E305" s="1" t="s">
        <v>849</v>
      </c>
      <c r="F305" s="4">
        <v>37478</v>
      </c>
      <c r="G305">
        <v>23</v>
      </c>
      <c r="H305" s="1" t="s">
        <v>212</v>
      </c>
      <c r="I305" s="1" t="s">
        <v>1501</v>
      </c>
      <c r="J305" s="1" t="s">
        <v>1501</v>
      </c>
      <c r="K305" s="1">
        <v>8538</v>
      </c>
      <c r="L305" s="1" t="s">
        <v>214</v>
      </c>
      <c r="M305" s="1" t="s">
        <v>1191</v>
      </c>
      <c r="N305" s="1" t="s">
        <v>215</v>
      </c>
      <c r="O305" s="1"/>
      <c r="P305" s="1" t="s">
        <v>212</v>
      </c>
      <c r="Q305" s="1"/>
      <c r="R305" s="1" t="s">
        <v>216</v>
      </c>
      <c r="S305" s="1" t="s">
        <v>218</v>
      </c>
      <c r="T305" s="11">
        <v>46163.236111111109</v>
      </c>
      <c r="U305" s="1" t="s">
        <v>218</v>
      </c>
      <c r="V305" s="11">
        <v>46175.930555555555</v>
      </c>
    </row>
    <row r="306" spans="1:22" x14ac:dyDescent="0.3">
      <c r="A306" s="1">
        <v>723353</v>
      </c>
      <c r="B306" s="1">
        <v>586343</v>
      </c>
      <c r="C306" s="1" t="s">
        <v>1188</v>
      </c>
      <c r="D306" s="1" t="s">
        <v>850</v>
      </c>
      <c r="E306" s="1" t="s">
        <v>849</v>
      </c>
      <c r="F306" s="4">
        <v>25133</v>
      </c>
      <c r="G306">
        <v>57</v>
      </c>
      <c r="H306" s="1" t="s">
        <v>212</v>
      </c>
      <c r="I306" s="1" t="s">
        <v>1501</v>
      </c>
      <c r="J306" s="1" t="s">
        <v>1501</v>
      </c>
      <c r="K306" s="1">
        <v>8538</v>
      </c>
      <c r="L306" s="1" t="s">
        <v>214</v>
      </c>
      <c r="M306" s="1" t="s">
        <v>1191</v>
      </c>
      <c r="N306" s="1" t="s">
        <v>215</v>
      </c>
      <c r="O306" s="1"/>
      <c r="P306" s="1" t="s">
        <v>212</v>
      </c>
      <c r="Q306" s="1"/>
      <c r="R306" s="1" t="s">
        <v>216</v>
      </c>
      <c r="S306" s="1" t="s">
        <v>218</v>
      </c>
      <c r="T306" s="11">
        <v>46163.236111111109</v>
      </c>
      <c r="U306" s="1" t="s">
        <v>218</v>
      </c>
      <c r="V306" s="11">
        <v>46175.930555555555</v>
      </c>
    </row>
    <row r="307" spans="1:22" x14ac:dyDescent="0.3">
      <c r="A307" s="1">
        <v>663303</v>
      </c>
      <c r="B307" s="1">
        <v>539099</v>
      </c>
      <c r="C307" s="1" t="s">
        <v>1188</v>
      </c>
      <c r="D307" s="1" t="s">
        <v>418</v>
      </c>
      <c r="E307" s="1" t="s">
        <v>851</v>
      </c>
      <c r="F307" s="4">
        <v>24041</v>
      </c>
      <c r="G307">
        <v>60</v>
      </c>
      <c r="H307" s="1" t="s">
        <v>212</v>
      </c>
      <c r="I307" s="1" t="s">
        <v>1501</v>
      </c>
      <c r="J307" s="1" t="s">
        <v>1501</v>
      </c>
      <c r="K307" s="1">
        <v>8535</v>
      </c>
      <c r="L307" s="1" t="s">
        <v>214</v>
      </c>
      <c r="M307" s="1" t="s">
        <v>1196</v>
      </c>
      <c r="N307" s="1" t="s">
        <v>215</v>
      </c>
      <c r="O307" s="1"/>
      <c r="P307" s="1" t="s">
        <v>212</v>
      </c>
      <c r="Q307" s="1"/>
      <c r="R307" s="1" t="s">
        <v>216</v>
      </c>
      <c r="S307" s="1" t="s">
        <v>218</v>
      </c>
      <c r="T307" s="11">
        <v>46164.579861111109</v>
      </c>
      <c r="U307" s="1" t="s">
        <v>218</v>
      </c>
      <c r="V307" s="11">
        <v>46175.253472222219</v>
      </c>
    </row>
    <row r="308" spans="1:22" x14ac:dyDescent="0.3">
      <c r="A308" s="1">
        <v>663479</v>
      </c>
      <c r="B308" s="1">
        <v>539099</v>
      </c>
      <c r="C308" s="1" t="s">
        <v>1189</v>
      </c>
      <c r="D308" s="1" t="s">
        <v>852</v>
      </c>
      <c r="E308" s="1" t="s">
        <v>851</v>
      </c>
      <c r="F308" s="4">
        <v>28463</v>
      </c>
      <c r="G308">
        <v>48</v>
      </c>
      <c r="H308" s="1" t="s">
        <v>212</v>
      </c>
      <c r="I308" s="1" t="s">
        <v>1501</v>
      </c>
      <c r="J308" s="1" t="s">
        <v>1501</v>
      </c>
      <c r="K308" s="1">
        <v>8535</v>
      </c>
      <c r="L308" s="1" t="s">
        <v>214</v>
      </c>
      <c r="M308" s="1" t="s">
        <v>1196</v>
      </c>
      <c r="N308" s="1" t="s">
        <v>215</v>
      </c>
      <c r="O308" s="1"/>
      <c r="P308" s="1" t="s">
        <v>212</v>
      </c>
      <c r="Q308" s="1"/>
      <c r="R308" s="1" t="s">
        <v>216</v>
      </c>
      <c r="S308" s="1" t="s">
        <v>218</v>
      </c>
      <c r="T308" s="11">
        <v>46164.579861111109</v>
      </c>
      <c r="U308" s="1" t="s">
        <v>218</v>
      </c>
      <c r="V308" s="11">
        <v>46175.253472222219</v>
      </c>
    </row>
    <row r="309" spans="1:22" x14ac:dyDescent="0.3">
      <c r="A309" s="1">
        <v>663502</v>
      </c>
      <c r="B309" s="1">
        <v>539099</v>
      </c>
      <c r="C309" s="1" t="s">
        <v>1189</v>
      </c>
      <c r="D309" s="1" t="s">
        <v>375</v>
      </c>
      <c r="E309" s="1" t="s">
        <v>851</v>
      </c>
      <c r="F309" s="4">
        <v>38149</v>
      </c>
      <c r="G309">
        <v>21</v>
      </c>
      <c r="H309" s="1" t="s">
        <v>212</v>
      </c>
      <c r="I309" s="1" t="s">
        <v>1501</v>
      </c>
      <c r="J309" s="1" t="s">
        <v>1501</v>
      </c>
      <c r="K309" s="1">
        <v>8535</v>
      </c>
      <c r="L309" s="1" t="s">
        <v>214</v>
      </c>
      <c r="M309" s="1" t="s">
        <v>1196</v>
      </c>
      <c r="N309" s="1" t="s">
        <v>215</v>
      </c>
      <c r="O309" s="1"/>
      <c r="P309" s="1" t="s">
        <v>212</v>
      </c>
      <c r="Q309" s="1"/>
      <c r="R309" s="1" t="s">
        <v>216</v>
      </c>
      <c r="S309" s="1" t="s">
        <v>218</v>
      </c>
      <c r="T309" s="11">
        <v>46164.579861111109</v>
      </c>
      <c r="U309" s="1" t="s">
        <v>218</v>
      </c>
      <c r="V309" s="11">
        <v>46175.253472222219</v>
      </c>
    </row>
    <row r="310" spans="1:22" x14ac:dyDescent="0.3">
      <c r="A310" s="1">
        <v>663509</v>
      </c>
      <c r="B310" s="1">
        <v>539099</v>
      </c>
      <c r="C310" s="1" t="s">
        <v>1188</v>
      </c>
      <c r="D310" s="1" t="s">
        <v>853</v>
      </c>
      <c r="E310" s="1" t="s">
        <v>851</v>
      </c>
      <c r="F310" s="4">
        <v>38760</v>
      </c>
      <c r="G310">
        <v>20</v>
      </c>
      <c r="H310" s="1" t="s">
        <v>212</v>
      </c>
      <c r="I310" s="1" t="s">
        <v>1501</v>
      </c>
      <c r="J310" s="1" t="s">
        <v>1501</v>
      </c>
      <c r="K310" s="1">
        <v>8535</v>
      </c>
      <c r="L310" s="1" t="s">
        <v>214</v>
      </c>
      <c r="M310" s="1" t="s">
        <v>1196</v>
      </c>
      <c r="N310" s="1" t="s">
        <v>215</v>
      </c>
      <c r="O310" s="1"/>
      <c r="P310" s="1" t="s">
        <v>212</v>
      </c>
      <c r="Q310" s="1"/>
      <c r="R310" s="1" t="s">
        <v>216</v>
      </c>
      <c r="S310" s="1" t="s">
        <v>218</v>
      </c>
      <c r="T310" s="11">
        <v>46164.579861111109</v>
      </c>
      <c r="U310" s="1" t="s">
        <v>218</v>
      </c>
      <c r="V310" s="11">
        <v>46175.253472222219</v>
      </c>
    </row>
    <row r="311" spans="1:22" x14ac:dyDescent="0.3">
      <c r="A311" s="1">
        <v>663537</v>
      </c>
      <c r="B311" s="1">
        <v>539099</v>
      </c>
      <c r="C311" s="1" t="s">
        <v>1188</v>
      </c>
      <c r="D311" s="1" t="s">
        <v>854</v>
      </c>
      <c r="E311" s="1" t="s">
        <v>851</v>
      </c>
      <c r="F311" s="4">
        <v>39396</v>
      </c>
      <c r="G311">
        <v>18</v>
      </c>
      <c r="H311" s="1" t="s">
        <v>212</v>
      </c>
      <c r="I311" s="1" t="s">
        <v>1501</v>
      </c>
      <c r="J311" s="1" t="s">
        <v>1501</v>
      </c>
      <c r="K311" s="1">
        <v>8535</v>
      </c>
      <c r="L311" s="1" t="s">
        <v>214</v>
      </c>
      <c r="M311" s="1" t="s">
        <v>1196</v>
      </c>
      <c r="N311" s="1" t="s">
        <v>215</v>
      </c>
      <c r="O311" s="1"/>
      <c r="P311" s="1" t="s">
        <v>212</v>
      </c>
      <c r="Q311" s="1"/>
      <c r="R311" s="1" t="s">
        <v>216</v>
      </c>
      <c r="S311" s="1" t="s">
        <v>218</v>
      </c>
      <c r="T311" s="11">
        <v>46164.579861111109</v>
      </c>
      <c r="U311" s="1" t="s">
        <v>218</v>
      </c>
      <c r="V311" s="11">
        <v>46175.253472222219</v>
      </c>
    </row>
    <row r="312" spans="1:22" x14ac:dyDescent="0.3">
      <c r="A312" s="1">
        <v>478988</v>
      </c>
      <c r="B312" s="1">
        <v>376177</v>
      </c>
      <c r="C312" s="1" t="s">
        <v>1188</v>
      </c>
      <c r="D312" s="1" t="s">
        <v>855</v>
      </c>
      <c r="E312" s="1" t="s">
        <v>856</v>
      </c>
      <c r="F312" s="4">
        <v>29386</v>
      </c>
      <c r="G312">
        <v>45</v>
      </c>
      <c r="H312" s="1" t="s">
        <v>212</v>
      </c>
      <c r="I312" s="1" t="s">
        <v>1501</v>
      </c>
      <c r="J312" s="1" t="s">
        <v>1501</v>
      </c>
      <c r="K312" s="1">
        <v>8540</v>
      </c>
      <c r="L312" s="1" t="s">
        <v>261</v>
      </c>
      <c r="M312" s="1" t="s">
        <v>857</v>
      </c>
      <c r="N312" s="1" t="s">
        <v>215</v>
      </c>
      <c r="O312" s="1"/>
      <c r="P312" s="1" t="s">
        <v>858</v>
      </c>
      <c r="Q312" s="1" t="s">
        <v>859</v>
      </c>
      <c r="R312" s="1" t="s">
        <v>216</v>
      </c>
      <c r="S312" s="1" t="s">
        <v>218</v>
      </c>
      <c r="T312" s="11">
        <v>46163.15625</v>
      </c>
      <c r="U312" s="1" t="s">
        <v>218</v>
      </c>
      <c r="V312" s="11">
        <v>46173.3125</v>
      </c>
    </row>
    <row r="313" spans="1:22" x14ac:dyDescent="0.3">
      <c r="A313" s="1">
        <v>479006</v>
      </c>
      <c r="B313" s="1">
        <v>376177</v>
      </c>
      <c r="C313" s="1" t="s">
        <v>1188</v>
      </c>
      <c r="D313" s="1" t="s">
        <v>860</v>
      </c>
      <c r="E313" s="1" t="s">
        <v>856</v>
      </c>
      <c r="F313" s="4">
        <v>20779</v>
      </c>
      <c r="G313">
        <v>69</v>
      </c>
      <c r="H313" s="1" t="s">
        <v>212</v>
      </c>
      <c r="I313" s="1" t="s">
        <v>1501</v>
      </c>
      <c r="J313" s="1" t="s">
        <v>1501</v>
      </c>
      <c r="K313" s="1">
        <v>8540</v>
      </c>
      <c r="L313" s="1" t="s">
        <v>261</v>
      </c>
      <c r="M313" s="1" t="s">
        <v>857</v>
      </c>
      <c r="N313" s="1" t="s">
        <v>215</v>
      </c>
      <c r="O313" s="1"/>
      <c r="P313" s="1" t="s">
        <v>858</v>
      </c>
      <c r="Q313" s="1" t="s">
        <v>859</v>
      </c>
      <c r="R313" s="1" t="s">
        <v>216</v>
      </c>
      <c r="S313" s="1" t="s">
        <v>218</v>
      </c>
      <c r="T313" s="11">
        <v>46163.15625</v>
      </c>
      <c r="U313" s="1" t="s">
        <v>218</v>
      </c>
      <c r="V313" s="11">
        <v>46173.3125</v>
      </c>
    </row>
    <row r="314" spans="1:22" x14ac:dyDescent="0.3">
      <c r="A314" s="1">
        <v>484208</v>
      </c>
      <c r="B314" s="1">
        <v>376177</v>
      </c>
      <c r="C314" s="1" t="s">
        <v>1189</v>
      </c>
      <c r="D314" s="1" t="s">
        <v>861</v>
      </c>
      <c r="E314" s="1" t="s">
        <v>283</v>
      </c>
      <c r="F314" s="4">
        <v>19652</v>
      </c>
      <c r="G314">
        <v>72</v>
      </c>
      <c r="H314" s="1" t="s">
        <v>212</v>
      </c>
      <c r="I314" s="1" t="s">
        <v>1501</v>
      </c>
      <c r="J314" s="1" t="s">
        <v>1501</v>
      </c>
      <c r="K314" s="1">
        <v>8540</v>
      </c>
      <c r="L314" s="1" t="s">
        <v>261</v>
      </c>
      <c r="M314" s="1" t="s">
        <v>857</v>
      </c>
      <c r="N314" s="1" t="s">
        <v>215</v>
      </c>
      <c r="O314" s="1"/>
      <c r="P314" s="1" t="s">
        <v>858</v>
      </c>
      <c r="Q314" s="1" t="s">
        <v>859</v>
      </c>
      <c r="R314" s="1" t="s">
        <v>216</v>
      </c>
      <c r="S314" s="1" t="s">
        <v>218</v>
      </c>
      <c r="T314" s="11">
        <v>46163.15625</v>
      </c>
      <c r="U314" s="1" t="s">
        <v>218</v>
      </c>
      <c r="V314" s="11">
        <v>46173.3125</v>
      </c>
    </row>
    <row r="315" spans="1:22" x14ac:dyDescent="0.3">
      <c r="A315" s="1">
        <v>752562</v>
      </c>
      <c r="B315" s="1">
        <v>609591</v>
      </c>
      <c r="C315" s="1" t="s">
        <v>1189</v>
      </c>
      <c r="D315" s="1" t="s">
        <v>862</v>
      </c>
      <c r="E315" s="1" t="s">
        <v>863</v>
      </c>
      <c r="F315" s="4">
        <v>28430</v>
      </c>
      <c r="G315">
        <v>48</v>
      </c>
      <c r="H315" s="1" t="s">
        <v>212</v>
      </c>
      <c r="I315" s="1" t="s">
        <v>1501</v>
      </c>
      <c r="J315" s="1" t="s">
        <v>1501</v>
      </c>
      <c r="K315" s="1">
        <v>8538</v>
      </c>
      <c r="L315" s="1" t="s">
        <v>214</v>
      </c>
      <c r="M315" s="1" t="s">
        <v>1192</v>
      </c>
      <c r="N315" s="1" t="s">
        <v>215</v>
      </c>
      <c r="O315" s="1"/>
      <c r="P315" s="1" t="s">
        <v>212</v>
      </c>
      <c r="Q315" s="1"/>
      <c r="R315" s="1" t="s">
        <v>216</v>
      </c>
      <c r="S315" s="1" t="s">
        <v>218</v>
      </c>
      <c r="T315" s="11">
        <v>46163.236111111109</v>
      </c>
      <c r="U315" s="1" t="s">
        <v>218</v>
      </c>
      <c r="V315" s="11">
        <v>46175.930555555555</v>
      </c>
    </row>
    <row r="316" spans="1:22" x14ac:dyDescent="0.3">
      <c r="A316" s="1">
        <v>762594</v>
      </c>
      <c r="B316" s="1">
        <v>609591</v>
      </c>
      <c r="C316" s="1" t="s">
        <v>1188</v>
      </c>
      <c r="D316" s="1" t="s">
        <v>240</v>
      </c>
      <c r="E316" s="1" t="s">
        <v>863</v>
      </c>
      <c r="F316" s="4">
        <v>27049</v>
      </c>
      <c r="G316">
        <v>52</v>
      </c>
      <c r="H316" s="1" t="s">
        <v>212</v>
      </c>
      <c r="I316" s="1" t="s">
        <v>1501</v>
      </c>
      <c r="J316" s="1" t="s">
        <v>1501</v>
      </c>
      <c r="K316" s="1">
        <v>8538</v>
      </c>
      <c r="L316" s="1" t="s">
        <v>214</v>
      </c>
      <c r="M316" s="1" t="s">
        <v>1192</v>
      </c>
      <c r="N316" s="1" t="s">
        <v>215</v>
      </c>
      <c r="O316" s="1"/>
      <c r="P316" s="1" t="s">
        <v>212</v>
      </c>
      <c r="Q316" s="1"/>
      <c r="R316" s="1" t="s">
        <v>216</v>
      </c>
      <c r="S316" s="1" t="s">
        <v>218</v>
      </c>
      <c r="T316" s="11">
        <v>46163.236111111109</v>
      </c>
      <c r="U316" s="1" t="s">
        <v>218</v>
      </c>
      <c r="V316" s="11">
        <v>46175.930555555555</v>
      </c>
    </row>
    <row r="317" spans="1:22" x14ac:dyDescent="0.3">
      <c r="A317" s="1">
        <v>819816</v>
      </c>
      <c r="B317" s="1">
        <v>662770</v>
      </c>
      <c r="C317" s="1" t="s">
        <v>1188</v>
      </c>
      <c r="D317" s="1" t="s">
        <v>270</v>
      </c>
      <c r="E317" s="1" t="s">
        <v>864</v>
      </c>
      <c r="F317" s="4">
        <v>20803</v>
      </c>
      <c r="G317">
        <v>69</v>
      </c>
      <c r="H317" s="1" t="s">
        <v>212</v>
      </c>
      <c r="I317" s="1" t="s">
        <v>1501</v>
      </c>
      <c r="J317" s="1" t="s">
        <v>1501</v>
      </c>
      <c r="K317" s="1">
        <v>8537</v>
      </c>
      <c r="L317" s="1" t="s">
        <v>214</v>
      </c>
      <c r="M317" s="1" t="s">
        <v>1196</v>
      </c>
      <c r="N317" s="1" t="s">
        <v>215</v>
      </c>
      <c r="O317" s="1"/>
      <c r="P317" s="1" t="s">
        <v>212</v>
      </c>
      <c r="Q317" s="1"/>
      <c r="R317" s="1" t="s">
        <v>216</v>
      </c>
      <c r="S317" s="1" t="s">
        <v>218</v>
      </c>
      <c r="T317" s="11">
        <v>46164.579861111109</v>
      </c>
      <c r="U317" s="1" t="s">
        <v>218</v>
      </c>
      <c r="V317" s="11">
        <v>46175.253472222219</v>
      </c>
    </row>
    <row r="318" spans="1:22" x14ac:dyDescent="0.3">
      <c r="A318" s="1">
        <v>819868</v>
      </c>
      <c r="B318" s="1">
        <v>662770</v>
      </c>
      <c r="C318" s="1" t="s">
        <v>1189</v>
      </c>
      <c r="D318" s="1" t="s">
        <v>865</v>
      </c>
      <c r="E318" s="1" t="s">
        <v>229</v>
      </c>
      <c r="F318" s="4">
        <v>22553</v>
      </c>
      <c r="G318">
        <v>64</v>
      </c>
      <c r="H318" s="1" t="s">
        <v>212</v>
      </c>
      <c r="I318" s="1" t="s">
        <v>1501</v>
      </c>
      <c r="J318" s="1" t="s">
        <v>1501</v>
      </c>
      <c r="K318" s="1">
        <v>8537</v>
      </c>
      <c r="L318" s="1" t="s">
        <v>214</v>
      </c>
      <c r="M318" s="1" t="s">
        <v>1196</v>
      </c>
      <c r="N318" s="1" t="s">
        <v>215</v>
      </c>
      <c r="O318" s="1"/>
      <c r="P318" s="1" t="s">
        <v>212</v>
      </c>
      <c r="Q318" s="1"/>
      <c r="R318" s="1" t="s">
        <v>216</v>
      </c>
      <c r="S318" s="1" t="s">
        <v>218</v>
      </c>
      <c r="T318" s="11">
        <v>46164.579861111109</v>
      </c>
      <c r="U318" s="1" t="s">
        <v>218</v>
      </c>
      <c r="V318" s="11">
        <v>46175.253472222219</v>
      </c>
    </row>
    <row r="319" spans="1:22" x14ac:dyDescent="0.3">
      <c r="A319" s="1">
        <v>328213</v>
      </c>
      <c r="B319" s="1">
        <v>258453</v>
      </c>
      <c r="C319" s="1" t="s">
        <v>1188</v>
      </c>
      <c r="D319" s="1" t="s">
        <v>866</v>
      </c>
      <c r="E319" s="1" t="s">
        <v>271</v>
      </c>
      <c r="F319" s="4">
        <v>25282</v>
      </c>
      <c r="G319">
        <v>56</v>
      </c>
      <c r="H319" s="1" t="s">
        <v>212</v>
      </c>
      <c r="I319" s="1" t="s">
        <v>1501</v>
      </c>
      <c r="J319" s="1" t="s">
        <v>1501</v>
      </c>
      <c r="K319" s="1">
        <v>8544</v>
      </c>
      <c r="L319" s="1" t="s">
        <v>214</v>
      </c>
      <c r="M319" s="1" t="s">
        <v>1194</v>
      </c>
      <c r="N319" s="1" t="s">
        <v>215</v>
      </c>
      <c r="O319" s="1"/>
      <c r="P319" s="1" t="s">
        <v>212</v>
      </c>
      <c r="Q319" s="1"/>
      <c r="R319" s="1" t="s">
        <v>216</v>
      </c>
      <c r="S319" s="1" t="s">
        <v>218</v>
      </c>
      <c r="T319" s="11">
        <v>46161.878472222219</v>
      </c>
      <c r="U319" s="1" t="s">
        <v>218</v>
      </c>
      <c r="V319" s="11">
        <v>46173.392361111109</v>
      </c>
    </row>
    <row r="320" spans="1:22" x14ac:dyDescent="0.3">
      <c r="A320" s="1">
        <v>637073</v>
      </c>
      <c r="B320" s="1">
        <v>258453</v>
      </c>
      <c r="C320" s="1" t="s">
        <v>1189</v>
      </c>
      <c r="D320" s="1" t="s">
        <v>254</v>
      </c>
      <c r="E320" s="1" t="s">
        <v>271</v>
      </c>
      <c r="F320" s="4">
        <v>27159</v>
      </c>
      <c r="G320">
        <v>51</v>
      </c>
      <c r="H320" s="1" t="s">
        <v>212</v>
      </c>
      <c r="I320" s="1" t="s">
        <v>1501</v>
      </c>
      <c r="J320" s="1" t="s">
        <v>1501</v>
      </c>
      <c r="K320" s="1">
        <v>8544</v>
      </c>
      <c r="L320" s="1" t="s">
        <v>214</v>
      </c>
      <c r="M320" s="1" t="s">
        <v>1194</v>
      </c>
      <c r="N320" s="1" t="s">
        <v>215</v>
      </c>
      <c r="O320" s="1"/>
      <c r="P320" s="1" t="s">
        <v>212</v>
      </c>
      <c r="Q320" s="1"/>
      <c r="R320" s="1" t="s">
        <v>216</v>
      </c>
      <c r="S320" s="1" t="s">
        <v>218</v>
      </c>
      <c r="T320" s="11">
        <v>46161.878472222219</v>
      </c>
      <c r="U320" s="1" t="s">
        <v>218</v>
      </c>
      <c r="V320" s="11">
        <v>46173.392361111109</v>
      </c>
    </row>
    <row r="321" spans="1:22" x14ac:dyDescent="0.3">
      <c r="A321" s="1">
        <v>862334</v>
      </c>
      <c r="B321" s="1">
        <v>696942</v>
      </c>
      <c r="C321" s="1" t="s">
        <v>1188</v>
      </c>
      <c r="D321" s="1" t="s">
        <v>451</v>
      </c>
      <c r="E321" s="1" t="s">
        <v>867</v>
      </c>
      <c r="F321" s="4">
        <v>35531</v>
      </c>
      <c r="G321">
        <v>28</v>
      </c>
      <c r="H321" s="1" t="s">
        <v>212</v>
      </c>
      <c r="I321" s="1" t="s">
        <v>1501</v>
      </c>
      <c r="J321" s="1" t="s">
        <v>1501</v>
      </c>
      <c r="K321" s="1">
        <v>8525</v>
      </c>
      <c r="L321" s="1" t="s">
        <v>214</v>
      </c>
      <c r="M321" s="1" t="s">
        <v>1190</v>
      </c>
      <c r="N321" s="1" t="s">
        <v>215</v>
      </c>
      <c r="O321" s="1"/>
      <c r="P321" s="1" t="s">
        <v>212</v>
      </c>
      <c r="Q321" s="1"/>
      <c r="R321" s="1" t="s">
        <v>216</v>
      </c>
      <c r="S321" s="1" t="s">
        <v>218</v>
      </c>
      <c r="T321" s="11">
        <v>46160.392361111109</v>
      </c>
      <c r="U321" s="1" t="s">
        <v>218</v>
      </c>
      <c r="V321" s="11">
        <v>46173.128472222219</v>
      </c>
    </row>
    <row r="322" spans="1:22" x14ac:dyDescent="0.3">
      <c r="A322" s="1">
        <v>862401</v>
      </c>
      <c r="B322" s="1">
        <v>696942</v>
      </c>
      <c r="C322" s="1" t="s">
        <v>1188</v>
      </c>
      <c r="D322" s="1" t="s">
        <v>868</v>
      </c>
      <c r="E322" s="1" t="s">
        <v>867</v>
      </c>
      <c r="F322" s="4">
        <v>23703</v>
      </c>
      <c r="G322">
        <v>61</v>
      </c>
      <c r="H322" s="1" t="s">
        <v>212</v>
      </c>
      <c r="I322" s="1" t="s">
        <v>1501</v>
      </c>
      <c r="J322" s="1" t="s">
        <v>1501</v>
      </c>
      <c r="K322" s="1">
        <v>8525</v>
      </c>
      <c r="L322" s="1" t="s">
        <v>214</v>
      </c>
      <c r="M322" s="1" t="s">
        <v>1190</v>
      </c>
      <c r="N322" s="1" t="s">
        <v>215</v>
      </c>
      <c r="O322" s="1"/>
      <c r="P322" s="1" t="s">
        <v>212</v>
      </c>
      <c r="Q322" s="1"/>
      <c r="R322" s="1" t="s">
        <v>216</v>
      </c>
      <c r="S322" s="1" t="s">
        <v>218</v>
      </c>
      <c r="T322" s="11">
        <v>46160.392361111109</v>
      </c>
      <c r="U322" s="1" t="s">
        <v>218</v>
      </c>
      <c r="V322" s="11">
        <v>46173.128472222219</v>
      </c>
    </row>
    <row r="323" spans="1:22" x14ac:dyDescent="0.3">
      <c r="A323" s="1">
        <v>862441</v>
      </c>
      <c r="B323" s="1">
        <v>696942</v>
      </c>
      <c r="C323" s="1" t="s">
        <v>1189</v>
      </c>
      <c r="D323" s="1" t="s">
        <v>869</v>
      </c>
      <c r="E323" s="1" t="s">
        <v>867</v>
      </c>
      <c r="F323" s="4">
        <v>25574</v>
      </c>
      <c r="G323">
        <v>56</v>
      </c>
      <c r="H323" s="1" t="s">
        <v>212</v>
      </c>
      <c r="I323" s="1" t="s">
        <v>1501</v>
      </c>
      <c r="J323" s="1" t="s">
        <v>1501</v>
      </c>
      <c r="K323" s="1">
        <v>8525</v>
      </c>
      <c r="L323" s="1" t="s">
        <v>214</v>
      </c>
      <c r="M323" s="1" t="s">
        <v>1190</v>
      </c>
      <c r="N323" s="1" t="s">
        <v>215</v>
      </c>
      <c r="O323" s="1"/>
      <c r="P323" s="1" t="s">
        <v>212</v>
      </c>
      <c r="Q323" s="1"/>
      <c r="R323" s="1" t="s">
        <v>216</v>
      </c>
      <c r="S323" s="1" t="s">
        <v>218</v>
      </c>
      <c r="T323" s="11">
        <v>46160.392361111109</v>
      </c>
      <c r="U323" s="1" t="s">
        <v>218</v>
      </c>
      <c r="V323" s="11">
        <v>46173.128472222219</v>
      </c>
    </row>
    <row r="324" spans="1:22" x14ac:dyDescent="0.3">
      <c r="A324" s="1">
        <v>864866</v>
      </c>
      <c r="B324" s="1">
        <v>696942</v>
      </c>
      <c r="C324" s="1" t="s">
        <v>1189</v>
      </c>
      <c r="D324" s="1" t="s">
        <v>870</v>
      </c>
      <c r="E324" s="1" t="s">
        <v>871</v>
      </c>
      <c r="F324" s="4">
        <v>17944</v>
      </c>
      <c r="G324">
        <v>77</v>
      </c>
      <c r="H324" s="1" t="s">
        <v>212</v>
      </c>
      <c r="I324" s="1" t="s">
        <v>1501</v>
      </c>
      <c r="J324" s="1" t="s">
        <v>1501</v>
      </c>
      <c r="K324" s="1">
        <v>8525</v>
      </c>
      <c r="L324" s="1" t="s">
        <v>214</v>
      </c>
      <c r="M324" s="1" t="s">
        <v>1190</v>
      </c>
      <c r="N324" s="1" t="s">
        <v>215</v>
      </c>
      <c r="O324" s="1"/>
      <c r="P324" s="1" t="s">
        <v>212</v>
      </c>
      <c r="Q324" s="1"/>
      <c r="R324" s="1" t="s">
        <v>216</v>
      </c>
      <c r="S324" s="1" t="s">
        <v>218</v>
      </c>
      <c r="T324" s="11">
        <v>46160.392361111109</v>
      </c>
      <c r="U324" s="1" t="s">
        <v>218</v>
      </c>
      <c r="V324" s="11">
        <v>46173.128472222219</v>
      </c>
    </row>
    <row r="325" spans="1:22" x14ac:dyDescent="0.3">
      <c r="A325" s="1">
        <v>131330</v>
      </c>
      <c r="B325" s="1">
        <v>100690</v>
      </c>
      <c r="C325" s="1" t="s">
        <v>1189</v>
      </c>
      <c r="D325" s="1" t="s">
        <v>872</v>
      </c>
      <c r="E325" s="1" t="s">
        <v>341</v>
      </c>
      <c r="F325" s="4">
        <v>27670</v>
      </c>
      <c r="G325">
        <v>50</v>
      </c>
      <c r="H325" s="1" t="s">
        <v>212</v>
      </c>
      <c r="I325" s="1" t="s">
        <v>1501</v>
      </c>
      <c r="J325" s="1" t="s">
        <v>1501</v>
      </c>
      <c r="K325" s="1">
        <v>8525</v>
      </c>
      <c r="L325" s="1" t="s">
        <v>214</v>
      </c>
      <c r="M325" s="1" t="s">
        <v>1190</v>
      </c>
      <c r="N325" s="1" t="s">
        <v>215</v>
      </c>
      <c r="O325" s="1"/>
      <c r="P325" s="1" t="s">
        <v>212</v>
      </c>
      <c r="Q325" s="1"/>
      <c r="R325" s="1" t="s">
        <v>216</v>
      </c>
      <c r="S325" s="1" t="s">
        <v>218</v>
      </c>
      <c r="T325" s="11">
        <v>46160.392361111109</v>
      </c>
      <c r="U325" s="1" t="s">
        <v>218</v>
      </c>
      <c r="V325" s="11">
        <v>46173.128472222219</v>
      </c>
    </row>
    <row r="326" spans="1:22" x14ac:dyDescent="0.3">
      <c r="A326" s="1">
        <v>131352</v>
      </c>
      <c r="B326" s="1">
        <v>100690</v>
      </c>
      <c r="C326" s="1" t="s">
        <v>1188</v>
      </c>
      <c r="D326" s="1" t="s">
        <v>768</v>
      </c>
      <c r="E326" s="1" t="s">
        <v>341</v>
      </c>
      <c r="F326" s="4">
        <v>15685</v>
      </c>
      <c r="G326">
        <v>83</v>
      </c>
      <c r="H326" s="1" t="s">
        <v>212</v>
      </c>
      <c r="I326" s="1" t="s">
        <v>1501</v>
      </c>
      <c r="J326" s="1" t="s">
        <v>1501</v>
      </c>
      <c r="K326" s="1">
        <v>8525</v>
      </c>
      <c r="L326" s="1" t="s">
        <v>214</v>
      </c>
      <c r="M326" s="1" t="s">
        <v>1190</v>
      </c>
      <c r="N326" s="1" t="s">
        <v>215</v>
      </c>
      <c r="O326" s="1"/>
      <c r="P326" s="1" t="s">
        <v>212</v>
      </c>
      <c r="Q326" s="1"/>
      <c r="R326" s="1" t="s">
        <v>216</v>
      </c>
      <c r="S326" s="1" t="s">
        <v>218</v>
      </c>
      <c r="T326" s="11">
        <v>46160.392361111109</v>
      </c>
      <c r="U326" s="1" t="s">
        <v>218</v>
      </c>
      <c r="V326" s="11">
        <v>46173.128472222219</v>
      </c>
    </row>
    <row r="327" spans="1:22" x14ac:dyDescent="0.3">
      <c r="A327" s="1">
        <v>131372</v>
      </c>
      <c r="B327" s="1">
        <v>100690</v>
      </c>
      <c r="C327" s="1" t="s">
        <v>1189</v>
      </c>
      <c r="D327" s="1" t="s">
        <v>873</v>
      </c>
      <c r="E327" s="1" t="s">
        <v>341</v>
      </c>
      <c r="F327" s="4">
        <v>19621</v>
      </c>
      <c r="G327">
        <v>72</v>
      </c>
      <c r="H327" s="1" t="s">
        <v>212</v>
      </c>
      <c r="I327" s="1" t="s">
        <v>1501</v>
      </c>
      <c r="J327" s="1" t="s">
        <v>1501</v>
      </c>
      <c r="K327" s="1">
        <v>8525</v>
      </c>
      <c r="L327" s="1" t="s">
        <v>214</v>
      </c>
      <c r="M327" s="1" t="s">
        <v>1190</v>
      </c>
      <c r="N327" s="1" t="s">
        <v>215</v>
      </c>
      <c r="O327" s="1"/>
      <c r="P327" s="1" t="s">
        <v>212</v>
      </c>
      <c r="Q327" s="1"/>
      <c r="R327" s="1" t="s">
        <v>216</v>
      </c>
      <c r="S327" s="1" t="s">
        <v>218</v>
      </c>
      <c r="T327" s="11">
        <v>46160.392361111109</v>
      </c>
      <c r="U327" s="1" t="s">
        <v>218</v>
      </c>
      <c r="V327" s="11">
        <v>46173.128472222219</v>
      </c>
    </row>
    <row r="328" spans="1:22" x14ac:dyDescent="0.3">
      <c r="A328" s="1">
        <v>819175</v>
      </c>
      <c r="B328" s="1">
        <v>662302</v>
      </c>
      <c r="C328" s="1" t="s">
        <v>1189</v>
      </c>
      <c r="D328" s="1" t="s">
        <v>874</v>
      </c>
      <c r="E328" s="1" t="s">
        <v>875</v>
      </c>
      <c r="F328" s="4">
        <v>21923</v>
      </c>
      <c r="G328">
        <v>66</v>
      </c>
      <c r="H328" s="1" t="s">
        <v>212</v>
      </c>
      <c r="I328" s="1" t="s">
        <v>1501</v>
      </c>
      <c r="J328" s="1" t="s">
        <v>1501</v>
      </c>
      <c r="K328" s="1">
        <v>8537</v>
      </c>
      <c r="L328" s="1" t="s">
        <v>214</v>
      </c>
      <c r="M328" s="1" t="s">
        <v>1196</v>
      </c>
      <c r="N328" s="1" t="s">
        <v>215</v>
      </c>
      <c r="O328" s="1"/>
      <c r="P328" s="1" t="s">
        <v>212</v>
      </c>
      <c r="Q328" s="1"/>
      <c r="R328" s="1" t="s">
        <v>216</v>
      </c>
      <c r="S328" s="1" t="s">
        <v>218</v>
      </c>
      <c r="T328" s="11">
        <v>46164.579861111109</v>
      </c>
      <c r="U328" s="1" t="s">
        <v>218</v>
      </c>
      <c r="V328" s="11">
        <v>46175.253472222219</v>
      </c>
    </row>
    <row r="329" spans="1:22" x14ac:dyDescent="0.3">
      <c r="A329" s="1">
        <v>819254</v>
      </c>
      <c r="B329" s="1">
        <v>662302</v>
      </c>
      <c r="C329" s="1" t="s">
        <v>1188</v>
      </c>
      <c r="D329" s="1" t="s">
        <v>270</v>
      </c>
      <c r="E329" s="1" t="s">
        <v>875</v>
      </c>
      <c r="F329" s="4">
        <v>20821</v>
      </c>
      <c r="G329">
        <v>69</v>
      </c>
      <c r="H329" s="1" t="s">
        <v>212</v>
      </c>
      <c r="I329" s="1" t="s">
        <v>1501</v>
      </c>
      <c r="J329" s="1" t="s">
        <v>1501</v>
      </c>
      <c r="K329" s="1">
        <v>8537</v>
      </c>
      <c r="L329" s="1" t="s">
        <v>214</v>
      </c>
      <c r="M329" s="1" t="s">
        <v>1196</v>
      </c>
      <c r="N329" s="1" t="s">
        <v>215</v>
      </c>
      <c r="O329" s="1"/>
      <c r="P329" s="1" t="s">
        <v>212</v>
      </c>
      <c r="Q329" s="1"/>
      <c r="R329" s="1" t="s">
        <v>216</v>
      </c>
      <c r="S329" s="1" t="s">
        <v>218</v>
      </c>
      <c r="T329" s="11">
        <v>46164.579861111109</v>
      </c>
      <c r="U329" s="1" t="s">
        <v>218</v>
      </c>
      <c r="V329" s="11">
        <v>46175.253472222219</v>
      </c>
    </row>
    <row r="330" spans="1:22" x14ac:dyDescent="0.3">
      <c r="A330" s="1">
        <v>860568</v>
      </c>
      <c r="B330" s="1">
        <v>695491</v>
      </c>
      <c r="C330" s="1" t="s">
        <v>1188</v>
      </c>
      <c r="D330" s="1" t="s">
        <v>876</v>
      </c>
      <c r="E330" s="1" t="s">
        <v>877</v>
      </c>
      <c r="F330" s="4">
        <v>30167</v>
      </c>
      <c r="G330">
        <v>43</v>
      </c>
      <c r="H330" s="1" t="s">
        <v>212</v>
      </c>
      <c r="I330" s="1" t="s">
        <v>1501</v>
      </c>
      <c r="J330" s="1" t="s">
        <v>1501</v>
      </c>
      <c r="K330" s="1">
        <v>8529</v>
      </c>
      <c r="L330" s="1" t="s">
        <v>261</v>
      </c>
      <c r="M330" s="1" t="s">
        <v>878</v>
      </c>
      <c r="N330" s="1" t="s">
        <v>215</v>
      </c>
      <c r="O330" s="1"/>
      <c r="P330" s="1" t="s">
        <v>879</v>
      </c>
      <c r="Q330" s="1" t="s">
        <v>880</v>
      </c>
      <c r="R330" s="1" t="s">
        <v>216</v>
      </c>
      <c r="S330" s="1" t="s">
        <v>218</v>
      </c>
      <c r="T330" s="11">
        <v>46160.170138888891</v>
      </c>
      <c r="U330" s="1" t="s">
        <v>218</v>
      </c>
      <c r="V330" s="11">
        <v>46173.291666666664</v>
      </c>
    </row>
    <row r="331" spans="1:22" x14ac:dyDescent="0.3">
      <c r="A331" s="1">
        <v>860639</v>
      </c>
      <c r="B331" s="1">
        <v>695491</v>
      </c>
      <c r="C331" s="1" t="s">
        <v>1189</v>
      </c>
      <c r="D331" s="1" t="s">
        <v>881</v>
      </c>
      <c r="E331" s="1" t="s">
        <v>877</v>
      </c>
      <c r="F331" s="4">
        <v>30374</v>
      </c>
      <c r="G331">
        <v>43</v>
      </c>
      <c r="H331" s="1" t="s">
        <v>212</v>
      </c>
      <c r="I331" s="1" t="s">
        <v>1501</v>
      </c>
      <c r="J331" s="1" t="s">
        <v>1501</v>
      </c>
      <c r="K331" s="1">
        <v>8529</v>
      </c>
      <c r="L331" s="1" t="s">
        <v>261</v>
      </c>
      <c r="M331" s="1" t="s">
        <v>878</v>
      </c>
      <c r="N331" s="1" t="s">
        <v>215</v>
      </c>
      <c r="O331" s="1"/>
      <c r="P331" s="1" t="s">
        <v>879</v>
      </c>
      <c r="Q331" s="1" t="s">
        <v>880</v>
      </c>
      <c r="R331" s="1" t="s">
        <v>216</v>
      </c>
      <c r="S331" s="1" t="s">
        <v>218</v>
      </c>
      <c r="T331" s="11">
        <v>46160.170138888891</v>
      </c>
      <c r="U331" s="1" t="s">
        <v>218</v>
      </c>
      <c r="V331" s="11">
        <v>46173.291666666664</v>
      </c>
    </row>
    <row r="332" spans="1:22" x14ac:dyDescent="0.3">
      <c r="A332" s="1">
        <v>811309</v>
      </c>
      <c r="B332" s="1">
        <v>656166</v>
      </c>
      <c r="C332" s="1" t="s">
        <v>1188</v>
      </c>
      <c r="D332" s="1" t="s">
        <v>742</v>
      </c>
      <c r="E332" s="1" t="s">
        <v>426</v>
      </c>
      <c r="F332" s="4">
        <v>29971</v>
      </c>
      <c r="G332">
        <v>44</v>
      </c>
      <c r="H332" s="1" t="s">
        <v>212</v>
      </c>
      <c r="I332" s="1" t="s">
        <v>1501</v>
      </c>
      <c r="J332" s="1" t="s">
        <v>1501</v>
      </c>
      <c r="K332" s="1">
        <v>8529</v>
      </c>
      <c r="L332" s="1" t="s">
        <v>261</v>
      </c>
      <c r="M332" s="1" t="s">
        <v>882</v>
      </c>
      <c r="N332" s="1" t="s">
        <v>215</v>
      </c>
      <c r="O332" s="1"/>
      <c r="P332" s="1" t="s">
        <v>883</v>
      </c>
      <c r="Q332" s="1" t="s">
        <v>884</v>
      </c>
      <c r="R332" s="1" t="s">
        <v>216</v>
      </c>
      <c r="S332" s="1" t="s">
        <v>218</v>
      </c>
      <c r="T332" s="11">
        <v>46160.170138888891</v>
      </c>
      <c r="U332" s="1" t="s">
        <v>218</v>
      </c>
      <c r="V332" s="11">
        <v>46173.291666666664</v>
      </c>
    </row>
    <row r="333" spans="1:22" x14ac:dyDescent="0.3">
      <c r="A333" s="1">
        <v>830587</v>
      </c>
      <c r="B333" s="1">
        <v>656166</v>
      </c>
      <c r="C333" s="1" t="s">
        <v>1189</v>
      </c>
      <c r="D333" s="1" t="s">
        <v>885</v>
      </c>
      <c r="E333" s="1" t="s">
        <v>826</v>
      </c>
      <c r="F333" s="4">
        <v>32877</v>
      </c>
      <c r="G333">
        <v>36</v>
      </c>
      <c r="H333" s="1" t="s">
        <v>212</v>
      </c>
      <c r="I333" s="1" t="s">
        <v>1501</v>
      </c>
      <c r="J333" s="1" t="s">
        <v>1501</v>
      </c>
      <c r="K333" s="1">
        <v>8529</v>
      </c>
      <c r="L333" s="1" t="s">
        <v>261</v>
      </c>
      <c r="M333" s="1" t="s">
        <v>882</v>
      </c>
      <c r="N333" s="1" t="s">
        <v>215</v>
      </c>
      <c r="O333" s="1"/>
      <c r="P333" s="1" t="s">
        <v>883</v>
      </c>
      <c r="Q333" s="1" t="s">
        <v>884</v>
      </c>
      <c r="R333" s="1" t="s">
        <v>216</v>
      </c>
      <c r="S333" s="1" t="s">
        <v>218</v>
      </c>
      <c r="T333" s="11">
        <v>46160.170138888891</v>
      </c>
      <c r="U333" s="1" t="s">
        <v>218</v>
      </c>
      <c r="V333" s="11">
        <v>46173.291666666664</v>
      </c>
    </row>
    <row r="334" spans="1:22" x14ac:dyDescent="0.3">
      <c r="A334" s="1">
        <v>868401</v>
      </c>
      <c r="B334" s="1">
        <v>716724</v>
      </c>
      <c r="C334" s="1" t="s">
        <v>1189</v>
      </c>
      <c r="D334" s="1" t="s">
        <v>886</v>
      </c>
      <c r="E334" s="1" t="s">
        <v>541</v>
      </c>
      <c r="F334" s="4">
        <v>24353</v>
      </c>
      <c r="G334">
        <v>59</v>
      </c>
      <c r="H334" s="1" t="s">
        <v>212</v>
      </c>
      <c r="I334" s="1" t="s">
        <v>1501</v>
      </c>
      <c r="J334" s="1" t="s">
        <v>1501</v>
      </c>
      <c r="K334" s="1">
        <v>8530</v>
      </c>
      <c r="L334" s="1" t="s">
        <v>214</v>
      </c>
      <c r="M334" s="1" t="s">
        <v>1202</v>
      </c>
      <c r="N334" s="1" t="s">
        <v>215</v>
      </c>
      <c r="O334" s="1"/>
      <c r="P334" s="1" t="s">
        <v>212</v>
      </c>
      <c r="Q334" s="1"/>
      <c r="R334" s="1" t="s">
        <v>216</v>
      </c>
      <c r="S334" s="1" t="s">
        <v>218</v>
      </c>
      <c r="T334" s="11">
        <v>46160.107638888891</v>
      </c>
      <c r="U334" s="1" t="s">
        <v>218</v>
      </c>
      <c r="V334" s="11">
        <v>46172.409722222219</v>
      </c>
    </row>
    <row r="335" spans="1:22" x14ac:dyDescent="0.3">
      <c r="A335" s="1">
        <v>715940</v>
      </c>
      <c r="B335" s="1">
        <v>580831</v>
      </c>
      <c r="C335" s="1" t="s">
        <v>1189</v>
      </c>
      <c r="D335" s="1" t="s">
        <v>887</v>
      </c>
      <c r="E335" s="1" t="s">
        <v>681</v>
      </c>
      <c r="F335" s="4">
        <v>29871</v>
      </c>
      <c r="G335">
        <v>44</v>
      </c>
      <c r="H335" s="1" t="s">
        <v>212</v>
      </c>
      <c r="I335" s="1" t="s">
        <v>1502</v>
      </c>
      <c r="J335" s="1" t="s">
        <v>1502</v>
      </c>
      <c r="K335" s="1">
        <v>8530</v>
      </c>
      <c r="L335" s="1" t="s">
        <v>214</v>
      </c>
      <c r="M335" s="1" t="s">
        <v>1209</v>
      </c>
      <c r="N335" s="1" t="s">
        <v>215</v>
      </c>
      <c r="O335" s="1"/>
      <c r="P335" s="1" t="s">
        <v>212</v>
      </c>
      <c r="Q335" s="1"/>
      <c r="R335" s="1" t="s">
        <v>216</v>
      </c>
      <c r="S335" s="1" t="s">
        <v>218</v>
      </c>
      <c r="T335" s="11">
        <v>46160.739583333336</v>
      </c>
      <c r="U335" s="1" t="s">
        <v>218</v>
      </c>
      <c r="V335" s="11">
        <v>46172.385416666664</v>
      </c>
    </row>
    <row r="336" spans="1:22" x14ac:dyDescent="0.3">
      <c r="A336" s="1">
        <v>715988</v>
      </c>
      <c r="B336" s="1">
        <v>580831</v>
      </c>
      <c r="C336" s="1" t="s">
        <v>1188</v>
      </c>
      <c r="D336" s="1" t="s">
        <v>441</v>
      </c>
      <c r="E336" s="1" t="s">
        <v>888</v>
      </c>
      <c r="F336" s="4">
        <v>27817</v>
      </c>
      <c r="G336">
        <v>50</v>
      </c>
      <c r="H336" s="1" t="s">
        <v>212</v>
      </c>
      <c r="I336" s="1" t="s">
        <v>1502</v>
      </c>
      <c r="J336" s="1" t="s">
        <v>1502</v>
      </c>
      <c r="K336" s="1">
        <v>8530</v>
      </c>
      <c r="L336" s="1" t="s">
        <v>214</v>
      </c>
      <c r="M336" s="1" t="s">
        <v>1209</v>
      </c>
      <c r="N336" s="1" t="s">
        <v>215</v>
      </c>
      <c r="O336" s="1"/>
      <c r="P336" s="1" t="s">
        <v>212</v>
      </c>
      <c r="Q336" s="1"/>
      <c r="R336" s="1" t="s">
        <v>216</v>
      </c>
      <c r="S336" s="1" t="s">
        <v>218</v>
      </c>
      <c r="T336" s="11">
        <v>46160.739583333336</v>
      </c>
      <c r="U336" s="1" t="s">
        <v>218</v>
      </c>
      <c r="V336" s="11">
        <v>46172.385416666664</v>
      </c>
    </row>
    <row r="337" spans="1:22" x14ac:dyDescent="0.3">
      <c r="A337" s="1">
        <v>787743</v>
      </c>
      <c r="B337" s="1">
        <v>637970</v>
      </c>
      <c r="C337" s="1" t="s">
        <v>1188</v>
      </c>
      <c r="D337" s="1" t="s">
        <v>280</v>
      </c>
      <c r="E337" s="1" t="s">
        <v>889</v>
      </c>
      <c r="F337" s="4">
        <v>32110</v>
      </c>
      <c r="G337">
        <v>38</v>
      </c>
      <c r="H337" s="1" t="s">
        <v>212</v>
      </c>
      <c r="I337" s="1" t="s">
        <v>1501</v>
      </c>
      <c r="J337" s="1" t="s">
        <v>1501</v>
      </c>
      <c r="K337" s="1">
        <v>8528</v>
      </c>
      <c r="L337" s="1" t="s">
        <v>214</v>
      </c>
      <c r="M337" s="1" t="s">
        <v>1193</v>
      </c>
      <c r="N337" s="1" t="s">
        <v>215</v>
      </c>
      <c r="O337" s="1"/>
      <c r="P337" s="1" t="s">
        <v>212</v>
      </c>
      <c r="Q337" s="1"/>
      <c r="R337" s="1" t="s">
        <v>216</v>
      </c>
      <c r="S337" s="1" t="s">
        <v>218</v>
      </c>
      <c r="T337" s="11">
        <v>46160.739583333336</v>
      </c>
      <c r="U337" s="1" t="s">
        <v>218</v>
      </c>
      <c r="V337" s="11">
        <v>46172.350694444445</v>
      </c>
    </row>
    <row r="338" spans="1:22" x14ac:dyDescent="0.3">
      <c r="A338" s="1">
        <v>795892</v>
      </c>
      <c r="B338" s="1">
        <v>637970</v>
      </c>
      <c r="C338" s="1" t="s">
        <v>1189</v>
      </c>
      <c r="D338" s="1" t="s">
        <v>890</v>
      </c>
      <c r="E338" s="1" t="s">
        <v>889</v>
      </c>
      <c r="F338" s="4">
        <v>33545</v>
      </c>
      <c r="G338">
        <v>34</v>
      </c>
      <c r="H338" s="1" t="s">
        <v>212</v>
      </c>
      <c r="I338" s="1" t="s">
        <v>1501</v>
      </c>
      <c r="J338" s="1" t="s">
        <v>1501</v>
      </c>
      <c r="K338" s="1">
        <v>8528</v>
      </c>
      <c r="L338" s="1" t="s">
        <v>214</v>
      </c>
      <c r="M338" s="1" t="s">
        <v>1193</v>
      </c>
      <c r="N338" s="1" t="s">
        <v>215</v>
      </c>
      <c r="O338" s="1"/>
      <c r="P338" s="1" t="s">
        <v>212</v>
      </c>
      <c r="Q338" s="1"/>
      <c r="R338" s="1" t="s">
        <v>216</v>
      </c>
      <c r="S338" s="1" t="s">
        <v>218</v>
      </c>
      <c r="T338" s="11">
        <v>46160.739583333336</v>
      </c>
      <c r="U338" s="1" t="s">
        <v>218</v>
      </c>
      <c r="V338" s="11">
        <v>46172.350694444445</v>
      </c>
    </row>
    <row r="339" spans="1:22" x14ac:dyDescent="0.3">
      <c r="A339" s="1">
        <v>548148</v>
      </c>
      <c r="B339" s="1">
        <v>435193</v>
      </c>
      <c r="C339" s="1" t="s">
        <v>1188</v>
      </c>
      <c r="D339" s="1" t="s">
        <v>270</v>
      </c>
      <c r="E339" s="1" t="s">
        <v>271</v>
      </c>
      <c r="F339" s="4">
        <v>19923</v>
      </c>
      <c r="G339">
        <v>71</v>
      </c>
      <c r="H339" s="1" t="s">
        <v>212</v>
      </c>
      <c r="I339" s="1" t="s">
        <v>1501</v>
      </c>
      <c r="J339" s="1" t="s">
        <v>1501</v>
      </c>
      <c r="K339" s="1">
        <v>8530</v>
      </c>
      <c r="L339" s="1" t="s">
        <v>214</v>
      </c>
      <c r="M339" s="1" t="s">
        <v>1193</v>
      </c>
      <c r="N339" s="1" t="s">
        <v>215</v>
      </c>
      <c r="O339" s="1"/>
      <c r="P339" s="1" t="s">
        <v>212</v>
      </c>
      <c r="Q339" s="1"/>
      <c r="R339" s="1" t="s">
        <v>216</v>
      </c>
      <c r="S339" s="1" t="s">
        <v>218</v>
      </c>
      <c r="T339" s="11">
        <v>46160.739583333336</v>
      </c>
      <c r="U339" s="1" t="s">
        <v>218</v>
      </c>
      <c r="V339" s="11">
        <v>46172.350694444445</v>
      </c>
    </row>
    <row r="340" spans="1:22" x14ac:dyDescent="0.3">
      <c r="A340" s="1">
        <v>548381</v>
      </c>
      <c r="B340" s="1">
        <v>435193</v>
      </c>
      <c r="C340" s="1" t="s">
        <v>1189</v>
      </c>
      <c r="D340" s="1" t="s">
        <v>891</v>
      </c>
      <c r="E340" s="1" t="s">
        <v>271</v>
      </c>
      <c r="F340" s="4">
        <v>20967</v>
      </c>
      <c r="G340">
        <v>68</v>
      </c>
      <c r="H340" s="1" t="s">
        <v>212</v>
      </c>
      <c r="I340" s="1" t="s">
        <v>1501</v>
      </c>
      <c r="J340" s="1" t="s">
        <v>1501</v>
      </c>
      <c r="K340" s="1">
        <v>8530</v>
      </c>
      <c r="L340" s="1" t="s">
        <v>214</v>
      </c>
      <c r="M340" s="1" t="s">
        <v>1193</v>
      </c>
      <c r="N340" s="1" t="s">
        <v>215</v>
      </c>
      <c r="O340" s="1"/>
      <c r="P340" s="1" t="s">
        <v>212</v>
      </c>
      <c r="Q340" s="1"/>
      <c r="R340" s="1" t="s">
        <v>216</v>
      </c>
      <c r="S340" s="1" t="s">
        <v>218</v>
      </c>
      <c r="T340" s="11">
        <v>46160.739583333336</v>
      </c>
      <c r="U340" s="1" t="s">
        <v>218</v>
      </c>
      <c r="V340" s="11">
        <v>46172.350694444445</v>
      </c>
    </row>
    <row r="341" spans="1:22" x14ac:dyDescent="0.3">
      <c r="A341" s="1">
        <v>575830</v>
      </c>
      <c r="B341" s="1">
        <v>461432</v>
      </c>
      <c r="C341" s="1" t="s">
        <v>1188</v>
      </c>
      <c r="D341" s="1" t="s">
        <v>892</v>
      </c>
      <c r="E341" s="1" t="s">
        <v>768</v>
      </c>
      <c r="F341" s="4">
        <v>27105</v>
      </c>
      <c r="G341">
        <v>51</v>
      </c>
      <c r="H341" s="1" t="s">
        <v>212</v>
      </c>
      <c r="I341" s="1" t="s">
        <v>1501</v>
      </c>
      <c r="J341" s="1" t="s">
        <v>1501</v>
      </c>
      <c r="K341" s="1">
        <v>8540</v>
      </c>
      <c r="L341" s="1" t="s">
        <v>261</v>
      </c>
      <c r="M341" s="1" t="s">
        <v>893</v>
      </c>
      <c r="N341" s="1" t="s">
        <v>215</v>
      </c>
      <c r="O341" s="1"/>
      <c r="P341" s="1" t="s">
        <v>894</v>
      </c>
      <c r="Q341" s="1" t="s">
        <v>895</v>
      </c>
      <c r="R341" s="1" t="s">
        <v>216</v>
      </c>
      <c r="S341" s="1" t="s">
        <v>218</v>
      </c>
      <c r="T341" s="11">
        <v>46163.15625</v>
      </c>
      <c r="U341" s="1" t="s">
        <v>218</v>
      </c>
      <c r="V341" s="11">
        <v>46173.291666666664</v>
      </c>
    </row>
    <row r="342" spans="1:22" x14ac:dyDescent="0.3">
      <c r="A342" s="1">
        <v>579007</v>
      </c>
      <c r="B342" s="1">
        <v>461432</v>
      </c>
      <c r="C342" s="1" t="s">
        <v>1189</v>
      </c>
      <c r="D342" s="1" t="s">
        <v>896</v>
      </c>
      <c r="E342" s="1" t="s">
        <v>271</v>
      </c>
      <c r="F342" s="4">
        <v>29472</v>
      </c>
      <c r="G342">
        <v>45</v>
      </c>
      <c r="H342" s="1" t="s">
        <v>212</v>
      </c>
      <c r="I342" s="1" t="s">
        <v>1501</v>
      </c>
      <c r="J342" s="1" t="s">
        <v>1501</v>
      </c>
      <c r="K342" s="1">
        <v>8540</v>
      </c>
      <c r="L342" s="1" t="s">
        <v>261</v>
      </c>
      <c r="M342" s="1" t="s">
        <v>893</v>
      </c>
      <c r="N342" s="1" t="s">
        <v>215</v>
      </c>
      <c r="O342" s="1"/>
      <c r="P342" s="1" t="s">
        <v>894</v>
      </c>
      <c r="Q342" s="1" t="s">
        <v>895</v>
      </c>
      <c r="R342" s="1" t="s">
        <v>216</v>
      </c>
      <c r="S342" s="1" t="s">
        <v>218</v>
      </c>
      <c r="T342" s="11">
        <v>46163.15625</v>
      </c>
      <c r="U342" s="1" t="s">
        <v>218</v>
      </c>
      <c r="V342" s="11">
        <v>46173.291666666664</v>
      </c>
    </row>
    <row r="343" spans="1:22" x14ac:dyDescent="0.3">
      <c r="A343" s="1">
        <v>130145</v>
      </c>
      <c r="B343" s="1">
        <v>99846</v>
      </c>
      <c r="C343" s="1" t="s">
        <v>1188</v>
      </c>
      <c r="D343" s="1" t="s">
        <v>897</v>
      </c>
      <c r="E343" s="1" t="s">
        <v>898</v>
      </c>
      <c r="F343" s="4">
        <v>35785</v>
      </c>
      <c r="G343">
        <v>28</v>
      </c>
      <c r="H343" s="1" t="s">
        <v>212</v>
      </c>
      <c r="I343" s="1" t="s">
        <v>1501</v>
      </c>
      <c r="J343" s="1" t="s">
        <v>1501</v>
      </c>
      <c r="K343" s="1">
        <v>8540</v>
      </c>
      <c r="L343" s="1" t="s">
        <v>261</v>
      </c>
      <c r="M343" s="1" t="s">
        <v>899</v>
      </c>
      <c r="N343" s="1" t="s">
        <v>215</v>
      </c>
      <c r="O343" s="1"/>
      <c r="P343" s="1" t="s">
        <v>900</v>
      </c>
      <c r="Q343" s="1" t="s">
        <v>901</v>
      </c>
      <c r="R343" s="1" t="s">
        <v>216</v>
      </c>
      <c r="S343" s="1" t="s">
        <v>218</v>
      </c>
      <c r="T343" s="11">
        <v>46163.15625</v>
      </c>
      <c r="U343" s="1" t="s">
        <v>218</v>
      </c>
      <c r="V343" s="11">
        <v>46173.291666666664</v>
      </c>
    </row>
    <row r="344" spans="1:22" x14ac:dyDescent="0.3">
      <c r="A344" s="1">
        <v>803436</v>
      </c>
      <c r="B344" s="1">
        <v>99846</v>
      </c>
      <c r="C344" s="1" t="s">
        <v>1189</v>
      </c>
      <c r="D344" s="1" t="s">
        <v>902</v>
      </c>
      <c r="E344" s="1" t="s">
        <v>903</v>
      </c>
      <c r="F344" s="4">
        <v>21310</v>
      </c>
      <c r="G344">
        <v>67</v>
      </c>
      <c r="H344" s="1" t="s">
        <v>212</v>
      </c>
      <c r="I344" s="1" t="s">
        <v>1501</v>
      </c>
      <c r="J344" s="1" t="s">
        <v>1501</v>
      </c>
      <c r="K344" s="1">
        <v>8540</v>
      </c>
      <c r="L344" s="1" t="s">
        <v>261</v>
      </c>
      <c r="M344" s="1" t="s">
        <v>899</v>
      </c>
      <c r="N344" s="1" t="s">
        <v>215</v>
      </c>
      <c r="O344" s="1"/>
      <c r="P344" s="1" t="s">
        <v>900</v>
      </c>
      <c r="Q344" s="1" t="s">
        <v>901</v>
      </c>
      <c r="R344" s="1" t="s">
        <v>216</v>
      </c>
      <c r="S344" s="1" t="s">
        <v>218</v>
      </c>
      <c r="T344" s="11">
        <v>46163.15625</v>
      </c>
      <c r="U344" s="1" t="s">
        <v>218</v>
      </c>
      <c r="V344" s="11">
        <v>46173.291666666664</v>
      </c>
    </row>
    <row r="345" spans="1:22" x14ac:dyDescent="0.3">
      <c r="A345" s="1">
        <v>807998</v>
      </c>
      <c r="B345" s="1">
        <v>99846</v>
      </c>
      <c r="C345" s="1" t="s">
        <v>1189</v>
      </c>
      <c r="D345" s="1" t="s">
        <v>904</v>
      </c>
      <c r="E345" s="1" t="s">
        <v>905</v>
      </c>
      <c r="F345" s="4">
        <v>36139</v>
      </c>
      <c r="G345">
        <v>27</v>
      </c>
      <c r="H345" s="1" t="s">
        <v>212</v>
      </c>
      <c r="I345" s="1" t="s">
        <v>1501</v>
      </c>
      <c r="J345" s="1" t="s">
        <v>1501</v>
      </c>
      <c r="K345" s="1">
        <v>8540</v>
      </c>
      <c r="L345" s="1" t="s">
        <v>261</v>
      </c>
      <c r="M345" s="1" t="s">
        <v>899</v>
      </c>
      <c r="N345" s="1" t="s">
        <v>215</v>
      </c>
      <c r="O345" s="1"/>
      <c r="P345" s="1" t="s">
        <v>900</v>
      </c>
      <c r="Q345" s="1" t="s">
        <v>901</v>
      </c>
      <c r="R345" s="1" t="s">
        <v>216</v>
      </c>
      <c r="S345" s="1" t="s">
        <v>218</v>
      </c>
      <c r="T345" s="11">
        <v>46163.15625</v>
      </c>
      <c r="U345" s="1" t="s">
        <v>218</v>
      </c>
      <c r="V345" s="11">
        <v>46173.291666666664</v>
      </c>
    </row>
    <row r="346" spans="1:22" x14ac:dyDescent="0.3">
      <c r="A346" s="1">
        <v>336213</v>
      </c>
      <c r="B346" s="1">
        <v>265146</v>
      </c>
      <c r="C346" s="1" t="s">
        <v>1188</v>
      </c>
      <c r="D346" s="1" t="s">
        <v>774</v>
      </c>
      <c r="E346" s="1" t="s">
        <v>518</v>
      </c>
      <c r="F346" s="4">
        <v>25423</v>
      </c>
      <c r="G346">
        <v>56</v>
      </c>
      <c r="H346" s="1" t="s">
        <v>212</v>
      </c>
      <c r="I346" s="1" t="s">
        <v>1501</v>
      </c>
      <c r="J346" s="1" t="s">
        <v>1501</v>
      </c>
      <c r="K346" s="1">
        <v>8670</v>
      </c>
      <c r="L346" s="1" t="s">
        <v>261</v>
      </c>
      <c r="M346" s="1" t="s">
        <v>906</v>
      </c>
      <c r="N346" s="1" t="s">
        <v>215</v>
      </c>
      <c r="O346" s="1"/>
      <c r="P346" s="1" t="s">
        <v>907</v>
      </c>
      <c r="Q346" s="1" t="s">
        <v>908</v>
      </c>
      <c r="R346" s="1" t="s">
        <v>216</v>
      </c>
      <c r="S346" s="1" t="s">
        <v>218</v>
      </c>
      <c r="T346" s="11">
        <v>46165.78125</v>
      </c>
      <c r="U346" s="1" t="s">
        <v>218</v>
      </c>
      <c r="V346" s="11">
        <v>46175.253472222219</v>
      </c>
    </row>
    <row r="347" spans="1:22" x14ac:dyDescent="0.3">
      <c r="A347" s="1">
        <v>370613</v>
      </c>
      <c r="B347" s="1">
        <v>265146</v>
      </c>
      <c r="C347" s="1" t="s">
        <v>1189</v>
      </c>
      <c r="D347" s="1" t="s">
        <v>909</v>
      </c>
      <c r="E347" s="1" t="s">
        <v>910</v>
      </c>
      <c r="F347" s="4">
        <v>26712</v>
      </c>
      <c r="G347">
        <v>53</v>
      </c>
      <c r="H347" s="1" t="s">
        <v>212</v>
      </c>
      <c r="I347" s="1" t="s">
        <v>1501</v>
      </c>
      <c r="J347" s="1" t="s">
        <v>1501</v>
      </c>
      <c r="K347" s="1">
        <v>8670</v>
      </c>
      <c r="L347" s="1" t="s">
        <v>261</v>
      </c>
      <c r="M347" s="1" t="s">
        <v>906</v>
      </c>
      <c r="N347" s="1" t="s">
        <v>215</v>
      </c>
      <c r="O347" s="1"/>
      <c r="P347" s="1" t="s">
        <v>907</v>
      </c>
      <c r="Q347" s="1" t="s">
        <v>908</v>
      </c>
      <c r="R347" s="1" t="s">
        <v>216</v>
      </c>
      <c r="S347" s="1" t="s">
        <v>218</v>
      </c>
      <c r="T347" s="11">
        <v>46165.78125</v>
      </c>
      <c r="U347" s="1" t="s">
        <v>218</v>
      </c>
      <c r="V347" s="11">
        <v>46175.253472222219</v>
      </c>
    </row>
    <row r="348" spans="1:22" x14ac:dyDescent="0.3">
      <c r="A348" s="1">
        <v>491050</v>
      </c>
      <c r="B348" s="1">
        <v>386362</v>
      </c>
      <c r="C348" s="1" t="s">
        <v>1188</v>
      </c>
      <c r="D348" s="1" t="s">
        <v>911</v>
      </c>
      <c r="E348" s="1" t="s">
        <v>912</v>
      </c>
      <c r="F348" s="4">
        <v>27608</v>
      </c>
      <c r="G348">
        <v>50</v>
      </c>
      <c r="H348" s="1" t="s">
        <v>212</v>
      </c>
      <c r="I348" s="1" t="s">
        <v>1501</v>
      </c>
      <c r="J348" s="1" t="s">
        <v>1501</v>
      </c>
      <c r="K348" s="1">
        <v>8530</v>
      </c>
      <c r="L348" s="1" t="s">
        <v>214</v>
      </c>
      <c r="M348" s="1" t="s">
        <v>1193</v>
      </c>
      <c r="N348" s="1" t="s">
        <v>215</v>
      </c>
      <c r="O348" s="1"/>
      <c r="P348" s="1" t="s">
        <v>212</v>
      </c>
      <c r="Q348" s="1"/>
      <c r="R348" s="1" t="s">
        <v>216</v>
      </c>
      <c r="S348" s="1" t="s">
        <v>218</v>
      </c>
      <c r="T348" s="11">
        <v>46160.739583333336</v>
      </c>
      <c r="U348" s="1" t="s">
        <v>218</v>
      </c>
      <c r="V348" s="11">
        <v>46172.350694444445</v>
      </c>
    </row>
    <row r="349" spans="1:22" x14ac:dyDescent="0.3">
      <c r="A349" s="1">
        <v>503805</v>
      </c>
      <c r="B349" s="1">
        <v>386362</v>
      </c>
      <c r="C349" s="1" t="s">
        <v>1189</v>
      </c>
      <c r="D349" s="1" t="s">
        <v>323</v>
      </c>
      <c r="E349" s="1" t="s">
        <v>912</v>
      </c>
      <c r="F349" s="4">
        <v>28220</v>
      </c>
      <c r="G349">
        <v>48</v>
      </c>
      <c r="H349" s="1" t="s">
        <v>212</v>
      </c>
      <c r="I349" s="1" t="s">
        <v>1501</v>
      </c>
      <c r="J349" s="1" t="s">
        <v>1501</v>
      </c>
      <c r="K349" s="1">
        <v>8530</v>
      </c>
      <c r="L349" s="1" t="s">
        <v>214</v>
      </c>
      <c r="M349" s="1" t="s">
        <v>1193</v>
      </c>
      <c r="N349" s="1" t="s">
        <v>215</v>
      </c>
      <c r="O349" s="1"/>
      <c r="P349" s="1" t="s">
        <v>212</v>
      </c>
      <c r="Q349" s="1"/>
      <c r="R349" s="1" t="s">
        <v>216</v>
      </c>
      <c r="S349" s="1" t="s">
        <v>218</v>
      </c>
      <c r="T349" s="11">
        <v>46160.739583333336</v>
      </c>
      <c r="U349" s="1" t="s">
        <v>218</v>
      </c>
      <c r="V349" s="11">
        <v>46172.350694444445</v>
      </c>
    </row>
    <row r="350" spans="1:22" x14ac:dyDescent="0.3">
      <c r="A350" s="1">
        <v>554093</v>
      </c>
      <c r="B350" s="1">
        <v>497236</v>
      </c>
      <c r="C350" s="1" t="s">
        <v>1189</v>
      </c>
      <c r="D350" s="1" t="s">
        <v>609</v>
      </c>
      <c r="E350" s="1" t="s">
        <v>856</v>
      </c>
      <c r="F350" s="4">
        <v>25728</v>
      </c>
      <c r="G350">
        <v>55</v>
      </c>
      <c r="H350" s="1" t="s">
        <v>212</v>
      </c>
      <c r="I350" s="1" t="s">
        <v>1501</v>
      </c>
      <c r="J350" s="1" t="s">
        <v>1501</v>
      </c>
      <c r="K350" s="1">
        <v>8528</v>
      </c>
      <c r="L350" s="1" t="s">
        <v>214</v>
      </c>
      <c r="M350" s="1" t="s">
        <v>1203</v>
      </c>
      <c r="N350" s="1" t="s">
        <v>215</v>
      </c>
      <c r="O350" s="1"/>
      <c r="P350" s="1" t="s">
        <v>212</v>
      </c>
      <c r="Q350" s="1"/>
      <c r="R350" s="1" t="s">
        <v>216</v>
      </c>
      <c r="S350" s="1" t="s">
        <v>218</v>
      </c>
      <c r="T350" s="11">
        <v>46160.107638888891</v>
      </c>
      <c r="U350" s="1" t="s">
        <v>218</v>
      </c>
      <c r="V350" s="11">
        <v>46172.409722222219</v>
      </c>
    </row>
    <row r="351" spans="1:22" x14ac:dyDescent="0.3">
      <c r="A351" s="1">
        <v>616092</v>
      </c>
      <c r="B351" s="1">
        <v>497236</v>
      </c>
      <c r="C351" s="1" t="s">
        <v>1188</v>
      </c>
      <c r="D351" s="1" t="s">
        <v>913</v>
      </c>
      <c r="E351" s="1" t="s">
        <v>856</v>
      </c>
      <c r="F351" s="4">
        <v>25594</v>
      </c>
      <c r="G351">
        <v>56</v>
      </c>
      <c r="H351" s="1" t="s">
        <v>212</v>
      </c>
      <c r="I351" s="1" t="s">
        <v>1501</v>
      </c>
      <c r="J351" s="1" t="s">
        <v>1501</v>
      </c>
      <c r="K351" s="1">
        <v>8528</v>
      </c>
      <c r="L351" s="1" t="s">
        <v>214</v>
      </c>
      <c r="M351" s="1" t="s">
        <v>1203</v>
      </c>
      <c r="N351" s="1" t="s">
        <v>215</v>
      </c>
      <c r="O351" s="1"/>
      <c r="P351" s="1" t="s">
        <v>212</v>
      </c>
      <c r="Q351" s="1"/>
      <c r="R351" s="1" t="s">
        <v>216</v>
      </c>
      <c r="S351" s="1" t="s">
        <v>218</v>
      </c>
      <c r="T351" s="11">
        <v>46160.107638888891</v>
      </c>
      <c r="U351" s="1" t="s">
        <v>218</v>
      </c>
      <c r="V351" s="11">
        <v>46172.409722222219</v>
      </c>
    </row>
    <row r="352" spans="1:22" x14ac:dyDescent="0.3">
      <c r="A352" s="1">
        <v>727955</v>
      </c>
      <c r="B352" s="1">
        <v>589733</v>
      </c>
      <c r="C352" s="1" t="s">
        <v>1188</v>
      </c>
      <c r="D352" s="1" t="s">
        <v>271</v>
      </c>
      <c r="E352" s="1" t="s">
        <v>914</v>
      </c>
      <c r="F352" s="4">
        <v>29042</v>
      </c>
      <c r="G352">
        <v>46</v>
      </c>
      <c r="H352" s="1" t="s">
        <v>212</v>
      </c>
      <c r="I352" s="1" t="s">
        <v>1501</v>
      </c>
      <c r="J352" s="1" t="s">
        <v>1501</v>
      </c>
      <c r="K352" s="1">
        <v>8525</v>
      </c>
      <c r="L352" s="1" t="s">
        <v>214</v>
      </c>
      <c r="M352" s="1" t="s">
        <v>1202</v>
      </c>
      <c r="N352" s="1" t="s">
        <v>215</v>
      </c>
      <c r="O352" s="1"/>
      <c r="P352" s="1" t="s">
        <v>212</v>
      </c>
      <c r="Q352" s="1"/>
      <c r="R352" s="1" t="s">
        <v>216</v>
      </c>
      <c r="S352" s="1" t="s">
        <v>218</v>
      </c>
      <c r="T352" s="11">
        <v>46160.107638888891</v>
      </c>
      <c r="U352" s="1" t="s">
        <v>218</v>
      </c>
      <c r="V352" s="11">
        <v>46172.409722222219</v>
      </c>
    </row>
    <row r="353" spans="1:22" x14ac:dyDescent="0.3">
      <c r="A353" s="1">
        <v>727973</v>
      </c>
      <c r="B353" s="1">
        <v>589733</v>
      </c>
      <c r="C353" s="1" t="s">
        <v>1189</v>
      </c>
      <c r="D353" s="1" t="s">
        <v>915</v>
      </c>
      <c r="E353" s="1" t="s">
        <v>916</v>
      </c>
      <c r="F353" s="4">
        <v>29949</v>
      </c>
      <c r="G353">
        <v>44</v>
      </c>
      <c r="H353" s="1" t="s">
        <v>212</v>
      </c>
      <c r="I353" s="1" t="s">
        <v>1501</v>
      </c>
      <c r="J353" s="1" t="s">
        <v>1501</v>
      </c>
      <c r="K353" s="1">
        <v>8525</v>
      </c>
      <c r="L353" s="1" t="s">
        <v>214</v>
      </c>
      <c r="M353" s="1" t="s">
        <v>1202</v>
      </c>
      <c r="N353" s="1" t="s">
        <v>215</v>
      </c>
      <c r="O353" s="1"/>
      <c r="P353" s="1" t="s">
        <v>212</v>
      </c>
      <c r="Q353" s="1"/>
      <c r="R353" s="1" t="s">
        <v>216</v>
      </c>
      <c r="S353" s="1" t="s">
        <v>218</v>
      </c>
      <c r="T353" s="11">
        <v>46160.107638888891</v>
      </c>
      <c r="U353" s="1" t="s">
        <v>218</v>
      </c>
      <c r="V353" s="11">
        <v>46172.409722222219</v>
      </c>
    </row>
    <row r="354" spans="1:22" x14ac:dyDescent="0.3">
      <c r="A354" s="1">
        <v>712908</v>
      </c>
      <c r="B354" s="1">
        <v>578543</v>
      </c>
      <c r="C354" s="1" t="s">
        <v>1188</v>
      </c>
      <c r="D354" s="1" t="s">
        <v>917</v>
      </c>
      <c r="E354" s="1" t="s">
        <v>229</v>
      </c>
      <c r="F354" s="4">
        <v>34074</v>
      </c>
      <c r="G354">
        <v>32</v>
      </c>
      <c r="H354" s="1" t="s">
        <v>212</v>
      </c>
      <c r="I354" s="1" t="s">
        <v>1501</v>
      </c>
      <c r="J354" s="1" t="s">
        <v>1501</v>
      </c>
      <c r="K354" s="1">
        <v>8530</v>
      </c>
      <c r="L354" s="1" t="s">
        <v>214</v>
      </c>
      <c r="M354" s="1" t="s">
        <v>1193</v>
      </c>
      <c r="N354" s="1" t="s">
        <v>215</v>
      </c>
      <c r="O354" s="1"/>
      <c r="P354" s="1" t="s">
        <v>212</v>
      </c>
      <c r="Q354" s="1"/>
      <c r="R354" s="1" t="s">
        <v>216</v>
      </c>
      <c r="S354" s="1" t="s">
        <v>218</v>
      </c>
      <c r="T354" s="11">
        <v>46160.739583333336</v>
      </c>
      <c r="U354" s="1" t="s">
        <v>218</v>
      </c>
      <c r="V354" s="11">
        <v>46172.350694444445</v>
      </c>
    </row>
    <row r="355" spans="1:22" x14ac:dyDescent="0.3">
      <c r="A355" s="1">
        <v>712926</v>
      </c>
      <c r="B355" s="1">
        <v>578543</v>
      </c>
      <c r="C355" s="1" t="s">
        <v>1188</v>
      </c>
      <c r="D355" s="1" t="s">
        <v>918</v>
      </c>
      <c r="E355" s="1" t="s">
        <v>229</v>
      </c>
      <c r="F355" s="4">
        <v>20082</v>
      </c>
      <c r="G355">
        <v>71</v>
      </c>
      <c r="H355" s="1" t="s">
        <v>212</v>
      </c>
      <c r="I355" s="1" t="s">
        <v>1501</v>
      </c>
      <c r="J355" s="1" t="s">
        <v>1501</v>
      </c>
      <c r="K355" s="1">
        <v>8530</v>
      </c>
      <c r="L355" s="1" t="s">
        <v>214</v>
      </c>
      <c r="M355" s="1" t="s">
        <v>1193</v>
      </c>
      <c r="N355" s="1" t="s">
        <v>215</v>
      </c>
      <c r="O355" s="1"/>
      <c r="P355" s="1" t="s">
        <v>212</v>
      </c>
      <c r="Q355" s="1"/>
      <c r="R355" s="1" t="s">
        <v>216</v>
      </c>
      <c r="S355" s="1" t="s">
        <v>218</v>
      </c>
      <c r="T355" s="11">
        <v>46160.739583333336</v>
      </c>
      <c r="U355" s="1" t="s">
        <v>218</v>
      </c>
      <c r="V355" s="11">
        <v>46172.350694444445</v>
      </c>
    </row>
    <row r="356" spans="1:22" x14ac:dyDescent="0.3">
      <c r="A356" s="1">
        <v>720701</v>
      </c>
      <c r="B356" s="1">
        <v>578543</v>
      </c>
      <c r="C356" s="1" t="s">
        <v>1189</v>
      </c>
      <c r="D356" s="1" t="s">
        <v>704</v>
      </c>
      <c r="E356" s="1" t="s">
        <v>271</v>
      </c>
      <c r="F356" s="4">
        <v>20809</v>
      </c>
      <c r="G356">
        <v>69</v>
      </c>
      <c r="H356" s="1" t="s">
        <v>212</v>
      </c>
      <c r="I356" s="1" t="s">
        <v>1501</v>
      </c>
      <c r="J356" s="1" t="s">
        <v>1501</v>
      </c>
      <c r="K356" s="1">
        <v>8530</v>
      </c>
      <c r="L356" s="1" t="s">
        <v>214</v>
      </c>
      <c r="M356" s="1" t="s">
        <v>1193</v>
      </c>
      <c r="N356" s="1" t="s">
        <v>215</v>
      </c>
      <c r="O356" s="1"/>
      <c r="P356" s="1" t="s">
        <v>212</v>
      </c>
      <c r="Q356" s="1"/>
      <c r="R356" s="1" t="s">
        <v>216</v>
      </c>
      <c r="S356" s="1" t="s">
        <v>218</v>
      </c>
      <c r="T356" s="11">
        <v>46160.739583333336</v>
      </c>
      <c r="U356" s="1" t="s">
        <v>218</v>
      </c>
      <c r="V356" s="11">
        <v>46172.350694444445</v>
      </c>
    </row>
    <row r="357" spans="1:22" x14ac:dyDescent="0.3">
      <c r="A357" s="1">
        <v>550195</v>
      </c>
      <c r="B357" s="1">
        <v>436980</v>
      </c>
      <c r="C357" s="1" t="s">
        <v>1188</v>
      </c>
      <c r="D357" s="1" t="s">
        <v>919</v>
      </c>
      <c r="E357" s="1" t="s">
        <v>681</v>
      </c>
      <c r="F357" s="4">
        <v>23507</v>
      </c>
      <c r="G357">
        <v>61</v>
      </c>
      <c r="H357" s="1" t="s">
        <v>212</v>
      </c>
      <c r="I357" s="1" t="s">
        <v>1501</v>
      </c>
      <c r="J357" s="1" t="s">
        <v>1501</v>
      </c>
      <c r="K357" s="1">
        <v>8711</v>
      </c>
      <c r="L357" s="1" t="s">
        <v>214</v>
      </c>
      <c r="M357" s="1" t="s">
        <v>1191</v>
      </c>
      <c r="N357" s="1" t="s">
        <v>215</v>
      </c>
      <c r="O357" s="1"/>
      <c r="P357" s="1" t="s">
        <v>212</v>
      </c>
      <c r="Q357" s="1"/>
      <c r="R357" s="1" t="s">
        <v>216</v>
      </c>
      <c r="S357" s="1" t="s">
        <v>218</v>
      </c>
      <c r="T357" s="11">
        <v>46163.236111111109</v>
      </c>
      <c r="U357" s="1" t="s">
        <v>218</v>
      </c>
      <c r="V357" s="11">
        <v>46175.930555555555</v>
      </c>
    </row>
    <row r="358" spans="1:22" x14ac:dyDescent="0.3">
      <c r="A358" s="1">
        <v>552590</v>
      </c>
      <c r="B358" s="1">
        <v>436980</v>
      </c>
      <c r="C358" s="1" t="s">
        <v>1189</v>
      </c>
      <c r="D358" s="1" t="s">
        <v>593</v>
      </c>
      <c r="E358" s="1" t="s">
        <v>920</v>
      </c>
      <c r="F358" s="4">
        <v>27753</v>
      </c>
      <c r="G358">
        <v>50</v>
      </c>
      <c r="H358" s="1" t="s">
        <v>212</v>
      </c>
      <c r="I358" s="1" t="s">
        <v>1501</v>
      </c>
      <c r="J358" s="1" t="s">
        <v>1501</v>
      </c>
      <c r="K358" s="1">
        <v>8711</v>
      </c>
      <c r="L358" s="1" t="s">
        <v>214</v>
      </c>
      <c r="M358" s="1" t="s">
        <v>1191</v>
      </c>
      <c r="N358" s="1" t="s">
        <v>215</v>
      </c>
      <c r="O358" s="1"/>
      <c r="P358" s="1" t="s">
        <v>212</v>
      </c>
      <c r="Q358" s="1"/>
      <c r="R358" s="1" t="s">
        <v>216</v>
      </c>
      <c r="S358" s="1" t="s">
        <v>218</v>
      </c>
      <c r="T358" s="11">
        <v>46163.236111111109</v>
      </c>
      <c r="U358" s="1" t="s">
        <v>218</v>
      </c>
      <c r="V358" s="11">
        <v>46175.930555555555</v>
      </c>
    </row>
    <row r="359" spans="1:22" x14ac:dyDescent="0.3">
      <c r="A359" s="1">
        <v>845787</v>
      </c>
      <c r="B359" s="1">
        <v>683752</v>
      </c>
      <c r="C359" s="1" t="s">
        <v>1189</v>
      </c>
      <c r="D359" s="1" t="s">
        <v>921</v>
      </c>
      <c r="E359" s="1" t="s">
        <v>922</v>
      </c>
      <c r="F359" s="4">
        <v>21593</v>
      </c>
      <c r="G359">
        <v>67</v>
      </c>
      <c r="H359" s="1" t="s">
        <v>212</v>
      </c>
      <c r="I359" s="1" t="s">
        <v>1501</v>
      </c>
      <c r="J359" s="1" t="s">
        <v>1516</v>
      </c>
      <c r="K359" s="1">
        <v>8531</v>
      </c>
      <c r="L359" s="1" t="s">
        <v>214</v>
      </c>
      <c r="M359" s="1" t="s">
        <v>1200</v>
      </c>
      <c r="N359" s="1" t="s">
        <v>215</v>
      </c>
      <c r="O359" s="1"/>
      <c r="P359" s="1" t="s">
        <v>212</v>
      </c>
      <c r="Q359" s="1"/>
      <c r="R359" s="1" t="s">
        <v>216</v>
      </c>
      <c r="S359" s="1" t="s">
        <v>217</v>
      </c>
      <c r="T359" s="11">
        <v>46164.055555555555</v>
      </c>
      <c r="U359" s="1" t="s">
        <v>218</v>
      </c>
      <c r="V359" s="11">
        <v>46177.253472222219</v>
      </c>
    </row>
    <row r="360" spans="1:22" x14ac:dyDescent="0.3">
      <c r="A360" s="1">
        <v>33310</v>
      </c>
      <c r="B360" s="1">
        <v>29320</v>
      </c>
      <c r="C360" s="1" t="s">
        <v>1189</v>
      </c>
      <c r="D360" s="1" t="s">
        <v>923</v>
      </c>
      <c r="E360" s="1" t="s">
        <v>924</v>
      </c>
      <c r="F360" s="4">
        <v>23977</v>
      </c>
      <c r="G360">
        <v>60</v>
      </c>
      <c r="H360" s="1" t="s">
        <v>212</v>
      </c>
      <c r="I360" s="1" t="s">
        <v>1501</v>
      </c>
      <c r="J360" s="1" t="s">
        <v>1501</v>
      </c>
      <c r="K360" s="1">
        <v>8540</v>
      </c>
      <c r="L360" s="1" t="s">
        <v>261</v>
      </c>
      <c r="M360" s="1" t="s">
        <v>925</v>
      </c>
      <c r="N360" s="1" t="s">
        <v>215</v>
      </c>
      <c r="O360" s="1"/>
      <c r="P360" s="1" t="s">
        <v>926</v>
      </c>
      <c r="Q360" s="1" t="s">
        <v>927</v>
      </c>
      <c r="R360" s="1" t="s">
        <v>216</v>
      </c>
      <c r="S360" s="1" t="s">
        <v>217</v>
      </c>
      <c r="T360" s="11">
        <v>46163.819444444445</v>
      </c>
      <c r="U360" s="1" t="s">
        <v>218</v>
      </c>
      <c r="V360" s="11">
        <v>46173.291666666664</v>
      </c>
    </row>
    <row r="361" spans="1:22" x14ac:dyDescent="0.3">
      <c r="A361" s="1">
        <v>35146</v>
      </c>
      <c r="B361" s="1">
        <v>29320</v>
      </c>
      <c r="C361" s="1" t="s">
        <v>1188</v>
      </c>
      <c r="D361" s="1" t="s">
        <v>244</v>
      </c>
      <c r="E361" s="1" t="s">
        <v>229</v>
      </c>
      <c r="F361" s="4">
        <v>20278</v>
      </c>
      <c r="G361">
        <v>70</v>
      </c>
      <c r="H361" s="1" t="s">
        <v>212</v>
      </c>
      <c r="I361" s="1" t="s">
        <v>1501</v>
      </c>
      <c r="J361" s="1" t="s">
        <v>1501</v>
      </c>
      <c r="K361" s="1">
        <v>8540</v>
      </c>
      <c r="L361" s="1" t="s">
        <v>261</v>
      </c>
      <c r="M361" s="1" t="s">
        <v>925</v>
      </c>
      <c r="N361" s="1" t="s">
        <v>215</v>
      </c>
      <c r="O361" s="1"/>
      <c r="P361" s="1" t="s">
        <v>926</v>
      </c>
      <c r="Q361" s="1" t="s">
        <v>927</v>
      </c>
      <c r="R361" s="1" t="s">
        <v>216</v>
      </c>
      <c r="S361" s="1" t="s">
        <v>217</v>
      </c>
      <c r="T361" s="11">
        <v>46163.819444444445</v>
      </c>
      <c r="U361" s="1" t="s">
        <v>218</v>
      </c>
      <c r="V361" s="11">
        <v>46173.291666666664</v>
      </c>
    </row>
    <row r="362" spans="1:22" x14ac:dyDescent="0.3">
      <c r="A362" s="1">
        <v>117078</v>
      </c>
      <c r="B362" s="1">
        <v>91281</v>
      </c>
      <c r="C362" s="1" t="s">
        <v>1188</v>
      </c>
      <c r="D362" s="1" t="s">
        <v>928</v>
      </c>
      <c r="E362" s="1" t="s">
        <v>929</v>
      </c>
      <c r="F362" s="4">
        <v>29912</v>
      </c>
      <c r="G362">
        <v>44</v>
      </c>
      <c r="H362" s="1" t="s">
        <v>212</v>
      </c>
      <c r="I362" s="1" t="s">
        <v>1502</v>
      </c>
      <c r="J362" s="1" t="s">
        <v>1502</v>
      </c>
      <c r="K362" s="1">
        <v>8728</v>
      </c>
      <c r="L362" s="1" t="s">
        <v>261</v>
      </c>
      <c r="M362" s="1" t="s">
        <v>930</v>
      </c>
      <c r="N362" s="1" t="s">
        <v>215</v>
      </c>
      <c r="O362" s="1" t="b">
        <v>1</v>
      </c>
      <c r="P362" s="1" t="s">
        <v>931</v>
      </c>
      <c r="Q362" s="1" t="s">
        <v>932</v>
      </c>
      <c r="R362" s="1" t="s">
        <v>216</v>
      </c>
      <c r="S362" s="1" t="s">
        <v>218</v>
      </c>
      <c r="T362" s="11">
        <v>46163.954861111109</v>
      </c>
      <c r="U362" s="1" t="s">
        <v>217</v>
      </c>
      <c r="V362" s="11">
        <v>46175.416666666664</v>
      </c>
    </row>
    <row r="363" spans="1:22" x14ac:dyDescent="0.3">
      <c r="A363" s="1">
        <v>845027</v>
      </c>
      <c r="B363" s="1">
        <v>683151</v>
      </c>
      <c r="C363" s="1" t="s">
        <v>1188</v>
      </c>
      <c r="D363" s="1" t="s">
        <v>431</v>
      </c>
      <c r="E363" s="1" t="s">
        <v>933</v>
      </c>
      <c r="F363" s="4">
        <v>19360</v>
      </c>
      <c r="G363">
        <v>73</v>
      </c>
      <c r="H363" s="1" t="s">
        <v>212</v>
      </c>
      <c r="I363" s="1" t="s">
        <v>1508</v>
      </c>
      <c r="J363" s="1" t="s">
        <v>1508</v>
      </c>
      <c r="K363" s="1">
        <v>8531</v>
      </c>
      <c r="L363" s="1" t="s">
        <v>261</v>
      </c>
      <c r="M363" s="1" t="s">
        <v>935</v>
      </c>
      <c r="N363" s="1" t="s">
        <v>215</v>
      </c>
      <c r="O363" s="1"/>
      <c r="P363" s="1" t="s">
        <v>936</v>
      </c>
      <c r="Q363" s="1" t="s">
        <v>937</v>
      </c>
      <c r="R363" s="1" t="s">
        <v>216</v>
      </c>
      <c r="S363" s="1" t="s">
        <v>217</v>
      </c>
      <c r="T363" s="11">
        <v>46163.618055555555</v>
      </c>
      <c r="U363" s="1" t="s">
        <v>218</v>
      </c>
      <c r="V363" s="11">
        <v>46179.038194444445</v>
      </c>
    </row>
    <row r="364" spans="1:22" x14ac:dyDescent="0.3">
      <c r="A364" s="1">
        <v>867933</v>
      </c>
      <c r="B364" s="1">
        <v>683151</v>
      </c>
      <c r="C364" s="1" t="s">
        <v>1189</v>
      </c>
      <c r="D364" s="1" t="s">
        <v>938</v>
      </c>
      <c r="E364" s="1" t="s">
        <v>939</v>
      </c>
      <c r="F364" s="4">
        <v>23377</v>
      </c>
      <c r="G364">
        <v>62</v>
      </c>
      <c r="H364" s="1" t="s">
        <v>212</v>
      </c>
      <c r="I364" s="1" t="s">
        <v>1508</v>
      </c>
      <c r="J364" s="1" t="s">
        <v>1508</v>
      </c>
      <c r="K364" s="1">
        <v>8531</v>
      </c>
      <c r="L364" s="1" t="s">
        <v>261</v>
      </c>
      <c r="M364" s="1" t="s">
        <v>935</v>
      </c>
      <c r="N364" s="1" t="s">
        <v>215</v>
      </c>
      <c r="O364" s="1"/>
      <c r="P364" s="1" t="s">
        <v>936</v>
      </c>
      <c r="Q364" s="1" t="s">
        <v>937</v>
      </c>
      <c r="R364" s="1" t="s">
        <v>216</v>
      </c>
      <c r="S364" s="1" t="s">
        <v>217</v>
      </c>
      <c r="T364" s="11">
        <v>46163.618055555555</v>
      </c>
      <c r="U364" s="1" t="s">
        <v>218</v>
      </c>
      <c r="V364" s="11">
        <v>46179.038194444445</v>
      </c>
    </row>
    <row r="365" spans="1:22" x14ac:dyDescent="0.3">
      <c r="A365" s="1">
        <v>672178</v>
      </c>
      <c r="B365" s="1">
        <v>546464</v>
      </c>
      <c r="C365" s="1" t="s">
        <v>1188</v>
      </c>
      <c r="D365" s="1" t="s">
        <v>940</v>
      </c>
      <c r="E365" s="1" t="s">
        <v>941</v>
      </c>
      <c r="F365" s="4">
        <v>35302</v>
      </c>
      <c r="G365">
        <v>29</v>
      </c>
      <c r="H365" s="1" t="s">
        <v>212</v>
      </c>
      <c r="I365" s="1" t="s">
        <v>1506</v>
      </c>
      <c r="J365" s="1" t="s">
        <v>1506</v>
      </c>
      <c r="K365" s="1">
        <v>8530</v>
      </c>
      <c r="L365" s="1" t="s">
        <v>261</v>
      </c>
      <c r="M365" s="1" t="s">
        <v>942</v>
      </c>
      <c r="N365" s="1" t="s">
        <v>215</v>
      </c>
      <c r="O365" s="1"/>
      <c r="P365" s="1" t="s">
        <v>943</v>
      </c>
      <c r="Q365" s="1" t="s">
        <v>944</v>
      </c>
      <c r="R365" s="1" t="s">
        <v>216</v>
      </c>
      <c r="S365" s="1" t="s">
        <v>217</v>
      </c>
      <c r="T365" s="11">
        <v>46160.864583333336</v>
      </c>
      <c r="U365" s="1" t="s">
        <v>218</v>
      </c>
      <c r="V365" s="11">
        <v>46173.086805555555</v>
      </c>
    </row>
    <row r="366" spans="1:22" x14ac:dyDescent="0.3">
      <c r="A366" s="1">
        <v>818330</v>
      </c>
      <c r="B366" s="1">
        <v>546464</v>
      </c>
      <c r="C366" s="1" t="s">
        <v>1188</v>
      </c>
      <c r="D366" s="1" t="s">
        <v>240</v>
      </c>
      <c r="E366" s="1" t="s">
        <v>945</v>
      </c>
      <c r="F366" s="4">
        <v>32812</v>
      </c>
      <c r="G366">
        <v>36</v>
      </c>
      <c r="H366" s="1" t="s">
        <v>212</v>
      </c>
      <c r="I366" s="1" t="s">
        <v>1506</v>
      </c>
      <c r="J366" s="1" t="s">
        <v>1506</v>
      </c>
      <c r="K366" s="1">
        <v>8530</v>
      </c>
      <c r="L366" s="1" t="s">
        <v>261</v>
      </c>
      <c r="M366" s="1" t="s">
        <v>942</v>
      </c>
      <c r="N366" s="1" t="s">
        <v>215</v>
      </c>
      <c r="O366" s="1"/>
      <c r="P366" s="1" t="s">
        <v>943</v>
      </c>
      <c r="Q366" s="1" t="s">
        <v>944</v>
      </c>
      <c r="R366" s="1" t="s">
        <v>216</v>
      </c>
      <c r="S366" s="1" t="s">
        <v>217</v>
      </c>
      <c r="T366" s="11">
        <v>46160.864583333336</v>
      </c>
      <c r="U366" s="1" t="s">
        <v>218</v>
      </c>
      <c r="V366" s="11">
        <v>46173.086805555555</v>
      </c>
    </row>
    <row r="367" spans="1:22" x14ac:dyDescent="0.3">
      <c r="A367" s="1">
        <v>819231</v>
      </c>
      <c r="B367" s="1">
        <v>546464</v>
      </c>
      <c r="C367" s="1" t="s">
        <v>1189</v>
      </c>
      <c r="D367" s="1" t="s">
        <v>946</v>
      </c>
      <c r="E367" s="1" t="s">
        <v>945</v>
      </c>
      <c r="F367" s="4">
        <v>33016</v>
      </c>
      <c r="G367">
        <v>35</v>
      </c>
      <c r="H367" s="1" t="s">
        <v>212</v>
      </c>
      <c r="I367" s="1" t="s">
        <v>1506</v>
      </c>
      <c r="J367" s="1" t="s">
        <v>1506</v>
      </c>
      <c r="K367" s="1">
        <v>8530</v>
      </c>
      <c r="L367" s="1" t="s">
        <v>261</v>
      </c>
      <c r="M367" s="1" t="s">
        <v>942</v>
      </c>
      <c r="N367" s="1" t="s">
        <v>215</v>
      </c>
      <c r="O367" s="1"/>
      <c r="P367" s="1" t="s">
        <v>943</v>
      </c>
      <c r="Q367" s="1" t="s">
        <v>944</v>
      </c>
      <c r="R367" s="1" t="s">
        <v>216</v>
      </c>
      <c r="S367" s="1" t="s">
        <v>217</v>
      </c>
      <c r="T367" s="11">
        <v>46160.864583333336</v>
      </c>
      <c r="U367" s="1" t="s">
        <v>218</v>
      </c>
      <c r="V367" s="11">
        <v>46173.086805555555</v>
      </c>
    </row>
    <row r="368" spans="1:22" x14ac:dyDescent="0.3">
      <c r="A368" s="1">
        <v>819236</v>
      </c>
      <c r="B368" s="1">
        <v>546464</v>
      </c>
      <c r="C368" s="1" t="s">
        <v>1188</v>
      </c>
      <c r="D368" s="1" t="s">
        <v>947</v>
      </c>
      <c r="E368" s="1" t="s">
        <v>945</v>
      </c>
      <c r="F368" s="4">
        <v>40106</v>
      </c>
      <c r="G368">
        <v>16</v>
      </c>
      <c r="H368" s="1" t="s">
        <v>212</v>
      </c>
      <c r="I368" s="1" t="s">
        <v>1506</v>
      </c>
      <c r="J368" s="1" t="s">
        <v>1506</v>
      </c>
      <c r="K368" s="1">
        <v>8530</v>
      </c>
      <c r="L368" s="1" t="s">
        <v>261</v>
      </c>
      <c r="M368" s="1" t="s">
        <v>942</v>
      </c>
      <c r="N368" s="1" t="s">
        <v>215</v>
      </c>
      <c r="O368" s="1"/>
      <c r="P368" s="1" t="s">
        <v>943</v>
      </c>
      <c r="Q368" s="1" t="s">
        <v>944</v>
      </c>
      <c r="R368" s="1" t="s">
        <v>216</v>
      </c>
      <c r="S368" s="1" t="s">
        <v>217</v>
      </c>
      <c r="T368" s="11">
        <v>46160.864583333336</v>
      </c>
      <c r="U368" s="1" t="s">
        <v>218</v>
      </c>
      <c r="V368" s="11">
        <v>46173.086805555555</v>
      </c>
    </row>
    <row r="369" spans="1:22" x14ac:dyDescent="0.3">
      <c r="A369" s="1">
        <v>819273</v>
      </c>
      <c r="B369" s="1">
        <v>546464</v>
      </c>
      <c r="C369" s="1" t="s">
        <v>1188</v>
      </c>
      <c r="D369" s="1" t="s">
        <v>948</v>
      </c>
      <c r="E369" s="1" t="s">
        <v>949</v>
      </c>
      <c r="F369" s="4">
        <v>33005</v>
      </c>
      <c r="G369">
        <v>35</v>
      </c>
      <c r="H369" s="1" t="s">
        <v>212</v>
      </c>
      <c r="I369" s="1" t="s">
        <v>1506</v>
      </c>
      <c r="J369" s="1" t="s">
        <v>1506</v>
      </c>
      <c r="K369" s="1">
        <v>8530</v>
      </c>
      <c r="L369" s="1" t="s">
        <v>261</v>
      </c>
      <c r="M369" s="1" t="s">
        <v>942</v>
      </c>
      <c r="N369" s="1" t="s">
        <v>215</v>
      </c>
      <c r="O369" s="1"/>
      <c r="P369" s="1" t="s">
        <v>943</v>
      </c>
      <c r="Q369" s="1" t="s">
        <v>944</v>
      </c>
      <c r="R369" s="1" t="s">
        <v>216</v>
      </c>
      <c r="S369" s="1" t="s">
        <v>217</v>
      </c>
      <c r="T369" s="11">
        <v>46160.864583333336</v>
      </c>
      <c r="U369" s="1" t="s">
        <v>218</v>
      </c>
      <c r="V369" s="11">
        <v>46173.086805555555</v>
      </c>
    </row>
    <row r="370" spans="1:22" x14ac:dyDescent="0.3">
      <c r="A370" s="1">
        <v>820732</v>
      </c>
      <c r="B370" s="1">
        <v>546464</v>
      </c>
      <c r="C370" s="1" t="s">
        <v>1188</v>
      </c>
      <c r="D370" s="1" t="s">
        <v>472</v>
      </c>
      <c r="E370" s="1" t="s">
        <v>945</v>
      </c>
      <c r="F370" s="4">
        <v>35431</v>
      </c>
      <c r="G370">
        <v>29</v>
      </c>
      <c r="H370" s="1" t="s">
        <v>212</v>
      </c>
      <c r="I370" s="1" t="s">
        <v>1506</v>
      </c>
      <c r="J370" s="1" t="s">
        <v>1506</v>
      </c>
      <c r="K370" s="1">
        <v>8530</v>
      </c>
      <c r="L370" s="1" t="s">
        <v>261</v>
      </c>
      <c r="M370" s="1" t="s">
        <v>942</v>
      </c>
      <c r="N370" s="1" t="s">
        <v>215</v>
      </c>
      <c r="O370" s="1"/>
      <c r="P370" s="1" t="s">
        <v>943</v>
      </c>
      <c r="Q370" s="1" t="s">
        <v>944</v>
      </c>
      <c r="R370" s="1" t="s">
        <v>216</v>
      </c>
      <c r="S370" s="1" t="s">
        <v>217</v>
      </c>
      <c r="T370" s="11">
        <v>46160.864583333336</v>
      </c>
      <c r="U370" s="1" t="s">
        <v>218</v>
      </c>
      <c r="V370" s="11">
        <v>46173.086805555555</v>
      </c>
    </row>
    <row r="371" spans="1:22" x14ac:dyDescent="0.3">
      <c r="A371" s="1">
        <v>820739</v>
      </c>
      <c r="B371" s="1">
        <v>546464</v>
      </c>
      <c r="C371" s="1" t="s">
        <v>1189</v>
      </c>
      <c r="D371" s="1" t="s">
        <v>950</v>
      </c>
      <c r="E371" s="1" t="s">
        <v>945</v>
      </c>
      <c r="F371" s="4">
        <v>37289</v>
      </c>
      <c r="G371">
        <v>24</v>
      </c>
      <c r="H371" s="1" t="s">
        <v>212</v>
      </c>
      <c r="I371" s="1" t="s">
        <v>1506</v>
      </c>
      <c r="J371" s="1" t="s">
        <v>1506</v>
      </c>
      <c r="K371" s="1">
        <v>8530</v>
      </c>
      <c r="L371" s="1" t="s">
        <v>261</v>
      </c>
      <c r="M371" s="1" t="s">
        <v>942</v>
      </c>
      <c r="N371" s="1" t="s">
        <v>215</v>
      </c>
      <c r="O371" s="1"/>
      <c r="P371" s="1" t="s">
        <v>943</v>
      </c>
      <c r="Q371" s="1" t="s">
        <v>944</v>
      </c>
      <c r="R371" s="1" t="s">
        <v>216</v>
      </c>
      <c r="S371" s="1" t="s">
        <v>217</v>
      </c>
      <c r="T371" s="11">
        <v>46160.864583333336</v>
      </c>
      <c r="U371" s="1" t="s">
        <v>218</v>
      </c>
      <c r="V371" s="11">
        <v>46173.086805555555</v>
      </c>
    </row>
    <row r="372" spans="1:22" x14ac:dyDescent="0.3">
      <c r="A372" s="1">
        <v>862688</v>
      </c>
      <c r="B372" s="1">
        <v>697214</v>
      </c>
      <c r="C372" s="1" t="s">
        <v>1188</v>
      </c>
      <c r="D372" s="1" t="s">
        <v>280</v>
      </c>
      <c r="E372" s="1" t="s">
        <v>510</v>
      </c>
      <c r="F372" s="4">
        <v>28496</v>
      </c>
      <c r="G372">
        <v>48</v>
      </c>
      <c r="H372" s="1" t="s">
        <v>212</v>
      </c>
      <c r="I372" s="1" t="s">
        <v>1501</v>
      </c>
      <c r="J372" s="1" t="s">
        <v>1501</v>
      </c>
      <c r="K372" s="1">
        <v>8528</v>
      </c>
      <c r="L372" s="1" t="s">
        <v>214</v>
      </c>
      <c r="M372" s="1" t="s">
        <v>1193</v>
      </c>
      <c r="N372" s="1" t="s">
        <v>215</v>
      </c>
      <c r="O372" s="1"/>
      <c r="P372" s="1" t="s">
        <v>212</v>
      </c>
      <c r="Q372" s="1"/>
      <c r="R372" s="1" t="s">
        <v>216</v>
      </c>
      <c r="S372" s="1" t="s">
        <v>218</v>
      </c>
      <c r="T372" s="11">
        <v>46160.739583333336</v>
      </c>
      <c r="U372" s="1" t="s">
        <v>218</v>
      </c>
      <c r="V372" s="11">
        <v>46172.350694444445</v>
      </c>
    </row>
    <row r="373" spans="1:22" x14ac:dyDescent="0.3">
      <c r="A373" s="1">
        <v>862702</v>
      </c>
      <c r="B373" s="1">
        <v>697214</v>
      </c>
      <c r="C373" s="1" t="s">
        <v>1189</v>
      </c>
      <c r="D373" s="1" t="s">
        <v>298</v>
      </c>
      <c r="E373" s="1" t="s">
        <v>951</v>
      </c>
      <c r="F373" s="4">
        <v>31287</v>
      </c>
      <c r="G373">
        <v>40</v>
      </c>
      <c r="H373" s="1" t="s">
        <v>212</v>
      </c>
      <c r="I373" s="1" t="s">
        <v>1501</v>
      </c>
      <c r="J373" s="1" t="s">
        <v>1501</v>
      </c>
      <c r="K373" s="1">
        <v>8528</v>
      </c>
      <c r="L373" s="1" t="s">
        <v>214</v>
      </c>
      <c r="M373" s="1" t="s">
        <v>1193</v>
      </c>
      <c r="N373" s="1" t="s">
        <v>215</v>
      </c>
      <c r="O373" s="1"/>
      <c r="P373" s="1" t="s">
        <v>212</v>
      </c>
      <c r="Q373" s="1"/>
      <c r="R373" s="1" t="s">
        <v>216</v>
      </c>
      <c r="S373" s="1" t="s">
        <v>218</v>
      </c>
      <c r="T373" s="11">
        <v>46160.739583333336</v>
      </c>
      <c r="U373" s="1" t="s">
        <v>218</v>
      </c>
      <c r="V373" s="11">
        <v>46172.350694444445</v>
      </c>
    </row>
    <row r="374" spans="1:22" x14ac:dyDescent="0.3">
      <c r="A374" s="1">
        <v>847922</v>
      </c>
      <c r="B374" s="1">
        <v>685481</v>
      </c>
      <c r="C374" s="1" t="s">
        <v>1189</v>
      </c>
      <c r="D374" s="1" t="s">
        <v>952</v>
      </c>
      <c r="E374" s="1" t="s">
        <v>953</v>
      </c>
      <c r="F374" s="4">
        <v>21564</v>
      </c>
      <c r="G374">
        <v>67</v>
      </c>
      <c r="H374" s="1" t="s">
        <v>212</v>
      </c>
      <c r="I374" s="1" t="s">
        <v>1501</v>
      </c>
      <c r="J374" s="1" t="s">
        <v>1501</v>
      </c>
      <c r="K374" s="1">
        <v>8565</v>
      </c>
      <c r="L374" s="1" t="s">
        <v>214</v>
      </c>
      <c r="M374" s="1" t="s">
        <v>1212</v>
      </c>
      <c r="N374" s="1" t="s">
        <v>215</v>
      </c>
      <c r="O374" s="1"/>
      <c r="P374" s="1" t="s">
        <v>212</v>
      </c>
      <c r="Q374" s="1"/>
      <c r="R374" s="1" t="s">
        <v>216</v>
      </c>
      <c r="S374" s="1" t="s">
        <v>217</v>
      </c>
      <c r="T374" s="11">
        <v>46164.579861111109</v>
      </c>
      <c r="U374" s="1" t="s">
        <v>218</v>
      </c>
      <c r="V374" s="11">
        <v>46177.149305555555</v>
      </c>
    </row>
    <row r="375" spans="1:22" x14ac:dyDescent="0.3">
      <c r="A375" s="1">
        <v>847977</v>
      </c>
      <c r="B375" s="1">
        <v>685481</v>
      </c>
      <c r="C375" s="1" t="s">
        <v>1188</v>
      </c>
      <c r="D375" s="1" t="s">
        <v>954</v>
      </c>
      <c r="E375" s="1" t="s">
        <v>953</v>
      </c>
      <c r="F375" s="4">
        <v>19262</v>
      </c>
      <c r="G375">
        <v>73</v>
      </c>
      <c r="H375" s="1" t="s">
        <v>212</v>
      </c>
      <c r="I375" s="1" t="s">
        <v>1501</v>
      </c>
      <c r="J375" s="1" t="s">
        <v>1501</v>
      </c>
      <c r="K375" s="1">
        <v>8565</v>
      </c>
      <c r="L375" s="1" t="s">
        <v>214</v>
      </c>
      <c r="M375" s="1" t="s">
        <v>1212</v>
      </c>
      <c r="N375" s="1" t="s">
        <v>215</v>
      </c>
      <c r="O375" s="1"/>
      <c r="P375" s="1" t="s">
        <v>212</v>
      </c>
      <c r="Q375" s="1"/>
      <c r="R375" s="1" t="s">
        <v>216</v>
      </c>
      <c r="S375" s="1" t="s">
        <v>217</v>
      </c>
      <c r="T375" s="11">
        <v>46164.579861111109</v>
      </c>
      <c r="U375" s="1" t="s">
        <v>218</v>
      </c>
      <c r="V375" s="11">
        <v>46177.149305555555</v>
      </c>
    </row>
    <row r="376" spans="1:22" x14ac:dyDescent="0.3">
      <c r="A376" s="1">
        <v>630563</v>
      </c>
      <c r="B376" s="1">
        <v>511003</v>
      </c>
      <c r="C376" s="1" t="s">
        <v>1188</v>
      </c>
      <c r="D376" s="1" t="s">
        <v>955</v>
      </c>
      <c r="E376" s="1" t="s">
        <v>956</v>
      </c>
      <c r="F376" s="4">
        <v>26271</v>
      </c>
      <c r="G376">
        <v>54</v>
      </c>
      <c r="H376" s="1" t="s">
        <v>212</v>
      </c>
      <c r="I376" s="1" t="s">
        <v>1505</v>
      </c>
      <c r="J376" s="1" t="s">
        <v>1505</v>
      </c>
      <c r="K376" s="1">
        <v>8529</v>
      </c>
      <c r="L376" s="1" t="s">
        <v>261</v>
      </c>
      <c r="M376" s="1" t="s">
        <v>957</v>
      </c>
      <c r="N376" s="1" t="s">
        <v>215</v>
      </c>
      <c r="O376" s="1"/>
      <c r="P376" s="1" t="s">
        <v>958</v>
      </c>
      <c r="Q376" s="1" t="s">
        <v>959</v>
      </c>
      <c r="R376" s="1" t="s">
        <v>216</v>
      </c>
      <c r="S376" s="1" t="s">
        <v>217</v>
      </c>
      <c r="T376" s="11">
        <v>46160.791666666664</v>
      </c>
      <c r="U376" s="1" t="s">
        <v>218</v>
      </c>
      <c r="V376" s="11">
        <v>46173.079861111109</v>
      </c>
    </row>
    <row r="377" spans="1:22" x14ac:dyDescent="0.3">
      <c r="A377" s="1">
        <v>630658</v>
      </c>
      <c r="B377" s="1">
        <v>511003</v>
      </c>
      <c r="C377" s="1" t="s">
        <v>1189</v>
      </c>
      <c r="D377" s="1" t="s">
        <v>960</v>
      </c>
      <c r="E377" s="1" t="s">
        <v>476</v>
      </c>
      <c r="F377" s="4">
        <v>26022</v>
      </c>
      <c r="G377">
        <v>54</v>
      </c>
      <c r="H377" s="1" t="s">
        <v>212</v>
      </c>
      <c r="I377" s="1" t="s">
        <v>1505</v>
      </c>
      <c r="J377" s="1" t="s">
        <v>1505</v>
      </c>
      <c r="K377" s="1">
        <v>8529</v>
      </c>
      <c r="L377" s="1" t="s">
        <v>261</v>
      </c>
      <c r="M377" s="1" t="s">
        <v>957</v>
      </c>
      <c r="N377" s="1" t="s">
        <v>215</v>
      </c>
      <c r="O377" s="1"/>
      <c r="P377" s="1" t="s">
        <v>958</v>
      </c>
      <c r="Q377" s="1" t="s">
        <v>959</v>
      </c>
      <c r="R377" s="1" t="s">
        <v>216</v>
      </c>
      <c r="S377" s="1" t="s">
        <v>217</v>
      </c>
      <c r="T377" s="11">
        <v>46160.791666666664</v>
      </c>
      <c r="U377" s="1" t="s">
        <v>218</v>
      </c>
      <c r="V377" s="11">
        <v>46173.079861111109</v>
      </c>
    </row>
    <row r="378" spans="1:22" x14ac:dyDescent="0.3">
      <c r="A378" s="1">
        <v>630669</v>
      </c>
      <c r="B378" s="1">
        <v>511003</v>
      </c>
      <c r="C378" s="1" t="s">
        <v>1189</v>
      </c>
      <c r="D378" s="1" t="s">
        <v>961</v>
      </c>
      <c r="E378" s="1" t="s">
        <v>955</v>
      </c>
      <c r="F378" s="4">
        <v>34889</v>
      </c>
      <c r="G378">
        <v>30</v>
      </c>
      <c r="H378" s="1" t="s">
        <v>212</v>
      </c>
      <c r="I378" s="1" t="s">
        <v>1505</v>
      </c>
      <c r="J378" s="1" t="s">
        <v>1505</v>
      </c>
      <c r="K378" s="1">
        <v>8529</v>
      </c>
      <c r="L378" s="1" t="s">
        <v>261</v>
      </c>
      <c r="M378" s="1" t="s">
        <v>957</v>
      </c>
      <c r="N378" s="1" t="s">
        <v>215</v>
      </c>
      <c r="O378" s="1"/>
      <c r="P378" s="1" t="s">
        <v>958</v>
      </c>
      <c r="Q378" s="1" t="s">
        <v>959</v>
      </c>
      <c r="R378" s="1" t="s">
        <v>216</v>
      </c>
      <c r="S378" s="1" t="s">
        <v>217</v>
      </c>
      <c r="T378" s="11">
        <v>46160.791666666664</v>
      </c>
      <c r="U378" s="1" t="s">
        <v>218</v>
      </c>
      <c r="V378" s="11">
        <v>46173.079861111109</v>
      </c>
    </row>
    <row r="379" spans="1:22" x14ac:dyDescent="0.3">
      <c r="A379" s="1">
        <v>727727</v>
      </c>
      <c r="B379" s="1">
        <v>589574</v>
      </c>
      <c r="C379" s="1" t="s">
        <v>1189</v>
      </c>
      <c r="D379" s="1" t="s">
        <v>367</v>
      </c>
      <c r="E379" s="1" t="s">
        <v>962</v>
      </c>
      <c r="F379" s="4">
        <v>33970</v>
      </c>
      <c r="G379">
        <v>33</v>
      </c>
      <c r="H379" s="1" t="s">
        <v>212</v>
      </c>
      <c r="I379" s="1" t="s">
        <v>1501</v>
      </c>
      <c r="J379" s="1" t="s">
        <v>1501</v>
      </c>
      <c r="K379" s="1">
        <v>8535</v>
      </c>
      <c r="L379" s="1" t="s">
        <v>214</v>
      </c>
      <c r="M379" s="1" t="s">
        <v>1191</v>
      </c>
      <c r="N379" s="1" t="s">
        <v>215</v>
      </c>
      <c r="O379" s="1"/>
      <c r="P379" s="1" t="s">
        <v>212</v>
      </c>
      <c r="Q379" s="1"/>
      <c r="R379" s="1" t="s">
        <v>216</v>
      </c>
      <c r="S379" s="1" t="s">
        <v>218</v>
      </c>
      <c r="T379" s="11">
        <v>46163.236111111109</v>
      </c>
      <c r="U379" s="1" t="s">
        <v>218</v>
      </c>
      <c r="V379" s="11">
        <v>46175.930555555555</v>
      </c>
    </row>
    <row r="380" spans="1:22" x14ac:dyDescent="0.3">
      <c r="A380" s="1">
        <v>34512</v>
      </c>
      <c r="B380" s="1">
        <v>30252</v>
      </c>
      <c r="C380" s="1" t="s">
        <v>1188</v>
      </c>
      <c r="D380" s="1" t="s">
        <v>963</v>
      </c>
      <c r="E380" s="1" t="s">
        <v>964</v>
      </c>
      <c r="F380" s="4">
        <v>32142</v>
      </c>
      <c r="G380">
        <v>38</v>
      </c>
      <c r="H380" s="1" t="s">
        <v>212</v>
      </c>
      <c r="I380" s="1" t="s">
        <v>1501</v>
      </c>
      <c r="J380" s="1" t="s">
        <v>1501</v>
      </c>
      <c r="K380" s="1">
        <v>8537</v>
      </c>
      <c r="L380" s="1" t="s">
        <v>214</v>
      </c>
      <c r="M380" s="1" t="s">
        <v>1191</v>
      </c>
      <c r="N380" s="1" t="s">
        <v>215</v>
      </c>
      <c r="O380" s="1"/>
      <c r="P380" s="1" t="s">
        <v>212</v>
      </c>
      <c r="Q380" s="1"/>
      <c r="R380" s="1" t="s">
        <v>216</v>
      </c>
      <c r="S380" s="1" t="s">
        <v>218</v>
      </c>
      <c r="T380" s="11">
        <v>46163.236111111109</v>
      </c>
      <c r="U380" s="1" t="s">
        <v>218</v>
      </c>
      <c r="V380" s="11">
        <v>46175.930555555555</v>
      </c>
    </row>
    <row r="381" spans="1:22" x14ac:dyDescent="0.3">
      <c r="A381" s="1">
        <v>846049</v>
      </c>
      <c r="B381" s="1">
        <v>683992</v>
      </c>
      <c r="C381" s="1" t="s">
        <v>1188</v>
      </c>
      <c r="D381" s="1" t="s">
        <v>965</v>
      </c>
      <c r="E381" s="1" t="s">
        <v>966</v>
      </c>
      <c r="F381" s="4">
        <v>29487</v>
      </c>
      <c r="G381">
        <v>45</v>
      </c>
      <c r="H381" s="1" t="s">
        <v>212</v>
      </c>
      <c r="I381" s="1" t="s">
        <v>1506</v>
      </c>
      <c r="J381" s="1" t="s">
        <v>1506</v>
      </c>
      <c r="K381" s="1">
        <v>8535</v>
      </c>
      <c r="L381" s="1" t="s">
        <v>261</v>
      </c>
      <c r="M381" s="1" t="s">
        <v>967</v>
      </c>
      <c r="N381" s="1" t="s">
        <v>215</v>
      </c>
      <c r="O381" s="1"/>
      <c r="P381" s="1" t="s">
        <v>968</v>
      </c>
      <c r="Q381" s="1" t="s">
        <v>969</v>
      </c>
      <c r="R381" s="1" t="s">
        <v>216</v>
      </c>
      <c r="S381" s="1" t="s">
        <v>218</v>
      </c>
      <c r="T381" s="11">
        <v>46163.954861111109</v>
      </c>
      <c r="U381" s="1" t="s">
        <v>218</v>
      </c>
      <c r="V381" s="11">
        <v>46175.215277777781</v>
      </c>
    </row>
    <row r="382" spans="1:22" x14ac:dyDescent="0.3">
      <c r="A382" s="1">
        <v>846114</v>
      </c>
      <c r="B382" s="1">
        <v>683992</v>
      </c>
      <c r="C382" s="1" t="s">
        <v>1189</v>
      </c>
      <c r="D382" s="1" t="s">
        <v>970</v>
      </c>
      <c r="E382" s="1" t="s">
        <v>971</v>
      </c>
      <c r="F382" s="4">
        <v>30722</v>
      </c>
      <c r="G382">
        <v>42</v>
      </c>
      <c r="H382" s="1" t="s">
        <v>212</v>
      </c>
      <c r="I382" s="1" t="s">
        <v>1506</v>
      </c>
      <c r="J382" s="1" t="s">
        <v>1506</v>
      </c>
      <c r="K382" s="1">
        <v>8535</v>
      </c>
      <c r="L382" s="1" t="s">
        <v>261</v>
      </c>
      <c r="M382" s="1" t="s">
        <v>967</v>
      </c>
      <c r="N382" s="1" t="s">
        <v>215</v>
      </c>
      <c r="O382" s="1"/>
      <c r="P382" s="1" t="s">
        <v>968</v>
      </c>
      <c r="Q382" s="1" t="s">
        <v>969</v>
      </c>
      <c r="R382" s="1" t="s">
        <v>216</v>
      </c>
      <c r="S382" s="1" t="s">
        <v>218</v>
      </c>
      <c r="T382" s="11">
        <v>46163.954861111109</v>
      </c>
      <c r="U382" s="1" t="s">
        <v>218</v>
      </c>
      <c r="V382" s="11">
        <v>46175.215277777781</v>
      </c>
    </row>
    <row r="383" spans="1:22" x14ac:dyDescent="0.3">
      <c r="A383" s="1">
        <v>6511</v>
      </c>
      <c r="B383" s="1">
        <v>5847</v>
      </c>
      <c r="C383" s="1" t="s">
        <v>1188</v>
      </c>
      <c r="D383" s="1" t="s">
        <v>972</v>
      </c>
      <c r="E383" s="1" t="s">
        <v>973</v>
      </c>
      <c r="F383" s="4">
        <v>22296</v>
      </c>
      <c r="G383">
        <v>65</v>
      </c>
      <c r="H383" s="1" t="s">
        <v>212</v>
      </c>
      <c r="I383" s="1" t="s">
        <v>1501</v>
      </c>
      <c r="J383" s="1" t="s">
        <v>1501</v>
      </c>
      <c r="K383" s="1">
        <v>8531</v>
      </c>
      <c r="L383" s="1" t="s">
        <v>261</v>
      </c>
      <c r="M383" s="1" t="s">
        <v>974</v>
      </c>
      <c r="N383" s="1" t="s">
        <v>215</v>
      </c>
      <c r="O383" s="1"/>
      <c r="P383" s="1" t="s">
        <v>975</v>
      </c>
      <c r="Q383" s="1" t="s">
        <v>976</v>
      </c>
      <c r="R383" s="1" t="s">
        <v>216</v>
      </c>
      <c r="S383" s="1" t="s">
        <v>218</v>
      </c>
      <c r="T383" s="11">
        <v>46163.017361111109</v>
      </c>
      <c r="U383" s="1" t="s">
        <v>218</v>
      </c>
      <c r="V383" s="11">
        <v>46179.368055555555</v>
      </c>
    </row>
    <row r="384" spans="1:22" x14ac:dyDescent="0.3">
      <c r="A384" s="1">
        <v>732889</v>
      </c>
      <c r="B384" s="1">
        <v>5847</v>
      </c>
      <c r="C384" s="1" t="s">
        <v>1189</v>
      </c>
      <c r="D384" s="1" t="s">
        <v>977</v>
      </c>
      <c r="E384" s="1" t="s">
        <v>426</v>
      </c>
      <c r="F384" s="4">
        <v>28425</v>
      </c>
      <c r="G384">
        <v>48</v>
      </c>
      <c r="H384" s="1" t="s">
        <v>212</v>
      </c>
      <c r="I384" s="1" t="s">
        <v>1501</v>
      </c>
      <c r="J384" s="1" t="s">
        <v>1519</v>
      </c>
      <c r="K384" s="1">
        <v>8531</v>
      </c>
      <c r="L384" s="1" t="s">
        <v>261</v>
      </c>
      <c r="M384" s="1" t="s">
        <v>974</v>
      </c>
      <c r="N384" s="1" t="s">
        <v>215</v>
      </c>
      <c r="O384" s="1"/>
      <c r="P384" s="1" t="s">
        <v>975</v>
      </c>
      <c r="Q384" s="1" t="s">
        <v>976</v>
      </c>
      <c r="R384" s="1" t="s">
        <v>216</v>
      </c>
      <c r="S384" s="1" t="s">
        <v>218</v>
      </c>
      <c r="T384" s="11">
        <v>46163.017361111109</v>
      </c>
      <c r="U384" s="1" t="s">
        <v>218</v>
      </c>
      <c r="V384" s="11">
        <v>46179.368055555555</v>
      </c>
    </row>
    <row r="385" spans="1:22" x14ac:dyDescent="0.3">
      <c r="A385" s="1">
        <v>535500</v>
      </c>
      <c r="B385" s="1">
        <v>423534</v>
      </c>
      <c r="C385" s="1" t="s">
        <v>1188</v>
      </c>
      <c r="D385" s="1" t="s">
        <v>979</v>
      </c>
      <c r="E385" s="1" t="s">
        <v>980</v>
      </c>
      <c r="F385" s="4">
        <v>31492</v>
      </c>
      <c r="G385">
        <v>39</v>
      </c>
      <c r="H385" s="1" t="s">
        <v>212</v>
      </c>
      <c r="I385" s="1" t="s">
        <v>1503</v>
      </c>
      <c r="J385" s="1" t="s">
        <v>1503</v>
      </c>
      <c r="K385" s="1">
        <v>8535</v>
      </c>
      <c r="L385" s="1" t="s">
        <v>261</v>
      </c>
      <c r="M385" s="1" t="s">
        <v>981</v>
      </c>
      <c r="N385" s="1" t="s">
        <v>215</v>
      </c>
      <c r="O385" s="1"/>
      <c r="P385" s="1" t="s">
        <v>982</v>
      </c>
      <c r="Q385" s="1" t="s">
        <v>983</v>
      </c>
      <c r="R385" s="1" t="s">
        <v>216</v>
      </c>
      <c r="S385" s="1" t="s">
        <v>218</v>
      </c>
      <c r="T385" s="11">
        <v>46163.760416666664</v>
      </c>
      <c r="U385" s="1" t="s">
        <v>218</v>
      </c>
      <c r="V385" s="11">
        <v>46175.215277777781</v>
      </c>
    </row>
    <row r="386" spans="1:22" x14ac:dyDescent="0.3">
      <c r="A386" s="1">
        <v>535506</v>
      </c>
      <c r="B386" s="1">
        <v>423534</v>
      </c>
      <c r="C386" s="1" t="s">
        <v>1189</v>
      </c>
      <c r="D386" s="1" t="s">
        <v>984</v>
      </c>
      <c r="E386" s="1" t="s">
        <v>985</v>
      </c>
      <c r="F386" s="4">
        <v>33841</v>
      </c>
      <c r="G386">
        <v>33</v>
      </c>
      <c r="H386" s="1" t="s">
        <v>212</v>
      </c>
      <c r="I386" s="1" t="s">
        <v>1503</v>
      </c>
      <c r="J386" s="1" t="s">
        <v>1503</v>
      </c>
      <c r="K386" s="1">
        <v>8535</v>
      </c>
      <c r="L386" s="1" t="s">
        <v>261</v>
      </c>
      <c r="M386" s="1" t="s">
        <v>981</v>
      </c>
      <c r="N386" s="1" t="s">
        <v>215</v>
      </c>
      <c r="O386" s="1"/>
      <c r="P386" s="1" t="s">
        <v>982</v>
      </c>
      <c r="Q386" s="1" t="s">
        <v>983</v>
      </c>
      <c r="R386" s="1" t="s">
        <v>216</v>
      </c>
      <c r="S386" s="1" t="s">
        <v>218</v>
      </c>
      <c r="T386" s="11">
        <v>46163.760416666664</v>
      </c>
      <c r="U386" s="1" t="s">
        <v>218</v>
      </c>
      <c r="V386" s="11">
        <v>46175.215277777781</v>
      </c>
    </row>
    <row r="387" spans="1:22" x14ac:dyDescent="0.3">
      <c r="A387" s="1">
        <v>825224</v>
      </c>
      <c r="B387" s="1">
        <v>667176</v>
      </c>
      <c r="C387" s="1" t="s">
        <v>1188</v>
      </c>
      <c r="D387" s="1" t="s">
        <v>986</v>
      </c>
      <c r="E387" s="1" t="s">
        <v>987</v>
      </c>
      <c r="F387" s="4">
        <v>18239</v>
      </c>
      <c r="G387">
        <v>76</v>
      </c>
      <c r="H387" s="1" t="s">
        <v>212</v>
      </c>
      <c r="I387" s="1" t="s">
        <v>1503</v>
      </c>
      <c r="J387" s="1" t="s">
        <v>1503</v>
      </c>
      <c r="K387" s="1">
        <v>8540</v>
      </c>
      <c r="L387" s="1" t="s">
        <v>214</v>
      </c>
      <c r="M387" s="1" t="s">
        <v>1205</v>
      </c>
      <c r="N387" s="1" t="s">
        <v>215</v>
      </c>
      <c r="O387" s="1"/>
      <c r="P387" s="1" t="s">
        <v>212</v>
      </c>
      <c r="Q387" s="1"/>
      <c r="R387" s="1" t="s">
        <v>216</v>
      </c>
      <c r="S387" s="1" t="s">
        <v>218</v>
      </c>
      <c r="T387" s="11">
        <v>46163.392361111109</v>
      </c>
      <c r="U387" s="1" t="s">
        <v>218</v>
      </c>
      <c r="V387" s="11">
        <v>46172.340277777781</v>
      </c>
    </row>
    <row r="388" spans="1:22" x14ac:dyDescent="0.3">
      <c r="A388" s="1">
        <v>825393</v>
      </c>
      <c r="B388" s="1">
        <v>667176</v>
      </c>
      <c r="C388" s="1" t="s">
        <v>1188</v>
      </c>
      <c r="D388" s="1" t="s">
        <v>988</v>
      </c>
      <c r="E388" s="1" t="s">
        <v>987</v>
      </c>
      <c r="F388" s="4">
        <v>28955</v>
      </c>
      <c r="G388">
        <v>46</v>
      </c>
      <c r="H388" s="1" t="s">
        <v>212</v>
      </c>
      <c r="I388" s="1" t="s">
        <v>1503</v>
      </c>
      <c r="J388" s="1" t="s">
        <v>1503</v>
      </c>
      <c r="K388" s="1">
        <v>8540</v>
      </c>
      <c r="L388" s="1" t="s">
        <v>214</v>
      </c>
      <c r="M388" s="1" t="s">
        <v>1205</v>
      </c>
      <c r="N388" s="1" t="s">
        <v>215</v>
      </c>
      <c r="O388" s="1"/>
      <c r="P388" s="1" t="s">
        <v>212</v>
      </c>
      <c r="Q388" s="1"/>
      <c r="R388" s="1" t="s">
        <v>216</v>
      </c>
      <c r="S388" s="1" t="s">
        <v>218</v>
      </c>
      <c r="T388" s="11">
        <v>46163.392361111109</v>
      </c>
      <c r="U388" s="1" t="s">
        <v>218</v>
      </c>
      <c r="V388" s="11">
        <v>46172.340277777781</v>
      </c>
    </row>
    <row r="389" spans="1:22" x14ac:dyDescent="0.3">
      <c r="A389" s="1">
        <v>825437</v>
      </c>
      <c r="B389" s="1">
        <v>667176</v>
      </c>
      <c r="C389" s="1" t="s">
        <v>1189</v>
      </c>
      <c r="D389" s="1" t="s">
        <v>989</v>
      </c>
      <c r="E389" s="1" t="s">
        <v>987</v>
      </c>
      <c r="F389" s="4">
        <v>31494</v>
      </c>
      <c r="G389">
        <v>39</v>
      </c>
      <c r="H389" s="1" t="s">
        <v>212</v>
      </c>
      <c r="I389" s="1" t="s">
        <v>1503</v>
      </c>
      <c r="J389" s="1" t="s">
        <v>1503</v>
      </c>
      <c r="K389" s="1">
        <v>8540</v>
      </c>
      <c r="L389" s="1" t="s">
        <v>214</v>
      </c>
      <c r="M389" s="1" t="s">
        <v>1205</v>
      </c>
      <c r="N389" s="1" t="s">
        <v>215</v>
      </c>
      <c r="O389" s="1"/>
      <c r="P389" s="1" t="s">
        <v>212</v>
      </c>
      <c r="Q389" s="1"/>
      <c r="R389" s="1" t="s">
        <v>216</v>
      </c>
      <c r="S389" s="1" t="s">
        <v>218</v>
      </c>
      <c r="T389" s="11">
        <v>46163.392361111109</v>
      </c>
      <c r="U389" s="1" t="s">
        <v>218</v>
      </c>
      <c r="V389" s="11">
        <v>46172.340277777781</v>
      </c>
    </row>
    <row r="390" spans="1:22" x14ac:dyDescent="0.3">
      <c r="A390" s="1">
        <v>825461</v>
      </c>
      <c r="B390" s="1">
        <v>667176</v>
      </c>
      <c r="C390" s="1" t="s">
        <v>1189</v>
      </c>
      <c r="D390" s="1" t="s">
        <v>990</v>
      </c>
      <c r="E390" s="1" t="s">
        <v>987</v>
      </c>
      <c r="F390" s="4">
        <v>20392</v>
      </c>
      <c r="G390">
        <v>70</v>
      </c>
      <c r="H390" s="1" t="s">
        <v>212</v>
      </c>
      <c r="I390" s="1" t="s">
        <v>1503</v>
      </c>
      <c r="J390" s="1" t="s">
        <v>1503</v>
      </c>
      <c r="K390" s="1">
        <v>8540</v>
      </c>
      <c r="L390" s="1" t="s">
        <v>214</v>
      </c>
      <c r="M390" s="1" t="s">
        <v>1205</v>
      </c>
      <c r="N390" s="1" t="s">
        <v>215</v>
      </c>
      <c r="O390" s="1"/>
      <c r="P390" s="1" t="s">
        <v>212</v>
      </c>
      <c r="Q390" s="1"/>
      <c r="R390" s="1" t="s">
        <v>216</v>
      </c>
      <c r="S390" s="1" t="s">
        <v>218</v>
      </c>
      <c r="T390" s="11">
        <v>46163.392361111109</v>
      </c>
      <c r="U390" s="1" t="s">
        <v>218</v>
      </c>
      <c r="V390" s="11">
        <v>46172.340277777781</v>
      </c>
    </row>
    <row r="391" spans="1:22" x14ac:dyDescent="0.3">
      <c r="A391" s="1">
        <v>865446</v>
      </c>
      <c r="B391" s="1">
        <v>699288</v>
      </c>
      <c r="C391" s="1" t="s">
        <v>1189</v>
      </c>
      <c r="D391" s="1" t="s">
        <v>991</v>
      </c>
      <c r="E391" s="1" t="s">
        <v>992</v>
      </c>
      <c r="F391" s="4">
        <v>28039</v>
      </c>
      <c r="G391">
        <v>49</v>
      </c>
      <c r="H391" s="1" t="s">
        <v>212</v>
      </c>
      <c r="I391" s="1" t="s">
        <v>1505</v>
      </c>
      <c r="J391" s="1" t="s">
        <v>1505</v>
      </c>
      <c r="K391" s="1">
        <v>8529</v>
      </c>
      <c r="L391" s="1" t="s">
        <v>261</v>
      </c>
      <c r="M391" s="1" t="s">
        <v>993</v>
      </c>
      <c r="N391" s="1" t="s">
        <v>215</v>
      </c>
      <c r="O391" s="1"/>
      <c r="P391" s="1" t="s">
        <v>994</v>
      </c>
      <c r="Q391" s="1" t="s">
        <v>995</v>
      </c>
      <c r="R391" s="1" t="s">
        <v>216</v>
      </c>
      <c r="S391" s="1" t="s">
        <v>217</v>
      </c>
      <c r="T391" s="11">
        <v>46160.885416666664</v>
      </c>
      <c r="U391" s="1" t="s">
        <v>218</v>
      </c>
      <c r="V391" s="11">
        <v>46173.729166666664</v>
      </c>
    </row>
    <row r="392" spans="1:22" x14ac:dyDescent="0.3">
      <c r="A392" s="1">
        <v>512957</v>
      </c>
      <c r="B392" s="1">
        <v>405610</v>
      </c>
      <c r="C392" s="1" t="s">
        <v>1188</v>
      </c>
      <c r="D392" s="1" t="s">
        <v>996</v>
      </c>
      <c r="E392" s="1" t="s">
        <v>997</v>
      </c>
      <c r="F392" s="4">
        <v>34620</v>
      </c>
      <c r="G392">
        <v>31</v>
      </c>
      <c r="H392" s="1" t="s">
        <v>212</v>
      </c>
      <c r="I392" s="1" t="s">
        <v>1501</v>
      </c>
      <c r="J392" s="1" t="s">
        <v>1501</v>
      </c>
      <c r="K392" s="1">
        <v>8524</v>
      </c>
      <c r="L392" s="1" t="s">
        <v>214</v>
      </c>
      <c r="M392" s="1" t="s">
        <v>1200</v>
      </c>
      <c r="N392" s="1" t="s">
        <v>215</v>
      </c>
      <c r="O392" s="1"/>
      <c r="P392" s="1" t="s">
        <v>212</v>
      </c>
      <c r="Q392" s="1"/>
      <c r="R392" s="1" t="s">
        <v>216</v>
      </c>
      <c r="S392" s="1" t="s">
        <v>217</v>
      </c>
      <c r="T392" s="11">
        <v>46164.055555555555</v>
      </c>
      <c r="U392" s="1" t="s">
        <v>218</v>
      </c>
      <c r="V392" s="11">
        <v>46177.253472222219</v>
      </c>
    </row>
    <row r="393" spans="1:22" x14ac:dyDescent="0.3">
      <c r="A393" s="1">
        <v>337818</v>
      </c>
      <c r="B393" s="1">
        <v>266372</v>
      </c>
      <c r="C393" s="1" t="s">
        <v>1189</v>
      </c>
      <c r="D393" s="1" t="s">
        <v>716</v>
      </c>
      <c r="E393" s="1" t="s">
        <v>998</v>
      </c>
      <c r="F393" s="4">
        <v>31876</v>
      </c>
      <c r="G393">
        <v>38</v>
      </c>
      <c r="H393" s="1" t="s">
        <v>212</v>
      </c>
      <c r="I393" s="1" t="s">
        <v>1501</v>
      </c>
      <c r="J393" s="1" t="s">
        <v>1501</v>
      </c>
      <c r="K393" s="1">
        <v>8524</v>
      </c>
      <c r="L393" s="1" t="s">
        <v>214</v>
      </c>
      <c r="M393" s="1" t="s">
        <v>1212</v>
      </c>
      <c r="N393" s="1" t="s">
        <v>215</v>
      </c>
      <c r="O393" s="1"/>
      <c r="P393" s="1" t="s">
        <v>212</v>
      </c>
      <c r="Q393" s="1"/>
      <c r="R393" s="1" t="s">
        <v>216</v>
      </c>
      <c r="S393" s="1" t="s">
        <v>217</v>
      </c>
      <c r="T393" s="11">
        <v>46164.579861111109</v>
      </c>
      <c r="U393" s="1" t="s">
        <v>218</v>
      </c>
      <c r="V393" s="11">
        <v>46177.149305555555</v>
      </c>
    </row>
    <row r="394" spans="1:22" x14ac:dyDescent="0.3">
      <c r="A394" s="1">
        <v>337825</v>
      </c>
      <c r="B394" s="1">
        <v>266372</v>
      </c>
      <c r="C394" s="1" t="s">
        <v>1188</v>
      </c>
      <c r="D394" s="1" t="s">
        <v>477</v>
      </c>
      <c r="E394" s="1" t="s">
        <v>999</v>
      </c>
      <c r="F394" s="4">
        <v>31895</v>
      </c>
      <c r="G394">
        <v>38</v>
      </c>
      <c r="H394" s="1" t="s">
        <v>212</v>
      </c>
      <c r="I394" s="1" t="s">
        <v>1501</v>
      </c>
      <c r="J394" s="1" t="s">
        <v>1501</v>
      </c>
      <c r="K394" s="1">
        <v>8524</v>
      </c>
      <c r="L394" s="1" t="s">
        <v>214</v>
      </c>
      <c r="M394" s="1" t="s">
        <v>1212</v>
      </c>
      <c r="N394" s="1" t="s">
        <v>215</v>
      </c>
      <c r="O394" s="1"/>
      <c r="P394" s="1" t="s">
        <v>212</v>
      </c>
      <c r="Q394" s="1"/>
      <c r="R394" s="1" t="s">
        <v>216</v>
      </c>
      <c r="S394" s="1" t="s">
        <v>217</v>
      </c>
      <c r="T394" s="11">
        <v>46164.579861111109</v>
      </c>
      <c r="U394" s="1" t="s">
        <v>218</v>
      </c>
      <c r="V394" s="11">
        <v>46177.149305555555</v>
      </c>
    </row>
    <row r="395" spans="1:22" x14ac:dyDescent="0.3">
      <c r="A395" s="1">
        <v>550110</v>
      </c>
      <c r="B395" s="1">
        <v>436905</v>
      </c>
      <c r="C395" s="1" t="s">
        <v>1188</v>
      </c>
      <c r="D395" s="1" t="s">
        <v>1000</v>
      </c>
      <c r="E395" s="1" t="s">
        <v>229</v>
      </c>
      <c r="F395" s="4">
        <v>23004</v>
      </c>
      <c r="G395">
        <v>63</v>
      </c>
      <c r="H395" s="1" t="s">
        <v>212</v>
      </c>
      <c r="I395" s="1" t="s">
        <v>1501</v>
      </c>
      <c r="J395" s="1" t="s">
        <v>1501</v>
      </c>
      <c r="K395" s="1">
        <v>8531</v>
      </c>
      <c r="L395" s="1" t="s">
        <v>261</v>
      </c>
      <c r="M395" s="1" t="s">
        <v>1001</v>
      </c>
      <c r="N395" s="1" t="s">
        <v>215</v>
      </c>
      <c r="O395" s="1"/>
      <c r="P395" s="1" t="s">
        <v>1002</v>
      </c>
      <c r="Q395" s="1" t="s">
        <v>1003</v>
      </c>
      <c r="R395" s="1" t="s">
        <v>216</v>
      </c>
      <c r="S395" s="1" t="s">
        <v>217</v>
      </c>
      <c r="T395" s="11">
        <v>46163.989583333336</v>
      </c>
      <c r="U395" s="1" t="s">
        <v>218</v>
      </c>
      <c r="V395" s="11">
        <v>46178.270833333336</v>
      </c>
    </row>
    <row r="396" spans="1:22" x14ac:dyDescent="0.3">
      <c r="A396" s="1">
        <v>607353</v>
      </c>
      <c r="B396" s="1">
        <v>436905</v>
      </c>
      <c r="C396" s="1" t="s">
        <v>1189</v>
      </c>
      <c r="D396" s="1" t="s">
        <v>1004</v>
      </c>
      <c r="E396" s="1" t="s">
        <v>1005</v>
      </c>
      <c r="F396" s="4">
        <v>25116</v>
      </c>
      <c r="G396">
        <v>57</v>
      </c>
      <c r="H396" s="1" t="s">
        <v>212</v>
      </c>
      <c r="I396" s="1" t="s">
        <v>1501</v>
      </c>
      <c r="J396" s="1" t="s">
        <v>1501</v>
      </c>
      <c r="K396" s="1">
        <v>8531</v>
      </c>
      <c r="L396" s="1" t="s">
        <v>261</v>
      </c>
      <c r="M396" s="1" t="s">
        <v>1001</v>
      </c>
      <c r="N396" s="1" t="s">
        <v>215</v>
      </c>
      <c r="O396" s="1"/>
      <c r="P396" s="1" t="s">
        <v>1002</v>
      </c>
      <c r="Q396" s="1" t="s">
        <v>1003</v>
      </c>
      <c r="R396" s="1" t="s">
        <v>216</v>
      </c>
      <c r="S396" s="1" t="s">
        <v>217</v>
      </c>
      <c r="T396" s="11">
        <v>46163.989583333336</v>
      </c>
      <c r="U396" s="1" t="s">
        <v>218</v>
      </c>
      <c r="V396" s="11">
        <v>46178.270833333336</v>
      </c>
    </row>
    <row r="397" spans="1:22" x14ac:dyDescent="0.3">
      <c r="A397" s="1">
        <v>868985</v>
      </c>
      <c r="B397" s="1">
        <v>702286</v>
      </c>
      <c r="C397" s="1" t="s">
        <v>1188</v>
      </c>
      <c r="D397" s="1" t="s">
        <v>612</v>
      </c>
      <c r="E397" s="1" t="s">
        <v>1006</v>
      </c>
      <c r="F397" s="4">
        <v>20274</v>
      </c>
      <c r="G397">
        <v>70</v>
      </c>
      <c r="H397" s="1" t="s">
        <v>212</v>
      </c>
      <c r="I397" s="1" t="s">
        <v>1506</v>
      </c>
      <c r="J397" s="1" t="s">
        <v>1506</v>
      </c>
      <c r="K397" s="1">
        <v>8529</v>
      </c>
      <c r="L397" s="1" t="s">
        <v>261</v>
      </c>
      <c r="M397" s="1" t="s">
        <v>1007</v>
      </c>
      <c r="N397" s="1" t="s">
        <v>215</v>
      </c>
      <c r="O397" s="1"/>
      <c r="P397" s="1" t="s">
        <v>1008</v>
      </c>
      <c r="Q397" s="1" t="s">
        <v>1009</v>
      </c>
      <c r="R397" s="1" t="s">
        <v>216</v>
      </c>
      <c r="S397" s="1" t="s">
        <v>217</v>
      </c>
      <c r="T397" s="11">
        <v>46160.947916666664</v>
      </c>
      <c r="U397" s="1" t="s">
        <v>218</v>
      </c>
      <c r="V397" s="11">
        <v>46173.607638888891</v>
      </c>
    </row>
    <row r="398" spans="1:22" x14ac:dyDescent="0.3">
      <c r="A398" s="1">
        <v>869123</v>
      </c>
      <c r="B398" s="1">
        <v>702286</v>
      </c>
      <c r="C398" s="1" t="s">
        <v>1189</v>
      </c>
      <c r="D398" s="1" t="s">
        <v>1010</v>
      </c>
      <c r="E398" s="1" t="s">
        <v>1006</v>
      </c>
      <c r="F398" s="4">
        <v>22485</v>
      </c>
      <c r="G398">
        <v>64</v>
      </c>
      <c r="H398" s="1" t="s">
        <v>212</v>
      </c>
      <c r="I398" s="1" t="s">
        <v>1506</v>
      </c>
      <c r="J398" s="1" t="s">
        <v>1506</v>
      </c>
      <c r="K398" s="1">
        <v>8529</v>
      </c>
      <c r="L398" s="1" t="s">
        <v>261</v>
      </c>
      <c r="M398" s="1" t="s">
        <v>1007</v>
      </c>
      <c r="N398" s="1" t="s">
        <v>215</v>
      </c>
      <c r="O398" s="1"/>
      <c r="P398" s="1" t="s">
        <v>1008</v>
      </c>
      <c r="Q398" s="1" t="s">
        <v>1009</v>
      </c>
      <c r="R398" s="1" t="s">
        <v>216</v>
      </c>
      <c r="S398" s="1" t="s">
        <v>217</v>
      </c>
      <c r="T398" s="11">
        <v>46160.947916666664</v>
      </c>
      <c r="U398" s="1" t="s">
        <v>218</v>
      </c>
      <c r="V398" s="11">
        <v>46173.607638888891</v>
      </c>
    </row>
    <row r="399" spans="1:22" x14ac:dyDescent="0.3">
      <c r="A399" s="1">
        <v>801042</v>
      </c>
      <c r="B399" s="1">
        <v>656173</v>
      </c>
      <c r="C399" s="1" t="s">
        <v>1189</v>
      </c>
      <c r="D399" s="1" t="s">
        <v>1011</v>
      </c>
      <c r="E399" s="1" t="s">
        <v>998</v>
      </c>
      <c r="F399" s="4">
        <v>33211</v>
      </c>
      <c r="G399">
        <v>35</v>
      </c>
      <c r="H399" s="1" t="s">
        <v>212</v>
      </c>
      <c r="I399" s="1" t="s">
        <v>1501</v>
      </c>
      <c r="J399" s="1" t="s">
        <v>1501</v>
      </c>
      <c r="K399" s="1">
        <v>8531</v>
      </c>
      <c r="L399" s="1" t="s">
        <v>214</v>
      </c>
      <c r="M399" s="1" t="s">
        <v>1212</v>
      </c>
      <c r="N399" s="1" t="s">
        <v>215</v>
      </c>
      <c r="O399" s="1"/>
      <c r="P399" s="1" t="s">
        <v>212</v>
      </c>
      <c r="Q399" s="1"/>
      <c r="R399" s="1" t="s">
        <v>216</v>
      </c>
      <c r="S399" s="1" t="s">
        <v>217</v>
      </c>
      <c r="T399" s="11">
        <v>46164.579861111109</v>
      </c>
      <c r="U399" s="1" t="s">
        <v>218</v>
      </c>
      <c r="V399" s="11">
        <v>46177.149305555555</v>
      </c>
    </row>
    <row r="400" spans="1:22" x14ac:dyDescent="0.3">
      <c r="A400" s="1">
        <v>811317</v>
      </c>
      <c r="B400" s="1">
        <v>656173</v>
      </c>
      <c r="C400" s="1" t="s">
        <v>1188</v>
      </c>
      <c r="D400" s="1" t="s">
        <v>1012</v>
      </c>
      <c r="E400" s="1" t="s">
        <v>1013</v>
      </c>
      <c r="F400" s="4">
        <v>32476</v>
      </c>
      <c r="G400">
        <v>37</v>
      </c>
      <c r="H400" s="1" t="s">
        <v>212</v>
      </c>
      <c r="I400" s="1" t="s">
        <v>1501</v>
      </c>
      <c r="J400" s="1" t="s">
        <v>1501</v>
      </c>
      <c r="K400" s="1">
        <v>8531</v>
      </c>
      <c r="L400" s="1" t="s">
        <v>214</v>
      </c>
      <c r="M400" s="1" t="s">
        <v>1212</v>
      </c>
      <c r="N400" s="1" t="s">
        <v>215</v>
      </c>
      <c r="O400" s="1"/>
      <c r="P400" s="1" t="s">
        <v>212</v>
      </c>
      <c r="Q400" s="1"/>
      <c r="R400" s="1" t="s">
        <v>216</v>
      </c>
      <c r="S400" s="1" t="s">
        <v>217</v>
      </c>
      <c r="T400" s="11">
        <v>46164.579861111109</v>
      </c>
      <c r="U400" s="1" t="s">
        <v>218</v>
      </c>
      <c r="V400" s="11">
        <v>46177.149305555555</v>
      </c>
    </row>
    <row r="401" spans="1:22" x14ac:dyDescent="0.3">
      <c r="A401" s="1">
        <v>334673</v>
      </c>
      <c r="B401" s="1">
        <v>263946</v>
      </c>
      <c r="C401" s="1" t="s">
        <v>1189</v>
      </c>
      <c r="D401" s="1" t="s">
        <v>570</v>
      </c>
      <c r="E401" s="1" t="s">
        <v>1014</v>
      </c>
      <c r="F401" s="4">
        <v>31790</v>
      </c>
      <c r="G401">
        <v>39</v>
      </c>
      <c r="H401" s="1" t="s">
        <v>212</v>
      </c>
      <c r="I401" s="1" t="s">
        <v>1501</v>
      </c>
      <c r="J401" s="1" t="s">
        <v>1501</v>
      </c>
      <c r="K401" s="1">
        <v>8525</v>
      </c>
      <c r="L401" s="1" t="s">
        <v>214</v>
      </c>
      <c r="M401" s="1" t="s">
        <v>1190</v>
      </c>
      <c r="N401" s="1" t="s">
        <v>215</v>
      </c>
      <c r="O401" s="1"/>
      <c r="P401" s="1" t="s">
        <v>212</v>
      </c>
      <c r="Q401" s="1"/>
      <c r="R401" s="1" t="s">
        <v>216</v>
      </c>
      <c r="S401" s="1" t="s">
        <v>218</v>
      </c>
      <c r="T401" s="11">
        <v>46160.392361111109</v>
      </c>
      <c r="U401" s="1" t="s">
        <v>218</v>
      </c>
      <c r="V401" s="11">
        <v>46173.128472222219</v>
      </c>
    </row>
    <row r="402" spans="1:22" x14ac:dyDescent="0.3">
      <c r="A402" s="1">
        <v>343966</v>
      </c>
      <c r="B402" s="1">
        <v>263946</v>
      </c>
      <c r="C402" s="1" t="s">
        <v>1189</v>
      </c>
      <c r="D402" s="1" t="s">
        <v>1015</v>
      </c>
      <c r="E402" s="1" t="s">
        <v>271</v>
      </c>
      <c r="F402" s="4">
        <v>20900</v>
      </c>
      <c r="G402">
        <v>68</v>
      </c>
      <c r="H402" s="1" t="s">
        <v>212</v>
      </c>
      <c r="I402" s="1" t="s">
        <v>1501</v>
      </c>
      <c r="J402" s="1" t="s">
        <v>1501</v>
      </c>
      <c r="K402" s="1">
        <v>8525</v>
      </c>
      <c r="L402" s="1" t="s">
        <v>214</v>
      </c>
      <c r="M402" s="1" t="s">
        <v>1190</v>
      </c>
      <c r="N402" s="1" t="s">
        <v>215</v>
      </c>
      <c r="O402" s="1"/>
      <c r="P402" s="1" t="s">
        <v>212</v>
      </c>
      <c r="Q402" s="1"/>
      <c r="R402" s="1" t="s">
        <v>216</v>
      </c>
      <c r="S402" s="1" t="s">
        <v>218</v>
      </c>
      <c r="T402" s="11">
        <v>46160.392361111109</v>
      </c>
      <c r="U402" s="1" t="s">
        <v>218</v>
      </c>
      <c r="V402" s="11">
        <v>46173.128472222219</v>
      </c>
    </row>
    <row r="403" spans="1:22" x14ac:dyDescent="0.3">
      <c r="A403" s="1">
        <v>623871</v>
      </c>
      <c r="B403" s="1">
        <v>263946</v>
      </c>
      <c r="C403" s="1" t="s">
        <v>1189</v>
      </c>
      <c r="D403" s="1" t="s">
        <v>1016</v>
      </c>
      <c r="E403" s="1" t="s">
        <v>1017</v>
      </c>
      <c r="F403" s="4">
        <v>30636</v>
      </c>
      <c r="G403">
        <v>42</v>
      </c>
      <c r="H403" s="1" t="s">
        <v>212</v>
      </c>
      <c r="I403" s="1" t="s">
        <v>1501</v>
      </c>
      <c r="J403" s="1" t="s">
        <v>1501</v>
      </c>
      <c r="K403" s="1">
        <v>8525</v>
      </c>
      <c r="L403" s="1" t="s">
        <v>214</v>
      </c>
      <c r="M403" s="1" t="s">
        <v>1190</v>
      </c>
      <c r="N403" s="1" t="s">
        <v>215</v>
      </c>
      <c r="O403" s="1"/>
      <c r="P403" s="1" t="s">
        <v>212</v>
      </c>
      <c r="Q403" s="1"/>
      <c r="R403" s="1" t="s">
        <v>216</v>
      </c>
      <c r="S403" s="1" t="s">
        <v>218</v>
      </c>
      <c r="T403" s="11">
        <v>46160.392361111109</v>
      </c>
      <c r="U403" s="1" t="s">
        <v>218</v>
      </c>
      <c r="V403" s="11">
        <v>46173.128472222219</v>
      </c>
    </row>
    <row r="404" spans="1:22" x14ac:dyDescent="0.3">
      <c r="A404" s="1">
        <v>548952</v>
      </c>
      <c r="B404" s="1">
        <v>561161</v>
      </c>
      <c r="C404" s="1" t="s">
        <v>1189</v>
      </c>
      <c r="D404" s="1" t="s">
        <v>246</v>
      </c>
      <c r="E404" s="1" t="s">
        <v>774</v>
      </c>
      <c r="F404" s="4">
        <v>28942</v>
      </c>
      <c r="G404">
        <v>46</v>
      </c>
      <c r="H404" s="1" t="s">
        <v>212</v>
      </c>
      <c r="I404" s="1" t="s">
        <v>1501</v>
      </c>
      <c r="J404" s="1" t="s">
        <v>1501</v>
      </c>
      <c r="K404" s="1">
        <v>8540</v>
      </c>
      <c r="L404" s="1" t="s">
        <v>261</v>
      </c>
      <c r="M404" s="1" t="s">
        <v>1018</v>
      </c>
      <c r="N404" s="1" t="s">
        <v>215</v>
      </c>
      <c r="O404" s="1"/>
      <c r="P404" s="1" t="s">
        <v>1019</v>
      </c>
      <c r="Q404" s="1" t="s">
        <v>1020</v>
      </c>
      <c r="R404" s="1" t="s">
        <v>216</v>
      </c>
      <c r="S404" s="1" t="s">
        <v>217</v>
      </c>
      <c r="T404" s="11">
        <v>46163.975694444445</v>
      </c>
      <c r="U404" s="1" t="s">
        <v>218</v>
      </c>
      <c r="V404" s="11">
        <v>46173.131944444445</v>
      </c>
    </row>
    <row r="405" spans="1:22" x14ac:dyDescent="0.3">
      <c r="A405" s="1">
        <v>690538</v>
      </c>
      <c r="B405" s="1">
        <v>561161</v>
      </c>
      <c r="C405" s="1" t="s">
        <v>1188</v>
      </c>
      <c r="D405" s="1" t="s">
        <v>1021</v>
      </c>
      <c r="E405" s="1" t="s">
        <v>451</v>
      </c>
      <c r="F405" s="4">
        <v>27388</v>
      </c>
      <c r="G405">
        <v>51</v>
      </c>
      <c r="H405" s="1" t="s">
        <v>212</v>
      </c>
      <c r="I405" s="1" t="s">
        <v>1501</v>
      </c>
      <c r="J405" s="1" t="s">
        <v>1501</v>
      </c>
      <c r="K405" s="1">
        <v>8540</v>
      </c>
      <c r="L405" s="1" t="s">
        <v>261</v>
      </c>
      <c r="M405" s="1" t="s">
        <v>1018</v>
      </c>
      <c r="N405" s="1" t="s">
        <v>215</v>
      </c>
      <c r="O405" s="1"/>
      <c r="P405" s="1" t="s">
        <v>1019</v>
      </c>
      <c r="Q405" s="1" t="s">
        <v>1020</v>
      </c>
      <c r="R405" s="1" t="s">
        <v>216</v>
      </c>
      <c r="S405" s="1" t="s">
        <v>217</v>
      </c>
      <c r="T405" s="11">
        <v>46163.975694444445</v>
      </c>
      <c r="U405" s="1" t="s">
        <v>218</v>
      </c>
      <c r="V405" s="11">
        <v>46173.131944444445</v>
      </c>
    </row>
    <row r="406" spans="1:22" x14ac:dyDescent="0.3">
      <c r="A406" s="1">
        <v>690581</v>
      </c>
      <c r="B406" s="1">
        <v>561161</v>
      </c>
      <c r="C406" s="1" t="s">
        <v>1189</v>
      </c>
      <c r="D406" s="1" t="s">
        <v>1022</v>
      </c>
      <c r="E406" s="1" t="s">
        <v>774</v>
      </c>
      <c r="F406" s="4">
        <v>29288</v>
      </c>
      <c r="G406">
        <v>45</v>
      </c>
      <c r="H406" s="1" t="s">
        <v>212</v>
      </c>
      <c r="I406" s="1" t="s">
        <v>1501</v>
      </c>
      <c r="J406" s="1" t="s">
        <v>1501</v>
      </c>
      <c r="K406" s="1">
        <v>8540</v>
      </c>
      <c r="L406" s="1" t="s">
        <v>261</v>
      </c>
      <c r="M406" s="1" t="s">
        <v>1018</v>
      </c>
      <c r="N406" s="1" t="s">
        <v>215</v>
      </c>
      <c r="O406" s="1"/>
      <c r="P406" s="1" t="s">
        <v>1019</v>
      </c>
      <c r="Q406" s="1" t="s">
        <v>1020</v>
      </c>
      <c r="R406" s="1" t="s">
        <v>216</v>
      </c>
      <c r="S406" s="1" t="s">
        <v>217</v>
      </c>
      <c r="T406" s="11">
        <v>46163.975694444445</v>
      </c>
      <c r="U406" s="1" t="s">
        <v>218</v>
      </c>
      <c r="V406" s="11">
        <v>46173.131944444445</v>
      </c>
    </row>
    <row r="407" spans="1:22" x14ac:dyDescent="0.3">
      <c r="A407" s="1">
        <v>339090</v>
      </c>
      <c r="B407" s="1">
        <v>573082</v>
      </c>
      <c r="C407" s="1" t="s">
        <v>1188</v>
      </c>
      <c r="D407" s="1" t="s">
        <v>1023</v>
      </c>
      <c r="E407" s="1" t="s">
        <v>1024</v>
      </c>
      <c r="F407" s="4">
        <v>24533</v>
      </c>
      <c r="G407">
        <v>59</v>
      </c>
      <c r="H407" s="1" t="s">
        <v>212</v>
      </c>
      <c r="I407" s="1" t="s">
        <v>1501</v>
      </c>
      <c r="J407" s="1" t="s">
        <v>1501</v>
      </c>
      <c r="K407" s="1">
        <v>8540</v>
      </c>
      <c r="L407" s="1" t="s">
        <v>261</v>
      </c>
      <c r="M407" s="1" t="s">
        <v>1025</v>
      </c>
      <c r="N407" s="1" t="s">
        <v>215</v>
      </c>
      <c r="O407" s="1"/>
      <c r="P407" s="1" t="s">
        <v>1026</v>
      </c>
      <c r="Q407" s="1" t="s">
        <v>1027</v>
      </c>
      <c r="R407" s="1" t="s">
        <v>216</v>
      </c>
      <c r="S407" s="1" t="s">
        <v>218</v>
      </c>
      <c r="T407" s="11">
        <v>46163.888888888891</v>
      </c>
      <c r="U407" s="1" t="s">
        <v>218</v>
      </c>
      <c r="V407" s="11">
        <v>46173.333333333336</v>
      </c>
    </row>
    <row r="408" spans="1:22" x14ac:dyDescent="0.3">
      <c r="A408" s="1">
        <v>705789</v>
      </c>
      <c r="B408" s="1">
        <v>573082</v>
      </c>
      <c r="C408" s="1" t="s">
        <v>1189</v>
      </c>
      <c r="D408" s="1" t="s">
        <v>1028</v>
      </c>
      <c r="E408" s="1" t="s">
        <v>1029</v>
      </c>
      <c r="F408" s="4">
        <v>26852</v>
      </c>
      <c r="G408">
        <v>52</v>
      </c>
      <c r="H408" s="1" t="s">
        <v>212</v>
      </c>
      <c r="I408" s="1" t="s">
        <v>1501</v>
      </c>
      <c r="J408" s="1" t="s">
        <v>1501</v>
      </c>
      <c r="K408" s="1">
        <v>8540</v>
      </c>
      <c r="L408" s="1" t="s">
        <v>261</v>
      </c>
      <c r="M408" s="1" t="s">
        <v>1025</v>
      </c>
      <c r="N408" s="1" t="s">
        <v>215</v>
      </c>
      <c r="O408" s="1"/>
      <c r="P408" s="1" t="s">
        <v>1026</v>
      </c>
      <c r="Q408" s="1" t="s">
        <v>1027</v>
      </c>
      <c r="R408" s="1" t="s">
        <v>216</v>
      </c>
      <c r="S408" s="1" t="s">
        <v>218</v>
      </c>
      <c r="T408" s="11">
        <v>46163.888888888891</v>
      </c>
      <c r="U408" s="1" t="s">
        <v>218</v>
      </c>
      <c r="V408" s="11">
        <v>46173.333333333336</v>
      </c>
    </row>
    <row r="409" spans="1:22" x14ac:dyDescent="0.3">
      <c r="A409" s="1">
        <v>423776</v>
      </c>
      <c r="B409" s="1">
        <v>331194</v>
      </c>
      <c r="C409" s="1" t="s">
        <v>1189</v>
      </c>
      <c r="D409" s="1" t="s">
        <v>367</v>
      </c>
      <c r="E409" s="1" t="s">
        <v>1030</v>
      </c>
      <c r="F409" s="4">
        <v>32711</v>
      </c>
      <c r="G409">
        <v>36</v>
      </c>
      <c r="H409" s="1" t="s">
        <v>212</v>
      </c>
      <c r="I409" s="1" t="s">
        <v>1507</v>
      </c>
      <c r="J409" s="1" t="s">
        <v>1507</v>
      </c>
      <c r="K409" s="1">
        <v>8544</v>
      </c>
      <c r="L409" s="1" t="s">
        <v>261</v>
      </c>
      <c r="M409" s="1" t="s">
        <v>1031</v>
      </c>
      <c r="N409" s="1" t="s">
        <v>215</v>
      </c>
      <c r="O409" s="1"/>
      <c r="P409" s="1" t="s">
        <v>1032</v>
      </c>
      <c r="Q409" s="1"/>
      <c r="R409" s="1" t="s">
        <v>216</v>
      </c>
      <c r="S409" s="1" t="s">
        <v>217</v>
      </c>
      <c r="T409" s="11">
        <v>46163.975694444445</v>
      </c>
      <c r="U409" s="1" t="s">
        <v>218</v>
      </c>
      <c r="V409" s="11">
        <v>46173.791666666664</v>
      </c>
    </row>
    <row r="410" spans="1:22" x14ac:dyDescent="0.3">
      <c r="A410" s="1">
        <v>886283</v>
      </c>
      <c r="B410" s="1">
        <v>716717</v>
      </c>
      <c r="C410" s="1" t="s">
        <v>1188</v>
      </c>
      <c r="D410" s="1" t="s">
        <v>244</v>
      </c>
      <c r="E410" s="1" t="s">
        <v>856</v>
      </c>
      <c r="F410" s="4">
        <v>33905</v>
      </c>
      <c r="G410">
        <v>33</v>
      </c>
      <c r="H410" s="1" t="s">
        <v>212</v>
      </c>
      <c r="I410" s="1" t="s">
        <v>1501</v>
      </c>
      <c r="J410" s="1" t="s">
        <v>1501</v>
      </c>
      <c r="K410" s="1">
        <v>8530</v>
      </c>
      <c r="L410" s="1" t="s">
        <v>214</v>
      </c>
      <c r="M410" s="1" t="s">
        <v>1193</v>
      </c>
      <c r="N410" s="1" t="s">
        <v>215</v>
      </c>
      <c r="O410" s="1"/>
      <c r="P410" s="1" t="s">
        <v>212</v>
      </c>
      <c r="Q410" s="1"/>
      <c r="R410" s="1" t="s">
        <v>216</v>
      </c>
      <c r="S410" s="1" t="s">
        <v>218</v>
      </c>
      <c r="T410" s="11">
        <v>46160.739583333336</v>
      </c>
      <c r="U410" s="1" t="s">
        <v>218</v>
      </c>
      <c r="V410" s="11">
        <v>46172.350694444445</v>
      </c>
    </row>
    <row r="411" spans="1:22" x14ac:dyDescent="0.3">
      <c r="A411" s="1">
        <v>867417</v>
      </c>
      <c r="B411" s="1">
        <v>701095</v>
      </c>
      <c r="C411" s="1" t="s">
        <v>1188</v>
      </c>
      <c r="D411" s="1" t="s">
        <v>1033</v>
      </c>
      <c r="E411" s="1" t="s">
        <v>1034</v>
      </c>
      <c r="F411" s="4">
        <v>33448</v>
      </c>
      <c r="G411">
        <v>34</v>
      </c>
      <c r="H411" s="1" t="s">
        <v>212</v>
      </c>
      <c r="I411" s="1" t="s">
        <v>1501</v>
      </c>
      <c r="J411" s="1" t="s">
        <v>1501</v>
      </c>
      <c r="K411" s="1">
        <v>8535</v>
      </c>
      <c r="L411" s="1" t="s">
        <v>214</v>
      </c>
      <c r="M411" s="1" t="s">
        <v>1191</v>
      </c>
      <c r="N411" s="1" t="s">
        <v>215</v>
      </c>
      <c r="O411" s="1"/>
      <c r="P411" s="1" t="s">
        <v>212</v>
      </c>
      <c r="Q411" s="1"/>
      <c r="R411" s="1" t="s">
        <v>216</v>
      </c>
      <c r="S411" s="1" t="s">
        <v>218</v>
      </c>
      <c r="T411" s="11">
        <v>46163.236111111109</v>
      </c>
      <c r="U411" s="1" t="s">
        <v>218</v>
      </c>
      <c r="V411" s="11">
        <v>46175.930555555555</v>
      </c>
    </row>
    <row r="412" spans="1:22" x14ac:dyDescent="0.3">
      <c r="A412" s="1">
        <v>877091</v>
      </c>
      <c r="B412" s="1">
        <v>701095</v>
      </c>
      <c r="C412" s="1" t="s">
        <v>1189</v>
      </c>
      <c r="D412" s="1" t="s">
        <v>1035</v>
      </c>
      <c r="E412" s="1" t="s">
        <v>1036</v>
      </c>
      <c r="F412" s="4">
        <v>33241</v>
      </c>
      <c r="G412">
        <v>35</v>
      </c>
      <c r="H412" s="1" t="s">
        <v>212</v>
      </c>
      <c r="I412" s="1" t="s">
        <v>1501</v>
      </c>
      <c r="J412" s="1" t="s">
        <v>1501</v>
      </c>
      <c r="K412" s="1">
        <v>8535</v>
      </c>
      <c r="L412" s="1" t="s">
        <v>214</v>
      </c>
      <c r="M412" s="1" t="s">
        <v>1191</v>
      </c>
      <c r="N412" s="1" t="s">
        <v>215</v>
      </c>
      <c r="O412" s="1"/>
      <c r="P412" s="1" t="s">
        <v>212</v>
      </c>
      <c r="Q412" s="1"/>
      <c r="R412" s="1" t="s">
        <v>216</v>
      </c>
      <c r="S412" s="1" t="s">
        <v>218</v>
      </c>
      <c r="T412" s="11">
        <v>46163.236111111109</v>
      </c>
      <c r="U412" s="1" t="s">
        <v>218</v>
      </c>
      <c r="V412" s="11">
        <v>46175.930555555555</v>
      </c>
    </row>
    <row r="413" spans="1:22" x14ac:dyDescent="0.3">
      <c r="A413" s="1">
        <v>615177</v>
      </c>
      <c r="B413" s="1">
        <v>496481</v>
      </c>
      <c r="C413" s="1" t="s">
        <v>1188</v>
      </c>
      <c r="D413" s="1" t="s">
        <v>280</v>
      </c>
      <c r="E413" s="1" t="s">
        <v>1037</v>
      </c>
      <c r="F413" s="4">
        <v>31176</v>
      </c>
      <c r="G413">
        <v>40</v>
      </c>
      <c r="H413" s="1" t="s">
        <v>212</v>
      </c>
      <c r="I413" s="1" t="s">
        <v>1501</v>
      </c>
      <c r="J413" s="1" t="s">
        <v>1501</v>
      </c>
      <c r="K413" s="1">
        <v>8712</v>
      </c>
      <c r="L413" s="1" t="s">
        <v>261</v>
      </c>
      <c r="M413" s="1" t="s">
        <v>1038</v>
      </c>
      <c r="N413" s="1" t="s">
        <v>215</v>
      </c>
      <c r="O413" s="1"/>
      <c r="P413" s="1" t="s">
        <v>1039</v>
      </c>
      <c r="Q413" s="1" t="s">
        <v>1040</v>
      </c>
      <c r="R413" s="1" t="s">
        <v>216</v>
      </c>
      <c r="S413" s="1" t="s">
        <v>217</v>
      </c>
      <c r="T413" s="11">
        <v>46163.986111111109</v>
      </c>
      <c r="U413" s="1" t="s">
        <v>218</v>
      </c>
      <c r="V413" s="11">
        <v>46173.347222222219</v>
      </c>
    </row>
    <row r="414" spans="1:22" x14ac:dyDescent="0.3">
      <c r="A414" s="1">
        <v>369335</v>
      </c>
      <c r="B414" s="1">
        <v>577480</v>
      </c>
      <c r="C414" s="1" t="s">
        <v>1189</v>
      </c>
      <c r="D414" s="1" t="s">
        <v>281</v>
      </c>
      <c r="E414" s="1" t="s">
        <v>1041</v>
      </c>
      <c r="F414" s="4">
        <v>27255</v>
      </c>
      <c r="G414">
        <v>51</v>
      </c>
      <c r="H414" s="1" t="s">
        <v>212</v>
      </c>
      <c r="I414" s="1" t="s">
        <v>1501</v>
      </c>
      <c r="J414" s="1" t="s">
        <v>1501</v>
      </c>
      <c r="K414" s="1">
        <v>8535</v>
      </c>
      <c r="L414" s="1" t="s">
        <v>214</v>
      </c>
      <c r="M414" s="1" t="s">
        <v>1191</v>
      </c>
      <c r="N414" s="1" t="s">
        <v>215</v>
      </c>
      <c r="O414" s="1"/>
      <c r="P414" s="1" t="s">
        <v>212</v>
      </c>
      <c r="Q414" s="1"/>
      <c r="R414" s="1" t="s">
        <v>216</v>
      </c>
      <c r="S414" s="1" t="s">
        <v>218</v>
      </c>
      <c r="T414" s="11">
        <v>46163.236111111109</v>
      </c>
      <c r="U414" s="1" t="s">
        <v>218</v>
      </c>
      <c r="V414" s="11">
        <v>46175.930555555555</v>
      </c>
    </row>
    <row r="415" spans="1:22" x14ac:dyDescent="0.3">
      <c r="A415" s="1">
        <v>375321</v>
      </c>
      <c r="B415" s="1">
        <v>577480</v>
      </c>
      <c r="C415" s="1" t="s">
        <v>1189</v>
      </c>
      <c r="D415" s="1" t="s">
        <v>1042</v>
      </c>
      <c r="E415" s="1" t="s">
        <v>1041</v>
      </c>
      <c r="F415" s="4">
        <v>39938</v>
      </c>
      <c r="G415">
        <v>16</v>
      </c>
      <c r="H415" s="1" t="s">
        <v>212</v>
      </c>
      <c r="I415" s="1" t="s">
        <v>1501</v>
      </c>
      <c r="J415" s="1" t="s">
        <v>1501</v>
      </c>
      <c r="K415" s="1">
        <v>8535</v>
      </c>
      <c r="L415" s="1" t="s">
        <v>214</v>
      </c>
      <c r="M415" s="1" t="s">
        <v>1191</v>
      </c>
      <c r="N415" s="1" t="s">
        <v>215</v>
      </c>
      <c r="O415" s="1"/>
      <c r="P415" s="1" t="s">
        <v>212</v>
      </c>
      <c r="Q415" s="1"/>
      <c r="R415" s="1" t="s">
        <v>216</v>
      </c>
      <c r="S415" s="1" t="s">
        <v>218</v>
      </c>
      <c r="T415" s="11">
        <v>46163.236111111109</v>
      </c>
      <c r="U415" s="1" t="s">
        <v>218</v>
      </c>
      <c r="V415" s="11">
        <v>46175.930555555555</v>
      </c>
    </row>
    <row r="416" spans="1:22" x14ac:dyDescent="0.3">
      <c r="A416" s="1">
        <v>50920</v>
      </c>
      <c r="B416" s="1">
        <v>43060</v>
      </c>
      <c r="C416" s="1" t="s">
        <v>1189</v>
      </c>
      <c r="D416" s="1" t="s">
        <v>1043</v>
      </c>
      <c r="E416" s="1" t="s">
        <v>1044</v>
      </c>
      <c r="F416" s="4">
        <v>25952</v>
      </c>
      <c r="G416">
        <v>55</v>
      </c>
      <c r="H416" s="1" t="s">
        <v>212</v>
      </c>
      <c r="I416" s="1" t="s">
        <v>1501</v>
      </c>
      <c r="J416" s="1" t="s">
        <v>1501</v>
      </c>
      <c r="K416" s="1">
        <v>8529</v>
      </c>
      <c r="L416" s="1" t="s">
        <v>214</v>
      </c>
      <c r="M416" s="1" t="s">
        <v>1190</v>
      </c>
      <c r="N416" s="1" t="s">
        <v>215</v>
      </c>
      <c r="O416" s="1"/>
      <c r="P416" s="1" t="s">
        <v>212</v>
      </c>
      <c r="Q416" s="1"/>
      <c r="R416" s="1" t="s">
        <v>216</v>
      </c>
      <c r="S416" s="1" t="s">
        <v>218</v>
      </c>
      <c r="T416" s="11">
        <v>46160.392361111109</v>
      </c>
      <c r="U416" s="1" t="s">
        <v>218</v>
      </c>
      <c r="V416" s="11">
        <v>46173.128472222219</v>
      </c>
    </row>
    <row r="417" spans="1:22" x14ac:dyDescent="0.3">
      <c r="A417" s="1">
        <v>847443</v>
      </c>
      <c r="B417" s="1">
        <v>43060</v>
      </c>
      <c r="C417" s="1" t="s">
        <v>1188</v>
      </c>
      <c r="D417" s="1" t="s">
        <v>240</v>
      </c>
      <c r="E417" s="1" t="s">
        <v>1045</v>
      </c>
      <c r="F417" s="4">
        <v>38852</v>
      </c>
      <c r="G417">
        <v>19</v>
      </c>
      <c r="H417" s="1" t="s">
        <v>212</v>
      </c>
      <c r="I417" s="1" t="s">
        <v>1501</v>
      </c>
      <c r="J417" s="1" t="s">
        <v>1501</v>
      </c>
      <c r="K417" s="1">
        <v>8529</v>
      </c>
      <c r="L417" s="1" t="s">
        <v>214</v>
      </c>
      <c r="M417" s="1" t="s">
        <v>1190</v>
      </c>
      <c r="N417" s="1" t="s">
        <v>215</v>
      </c>
      <c r="O417" s="1"/>
      <c r="P417" s="1" t="s">
        <v>212</v>
      </c>
      <c r="Q417" s="1"/>
      <c r="R417" s="1" t="s">
        <v>216</v>
      </c>
      <c r="S417" s="1" t="s">
        <v>218</v>
      </c>
      <c r="T417" s="11">
        <v>46160.392361111109</v>
      </c>
      <c r="U417" s="1" t="s">
        <v>218</v>
      </c>
      <c r="V417" s="11">
        <v>46173.128472222219</v>
      </c>
    </row>
    <row r="418" spans="1:22" x14ac:dyDescent="0.3">
      <c r="A418" s="1">
        <v>840612</v>
      </c>
      <c r="B418" s="1">
        <v>681116</v>
      </c>
      <c r="C418" s="1" t="s">
        <v>1188</v>
      </c>
      <c r="D418" s="1" t="s">
        <v>240</v>
      </c>
      <c r="E418" s="1" t="s">
        <v>271</v>
      </c>
      <c r="F418" s="4">
        <v>28422</v>
      </c>
      <c r="G418">
        <v>48</v>
      </c>
      <c r="H418" s="1" t="s">
        <v>212</v>
      </c>
      <c r="I418" s="1" t="s">
        <v>1501</v>
      </c>
      <c r="J418" s="1" t="s">
        <v>1501</v>
      </c>
      <c r="K418" s="1">
        <v>8530</v>
      </c>
      <c r="L418" s="1" t="s">
        <v>214</v>
      </c>
      <c r="M418" s="1" t="s">
        <v>1197</v>
      </c>
      <c r="N418" s="1" t="s">
        <v>215</v>
      </c>
      <c r="O418" s="1"/>
      <c r="P418" s="1" t="s">
        <v>212</v>
      </c>
      <c r="Q418" s="1"/>
      <c r="R418" s="1" t="s">
        <v>216</v>
      </c>
      <c r="S418" s="1" t="s">
        <v>217</v>
      </c>
      <c r="T418" s="11">
        <v>46160.663194444445</v>
      </c>
      <c r="U418" s="1" t="s">
        <v>218</v>
      </c>
      <c r="V418" s="11">
        <v>46172.392361111109</v>
      </c>
    </row>
    <row r="419" spans="1:22" x14ac:dyDescent="0.3">
      <c r="A419" s="1">
        <v>842476</v>
      </c>
      <c r="B419" s="1">
        <v>681116</v>
      </c>
      <c r="C419" s="1" t="s">
        <v>1189</v>
      </c>
      <c r="D419" s="1" t="s">
        <v>1046</v>
      </c>
      <c r="E419" s="1" t="s">
        <v>278</v>
      </c>
      <c r="F419" s="4">
        <v>29199</v>
      </c>
      <c r="G419">
        <v>46</v>
      </c>
      <c r="H419" s="1" t="s">
        <v>212</v>
      </c>
      <c r="I419" s="1" t="s">
        <v>1501</v>
      </c>
      <c r="J419" s="1" t="s">
        <v>1501</v>
      </c>
      <c r="K419" s="1">
        <v>8530</v>
      </c>
      <c r="L419" s="1" t="s">
        <v>214</v>
      </c>
      <c r="M419" s="1" t="s">
        <v>1197</v>
      </c>
      <c r="N419" s="1" t="s">
        <v>215</v>
      </c>
      <c r="O419" s="1"/>
      <c r="P419" s="1" t="s">
        <v>212</v>
      </c>
      <c r="Q419" s="1"/>
      <c r="R419" s="1" t="s">
        <v>216</v>
      </c>
      <c r="S419" s="1" t="s">
        <v>217</v>
      </c>
      <c r="T419" s="11">
        <v>46160.663194444445</v>
      </c>
      <c r="U419" s="1" t="s">
        <v>218</v>
      </c>
      <c r="V419" s="11">
        <v>46172.392361111109</v>
      </c>
    </row>
    <row r="420" spans="1:22" x14ac:dyDescent="0.3">
      <c r="A420" s="1">
        <v>815351</v>
      </c>
      <c r="B420" s="1">
        <v>659409</v>
      </c>
      <c r="C420" s="1" t="s">
        <v>1189</v>
      </c>
      <c r="D420" s="1" t="s">
        <v>1047</v>
      </c>
      <c r="E420" s="1" t="s">
        <v>1048</v>
      </c>
      <c r="F420" s="4">
        <v>30651</v>
      </c>
      <c r="G420">
        <v>42</v>
      </c>
      <c r="H420" s="1" t="s">
        <v>212</v>
      </c>
      <c r="I420" s="1" t="s">
        <v>1501</v>
      </c>
      <c r="J420" s="1" t="s">
        <v>1501</v>
      </c>
      <c r="K420" s="1">
        <v>8531</v>
      </c>
      <c r="L420" s="1" t="s">
        <v>214</v>
      </c>
      <c r="M420" s="1" t="s">
        <v>1200</v>
      </c>
      <c r="N420" s="1" t="s">
        <v>215</v>
      </c>
      <c r="O420" s="1"/>
      <c r="P420" s="1" t="s">
        <v>212</v>
      </c>
      <c r="Q420" s="1"/>
      <c r="R420" s="1" t="s">
        <v>216</v>
      </c>
      <c r="S420" s="1" t="s">
        <v>217</v>
      </c>
      <c r="T420" s="11">
        <v>46164.055555555555</v>
      </c>
      <c r="U420" s="1" t="s">
        <v>218</v>
      </c>
      <c r="V420" s="11">
        <v>46177.253472222219</v>
      </c>
    </row>
    <row r="421" spans="1:22" x14ac:dyDescent="0.3">
      <c r="A421" s="1">
        <v>815670</v>
      </c>
      <c r="B421" s="1">
        <v>659409</v>
      </c>
      <c r="C421" s="1" t="s">
        <v>1188</v>
      </c>
      <c r="D421" s="1" t="s">
        <v>1049</v>
      </c>
      <c r="E421" s="1" t="s">
        <v>1048</v>
      </c>
      <c r="F421" s="4">
        <v>29272</v>
      </c>
      <c r="G421">
        <v>46</v>
      </c>
      <c r="H421" s="1" t="s">
        <v>212</v>
      </c>
      <c r="I421" s="1" t="s">
        <v>1501</v>
      </c>
      <c r="J421" s="1" t="s">
        <v>1501</v>
      </c>
      <c r="K421" s="1">
        <v>8531</v>
      </c>
      <c r="L421" s="1" t="s">
        <v>214</v>
      </c>
      <c r="M421" s="1" t="s">
        <v>1200</v>
      </c>
      <c r="N421" s="1" t="s">
        <v>215</v>
      </c>
      <c r="O421" s="1"/>
      <c r="P421" s="1" t="s">
        <v>212</v>
      </c>
      <c r="Q421" s="1"/>
      <c r="R421" s="1" t="s">
        <v>216</v>
      </c>
      <c r="S421" s="1" t="s">
        <v>217</v>
      </c>
      <c r="T421" s="11">
        <v>46164.055555555555</v>
      </c>
      <c r="U421" s="1" t="s">
        <v>218</v>
      </c>
      <c r="V421" s="11">
        <v>46177.253472222219</v>
      </c>
    </row>
    <row r="422" spans="1:22" x14ac:dyDescent="0.3">
      <c r="A422" s="1">
        <v>614915</v>
      </c>
      <c r="B422" s="1">
        <v>496244</v>
      </c>
      <c r="C422" s="1" t="s">
        <v>1189</v>
      </c>
      <c r="D422" s="1" t="s">
        <v>249</v>
      </c>
      <c r="E422" s="1" t="s">
        <v>1050</v>
      </c>
      <c r="F422" s="4">
        <v>28744</v>
      </c>
      <c r="G422">
        <v>47</v>
      </c>
      <c r="H422" s="1" t="s">
        <v>212</v>
      </c>
      <c r="I422" s="1" t="s">
        <v>1501</v>
      </c>
      <c r="J422" s="1" t="s">
        <v>1501</v>
      </c>
      <c r="K422" s="1">
        <v>8530</v>
      </c>
      <c r="L422" s="1" t="s">
        <v>214</v>
      </c>
      <c r="M422" s="1" t="s">
        <v>1190</v>
      </c>
      <c r="N422" s="1" t="s">
        <v>215</v>
      </c>
      <c r="O422" s="1"/>
      <c r="P422" s="1" t="s">
        <v>212</v>
      </c>
      <c r="Q422" s="1"/>
      <c r="R422" s="1" t="s">
        <v>216</v>
      </c>
      <c r="S422" s="1" t="s">
        <v>218</v>
      </c>
      <c r="T422" s="11">
        <v>46160.392361111109</v>
      </c>
      <c r="U422" s="1" t="s">
        <v>218</v>
      </c>
      <c r="V422" s="11">
        <v>46173.128472222219</v>
      </c>
    </row>
    <row r="423" spans="1:22" x14ac:dyDescent="0.3">
      <c r="A423" s="1">
        <v>614954</v>
      </c>
      <c r="B423" s="1">
        <v>496244</v>
      </c>
      <c r="C423" s="1" t="s">
        <v>1188</v>
      </c>
      <c r="D423" s="1" t="s">
        <v>1051</v>
      </c>
      <c r="E423" s="1" t="s">
        <v>1052</v>
      </c>
      <c r="F423" s="4">
        <v>25402</v>
      </c>
      <c r="G423">
        <v>56</v>
      </c>
      <c r="H423" s="1" t="s">
        <v>212</v>
      </c>
      <c r="I423" s="1" t="s">
        <v>1501</v>
      </c>
      <c r="J423" s="1" t="s">
        <v>1501</v>
      </c>
      <c r="K423" s="1">
        <v>8530</v>
      </c>
      <c r="L423" s="1" t="s">
        <v>214</v>
      </c>
      <c r="M423" s="1" t="s">
        <v>1190</v>
      </c>
      <c r="N423" s="1" t="s">
        <v>215</v>
      </c>
      <c r="O423" s="1"/>
      <c r="P423" s="1" t="s">
        <v>212</v>
      </c>
      <c r="Q423" s="1"/>
      <c r="R423" s="1" t="s">
        <v>216</v>
      </c>
      <c r="S423" s="1" t="s">
        <v>218</v>
      </c>
      <c r="T423" s="11">
        <v>46160.392361111109</v>
      </c>
      <c r="U423" s="1" t="s">
        <v>218</v>
      </c>
      <c r="V423" s="11">
        <v>46173.128472222219</v>
      </c>
    </row>
    <row r="424" spans="1:22" x14ac:dyDescent="0.3">
      <c r="A424" s="1">
        <v>368357</v>
      </c>
      <c r="B424" s="1">
        <v>290080</v>
      </c>
      <c r="C424" s="1" t="s">
        <v>1189</v>
      </c>
      <c r="D424" s="1" t="s">
        <v>246</v>
      </c>
      <c r="E424" s="1" t="s">
        <v>1053</v>
      </c>
      <c r="F424" s="4">
        <v>29107</v>
      </c>
      <c r="G424">
        <v>46</v>
      </c>
      <c r="H424" s="1" t="s">
        <v>212</v>
      </c>
      <c r="I424" s="1" t="s">
        <v>1502</v>
      </c>
      <c r="J424" s="1" t="s">
        <v>1502</v>
      </c>
      <c r="K424" s="1">
        <v>8524</v>
      </c>
      <c r="L424" s="1" t="s">
        <v>214</v>
      </c>
      <c r="M424" s="1" t="s">
        <v>1212</v>
      </c>
      <c r="N424" s="1" t="s">
        <v>215</v>
      </c>
      <c r="O424" s="1"/>
      <c r="P424" s="1" t="s">
        <v>212</v>
      </c>
      <c r="Q424" s="1"/>
      <c r="R424" s="1" t="s">
        <v>216</v>
      </c>
      <c r="S424" s="1" t="s">
        <v>217</v>
      </c>
      <c r="T424" s="11">
        <v>46164.579861111109</v>
      </c>
      <c r="U424" s="1" t="s">
        <v>218</v>
      </c>
      <c r="V424" s="11">
        <v>46177.149305555555</v>
      </c>
    </row>
    <row r="425" spans="1:22" x14ac:dyDescent="0.3">
      <c r="A425" s="1">
        <v>614781</v>
      </c>
      <c r="B425" s="1">
        <v>496131</v>
      </c>
      <c r="C425" s="1" t="s">
        <v>1188</v>
      </c>
      <c r="D425" s="1" t="s">
        <v>233</v>
      </c>
      <c r="E425" s="1" t="s">
        <v>1054</v>
      </c>
      <c r="F425" s="4">
        <v>28989</v>
      </c>
      <c r="G425">
        <v>46</v>
      </c>
      <c r="H425" s="1" t="s">
        <v>212</v>
      </c>
      <c r="I425" s="1" t="s">
        <v>1501</v>
      </c>
      <c r="J425" s="1" t="s">
        <v>1501</v>
      </c>
      <c r="K425" s="1">
        <v>8538</v>
      </c>
      <c r="L425" s="1" t="s">
        <v>214</v>
      </c>
      <c r="M425" s="1" t="s">
        <v>1196</v>
      </c>
      <c r="N425" s="1" t="s">
        <v>215</v>
      </c>
      <c r="O425" s="1"/>
      <c r="P425" s="1" t="s">
        <v>212</v>
      </c>
      <c r="Q425" s="1"/>
      <c r="R425" s="1" t="s">
        <v>216</v>
      </c>
      <c r="S425" s="1" t="s">
        <v>218</v>
      </c>
      <c r="T425" s="11">
        <v>46164.579861111109</v>
      </c>
      <c r="U425" s="1" t="s">
        <v>218</v>
      </c>
      <c r="V425" s="11">
        <v>46175.253472222219</v>
      </c>
    </row>
    <row r="426" spans="1:22" x14ac:dyDescent="0.3">
      <c r="A426" s="1">
        <v>624305</v>
      </c>
      <c r="B426" s="1">
        <v>496131</v>
      </c>
      <c r="C426" s="1" t="s">
        <v>1189</v>
      </c>
      <c r="D426" s="1" t="s">
        <v>1055</v>
      </c>
      <c r="E426" s="1" t="s">
        <v>1054</v>
      </c>
      <c r="F426" s="4">
        <v>29648</v>
      </c>
      <c r="G426">
        <v>44</v>
      </c>
      <c r="H426" s="1" t="s">
        <v>212</v>
      </c>
      <c r="I426" s="1" t="s">
        <v>1501</v>
      </c>
      <c r="J426" s="1" t="s">
        <v>1501</v>
      </c>
      <c r="K426" s="1">
        <v>8538</v>
      </c>
      <c r="L426" s="1" t="s">
        <v>214</v>
      </c>
      <c r="M426" s="1" t="s">
        <v>1196</v>
      </c>
      <c r="N426" s="1" t="s">
        <v>215</v>
      </c>
      <c r="O426" s="1"/>
      <c r="P426" s="1" t="s">
        <v>212</v>
      </c>
      <c r="Q426" s="1"/>
      <c r="R426" s="1" t="s">
        <v>216</v>
      </c>
      <c r="S426" s="1" t="s">
        <v>218</v>
      </c>
      <c r="T426" s="11">
        <v>46164.579861111109</v>
      </c>
      <c r="U426" s="1" t="s">
        <v>218</v>
      </c>
      <c r="V426" s="11">
        <v>46175.253472222219</v>
      </c>
    </row>
    <row r="427" spans="1:22" x14ac:dyDescent="0.3">
      <c r="A427" s="1">
        <v>391082</v>
      </c>
      <c r="B427" s="1">
        <v>307379</v>
      </c>
      <c r="C427" s="1" t="s">
        <v>1189</v>
      </c>
      <c r="D427" s="1" t="s">
        <v>1056</v>
      </c>
      <c r="E427" s="1" t="s">
        <v>1057</v>
      </c>
      <c r="F427" s="4">
        <v>27098</v>
      </c>
      <c r="G427">
        <v>51</v>
      </c>
      <c r="H427" s="1" t="s">
        <v>212</v>
      </c>
      <c r="I427" s="1" t="s">
        <v>1501</v>
      </c>
      <c r="J427" s="1" t="s">
        <v>1501</v>
      </c>
      <c r="K427" s="1">
        <v>8530</v>
      </c>
      <c r="L427" s="1" t="s">
        <v>214</v>
      </c>
      <c r="M427" s="1" t="s">
        <v>1190</v>
      </c>
      <c r="N427" s="1" t="s">
        <v>215</v>
      </c>
      <c r="O427" s="1"/>
      <c r="P427" s="1" t="s">
        <v>212</v>
      </c>
      <c r="Q427" s="1"/>
      <c r="R427" s="1" t="s">
        <v>216</v>
      </c>
      <c r="S427" s="1" t="s">
        <v>218</v>
      </c>
      <c r="T427" s="11">
        <v>46160.392361111109</v>
      </c>
      <c r="U427" s="1" t="s">
        <v>218</v>
      </c>
      <c r="V427" s="11">
        <v>46173.128472222219</v>
      </c>
    </row>
    <row r="428" spans="1:22" x14ac:dyDescent="0.3">
      <c r="A428" s="1">
        <v>609618</v>
      </c>
      <c r="B428" s="1">
        <v>307379</v>
      </c>
      <c r="C428" s="1" t="s">
        <v>1188</v>
      </c>
      <c r="D428" s="1" t="s">
        <v>1058</v>
      </c>
      <c r="E428" s="1" t="s">
        <v>1059</v>
      </c>
      <c r="F428" s="4">
        <v>26657</v>
      </c>
      <c r="G428">
        <v>53</v>
      </c>
      <c r="H428" s="1" t="s">
        <v>212</v>
      </c>
      <c r="I428" s="1" t="s">
        <v>1501</v>
      </c>
      <c r="J428" s="1" t="s">
        <v>1501</v>
      </c>
      <c r="K428" s="1">
        <v>8530</v>
      </c>
      <c r="L428" s="1" t="s">
        <v>214</v>
      </c>
      <c r="M428" s="1" t="s">
        <v>1190</v>
      </c>
      <c r="N428" s="1" t="s">
        <v>215</v>
      </c>
      <c r="O428" s="1"/>
      <c r="P428" s="1" t="s">
        <v>212</v>
      </c>
      <c r="Q428" s="1"/>
      <c r="R428" s="1" t="s">
        <v>216</v>
      </c>
      <c r="S428" s="1" t="s">
        <v>218</v>
      </c>
      <c r="T428" s="11">
        <v>46160.392361111109</v>
      </c>
      <c r="U428" s="1" t="s">
        <v>218</v>
      </c>
      <c r="V428" s="11">
        <v>46173.128472222219</v>
      </c>
    </row>
    <row r="429" spans="1:22" x14ac:dyDescent="0.3">
      <c r="A429" s="1">
        <v>698744</v>
      </c>
      <c r="B429" s="1">
        <v>567676</v>
      </c>
      <c r="C429" s="1" t="s">
        <v>1188</v>
      </c>
      <c r="D429" s="1" t="s">
        <v>1060</v>
      </c>
      <c r="E429" s="1" t="s">
        <v>1061</v>
      </c>
      <c r="F429" s="4">
        <v>27582</v>
      </c>
      <c r="G429">
        <v>50</v>
      </c>
      <c r="H429" s="1" t="s">
        <v>212</v>
      </c>
      <c r="I429" s="1" t="s">
        <v>1501</v>
      </c>
      <c r="J429" s="1" t="s">
        <v>1501</v>
      </c>
      <c r="K429" s="1">
        <v>8530</v>
      </c>
      <c r="L429" s="1" t="s">
        <v>214</v>
      </c>
      <c r="M429" s="1" t="s">
        <v>1197</v>
      </c>
      <c r="N429" s="1" t="s">
        <v>215</v>
      </c>
      <c r="O429" s="1"/>
      <c r="P429" s="1" t="s">
        <v>212</v>
      </c>
      <c r="Q429" s="1"/>
      <c r="R429" s="1" t="s">
        <v>216</v>
      </c>
      <c r="S429" s="1" t="s">
        <v>217</v>
      </c>
      <c r="T429" s="11">
        <v>46160.663194444445</v>
      </c>
      <c r="U429" s="1" t="s">
        <v>218</v>
      </c>
      <c r="V429" s="11">
        <v>46172.392361111109</v>
      </c>
    </row>
    <row r="430" spans="1:22" x14ac:dyDescent="0.3">
      <c r="A430" s="1">
        <v>729158</v>
      </c>
      <c r="B430" s="1">
        <v>567676</v>
      </c>
      <c r="C430" s="1" t="s">
        <v>1189</v>
      </c>
      <c r="D430" s="1" t="s">
        <v>550</v>
      </c>
      <c r="E430" s="1" t="s">
        <v>1062</v>
      </c>
      <c r="F430" s="4">
        <v>28701</v>
      </c>
      <c r="G430">
        <v>47</v>
      </c>
      <c r="H430" s="1" t="s">
        <v>212</v>
      </c>
      <c r="I430" s="1" t="s">
        <v>1501</v>
      </c>
      <c r="J430" s="1" t="s">
        <v>1501</v>
      </c>
      <c r="K430" s="1">
        <v>8530</v>
      </c>
      <c r="L430" s="1" t="s">
        <v>214</v>
      </c>
      <c r="M430" s="1" t="s">
        <v>1197</v>
      </c>
      <c r="N430" s="1" t="s">
        <v>215</v>
      </c>
      <c r="O430" s="1"/>
      <c r="P430" s="1" t="s">
        <v>212</v>
      </c>
      <c r="Q430" s="1"/>
      <c r="R430" s="1" t="s">
        <v>216</v>
      </c>
      <c r="S430" s="1" t="s">
        <v>217</v>
      </c>
      <c r="T430" s="11">
        <v>46160.663194444445</v>
      </c>
      <c r="U430" s="1" t="s">
        <v>218</v>
      </c>
      <c r="V430" s="11">
        <v>46172.392361111109</v>
      </c>
    </row>
    <row r="431" spans="1:22" x14ac:dyDescent="0.3">
      <c r="A431" s="1">
        <v>540566</v>
      </c>
      <c r="B431" s="1">
        <v>428257</v>
      </c>
      <c r="C431" s="1" t="s">
        <v>1189</v>
      </c>
      <c r="D431" s="1" t="s">
        <v>1063</v>
      </c>
      <c r="E431" s="1" t="s">
        <v>426</v>
      </c>
      <c r="F431" s="4">
        <v>25892</v>
      </c>
      <c r="G431">
        <v>55</v>
      </c>
      <c r="H431" s="1" t="s">
        <v>212</v>
      </c>
      <c r="I431" s="1" t="s">
        <v>1501</v>
      </c>
      <c r="J431" s="1" t="s">
        <v>1501</v>
      </c>
      <c r="K431" s="1">
        <v>8524</v>
      </c>
      <c r="L431" s="1" t="s">
        <v>261</v>
      </c>
      <c r="M431" s="1" t="s">
        <v>1064</v>
      </c>
      <c r="N431" s="1" t="s">
        <v>215</v>
      </c>
      <c r="O431" s="1"/>
      <c r="P431" s="1" t="s">
        <v>1065</v>
      </c>
      <c r="Q431" s="1" t="s">
        <v>1066</v>
      </c>
      <c r="R431" s="1" t="s">
        <v>216</v>
      </c>
      <c r="S431" s="1" t="s">
        <v>218</v>
      </c>
      <c r="T431" s="11">
        <v>46163.784722222219</v>
      </c>
      <c r="U431" s="1" t="s">
        <v>218</v>
      </c>
      <c r="V431" s="11">
        <v>46179.309027777781</v>
      </c>
    </row>
    <row r="432" spans="1:22" x14ac:dyDescent="0.3">
      <c r="A432" s="1">
        <v>617039</v>
      </c>
      <c r="B432" s="1">
        <v>498108</v>
      </c>
      <c r="C432" s="1" t="s">
        <v>1189</v>
      </c>
      <c r="D432" s="1" t="s">
        <v>1067</v>
      </c>
      <c r="E432" s="1" t="s">
        <v>1068</v>
      </c>
      <c r="F432" s="4">
        <v>36257</v>
      </c>
      <c r="G432">
        <v>26</v>
      </c>
      <c r="H432" s="1" t="s">
        <v>212</v>
      </c>
      <c r="I432" s="1" t="s">
        <v>1506</v>
      </c>
      <c r="J432" s="1" t="s">
        <v>1506</v>
      </c>
      <c r="K432" s="1">
        <v>8530</v>
      </c>
      <c r="L432" s="1" t="s">
        <v>261</v>
      </c>
      <c r="M432" s="1" t="s">
        <v>1069</v>
      </c>
      <c r="N432" s="1" t="s">
        <v>215</v>
      </c>
      <c r="O432" s="1"/>
      <c r="P432" s="1" t="s">
        <v>1070</v>
      </c>
      <c r="Q432" s="1" t="s">
        <v>1071</v>
      </c>
      <c r="R432" s="1" t="s">
        <v>216</v>
      </c>
      <c r="S432" s="1" t="s">
        <v>217</v>
      </c>
      <c r="T432" s="11">
        <v>46160.78125</v>
      </c>
      <c r="U432" s="1" t="s">
        <v>218</v>
      </c>
      <c r="V432" s="11">
        <v>46173.208333333336</v>
      </c>
    </row>
    <row r="433" spans="1:22" x14ac:dyDescent="0.3">
      <c r="A433" s="1">
        <v>704843</v>
      </c>
      <c r="B433" s="1">
        <v>498108</v>
      </c>
      <c r="C433" s="1" t="s">
        <v>1188</v>
      </c>
      <c r="D433" s="1" t="s">
        <v>431</v>
      </c>
      <c r="E433" s="1" t="s">
        <v>1072</v>
      </c>
      <c r="F433" s="4">
        <v>35989</v>
      </c>
      <c r="G433">
        <v>27</v>
      </c>
      <c r="H433" s="1" t="s">
        <v>212</v>
      </c>
      <c r="I433" s="1" t="s">
        <v>1506</v>
      </c>
      <c r="J433" s="1" t="s">
        <v>1506</v>
      </c>
      <c r="K433" s="1">
        <v>8530</v>
      </c>
      <c r="L433" s="1" t="s">
        <v>261</v>
      </c>
      <c r="M433" s="1" t="s">
        <v>1069</v>
      </c>
      <c r="N433" s="1" t="s">
        <v>215</v>
      </c>
      <c r="O433" s="1"/>
      <c r="P433" s="1" t="s">
        <v>1070</v>
      </c>
      <c r="Q433" s="1" t="s">
        <v>1071</v>
      </c>
      <c r="R433" s="1" t="s">
        <v>216</v>
      </c>
      <c r="S433" s="1" t="s">
        <v>217</v>
      </c>
      <c r="T433" s="11">
        <v>46160.78125</v>
      </c>
      <c r="U433" s="1" t="s">
        <v>218</v>
      </c>
      <c r="V433" s="11">
        <v>46173.208333333336</v>
      </c>
    </row>
    <row r="434" spans="1:22" x14ac:dyDescent="0.3">
      <c r="A434" s="1">
        <v>597857</v>
      </c>
      <c r="B434" s="1">
        <v>571687</v>
      </c>
      <c r="C434" s="1" t="s">
        <v>1189</v>
      </c>
      <c r="D434" s="1" t="s">
        <v>1073</v>
      </c>
      <c r="E434" s="1" t="s">
        <v>229</v>
      </c>
      <c r="F434" s="4">
        <v>32263</v>
      </c>
      <c r="G434">
        <v>37</v>
      </c>
      <c r="H434" s="1" t="s">
        <v>212</v>
      </c>
      <c r="I434" s="1" t="s">
        <v>1501</v>
      </c>
      <c r="J434" s="1" t="s">
        <v>1503</v>
      </c>
      <c r="K434" s="1">
        <v>8530</v>
      </c>
      <c r="L434" s="1" t="s">
        <v>214</v>
      </c>
      <c r="M434" s="1" t="s">
        <v>1190</v>
      </c>
      <c r="N434" s="1" t="s">
        <v>215</v>
      </c>
      <c r="O434" s="1"/>
      <c r="P434" s="1" t="s">
        <v>212</v>
      </c>
      <c r="Q434" s="1"/>
      <c r="R434" s="1" t="s">
        <v>216</v>
      </c>
      <c r="S434" s="1" t="s">
        <v>218</v>
      </c>
      <c r="T434" s="11">
        <v>46160.392361111109</v>
      </c>
      <c r="U434" s="1" t="s">
        <v>218</v>
      </c>
      <c r="V434" s="11">
        <v>46173.128472222219</v>
      </c>
    </row>
    <row r="435" spans="1:22" x14ac:dyDescent="0.3">
      <c r="A435" s="1">
        <v>703923</v>
      </c>
      <c r="B435" s="1">
        <v>571687</v>
      </c>
      <c r="C435" s="1" t="s">
        <v>1188</v>
      </c>
      <c r="D435" s="1" t="s">
        <v>374</v>
      </c>
      <c r="E435" s="1" t="s">
        <v>1074</v>
      </c>
      <c r="F435" s="4">
        <v>32167</v>
      </c>
      <c r="G435">
        <v>38</v>
      </c>
      <c r="H435" s="1" t="s">
        <v>212</v>
      </c>
      <c r="I435" s="1" t="s">
        <v>1501</v>
      </c>
      <c r="J435" s="1" t="s">
        <v>1502</v>
      </c>
      <c r="K435" s="1">
        <v>8530</v>
      </c>
      <c r="L435" s="1" t="s">
        <v>214</v>
      </c>
      <c r="M435" s="1" t="s">
        <v>1190</v>
      </c>
      <c r="N435" s="1" t="s">
        <v>215</v>
      </c>
      <c r="O435" s="1"/>
      <c r="P435" s="1" t="s">
        <v>212</v>
      </c>
      <c r="Q435" s="1"/>
      <c r="R435" s="1" t="s">
        <v>216</v>
      </c>
      <c r="S435" s="1" t="s">
        <v>218</v>
      </c>
      <c r="T435" s="11">
        <v>46160.392361111109</v>
      </c>
      <c r="U435" s="1" t="s">
        <v>218</v>
      </c>
      <c r="V435" s="11">
        <v>46173.128472222219</v>
      </c>
    </row>
    <row r="436" spans="1:22" x14ac:dyDescent="0.3">
      <c r="A436" s="1">
        <v>624378</v>
      </c>
      <c r="B436" s="1">
        <v>505099</v>
      </c>
      <c r="C436" s="1" t="s">
        <v>1188</v>
      </c>
      <c r="D436" s="1" t="s">
        <v>1075</v>
      </c>
      <c r="E436" s="1" t="s">
        <v>1076</v>
      </c>
      <c r="F436" s="4">
        <v>27914</v>
      </c>
      <c r="G436">
        <v>49</v>
      </c>
      <c r="H436" s="1" t="s">
        <v>212</v>
      </c>
      <c r="I436" s="1" t="s">
        <v>1501</v>
      </c>
      <c r="J436" s="1" t="s">
        <v>1501</v>
      </c>
      <c r="K436" s="1">
        <v>8530</v>
      </c>
      <c r="L436" s="1" t="s">
        <v>214</v>
      </c>
      <c r="M436" s="1" t="s">
        <v>1209</v>
      </c>
      <c r="N436" s="1" t="s">
        <v>215</v>
      </c>
      <c r="O436" s="1"/>
      <c r="P436" s="1" t="s">
        <v>212</v>
      </c>
      <c r="Q436" s="1"/>
      <c r="R436" s="1" t="s">
        <v>216</v>
      </c>
      <c r="S436" s="1" t="s">
        <v>218</v>
      </c>
      <c r="T436" s="11">
        <v>46160.739583333336</v>
      </c>
      <c r="U436" s="1" t="s">
        <v>218</v>
      </c>
      <c r="V436" s="11">
        <v>46172.385416666664</v>
      </c>
    </row>
    <row r="437" spans="1:22" x14ac:dyDescent="0.3">
      <c r="A437" s="1">
        <v>624380</v>
      </c>
      <c r="B437" s="1">
        <v>505099</v>
      </c>
      <c r="C437" s="1" t="s">
        <v>1189</v>
      </c>
      <c r="D437" s="1" t="s">
        <v>367</v>
      </c>
      <c r="E437" s="1" t="s">
        <v>266</v>
      </c>
      <c r="F437" s="4">
        <v>30880</v>
      </c>
      <c r="G437">
        <v>41</v>
      </c>
      <c r="H437" s="1" t="s">
        <v>212</v>
      </c>
      <c r="I437" s="1" t="s">
        <v>1501</v>
      </c>
      <c r="J437" s="1" t="s">
        <v>1501</v>
      </c>
      <c r="K437" s="1">
        <v>8530</v>
      </c>
      <c r="L437" s="1" t="s">
        <v>214</v>
      </c>
      <c r="M437" s="1" t="s">
        <v>1209</v>
      </c>
      <c r="N437" s="1" t="s">
        <v>215</v>
      </c>
      <c r="O437" s="1"/>
      <c r="P437" s="1" t="s">
        <v>212</v>
      </c>
      <c r="Q437" s="1"/>
      <c r="R437" s="1" t="s">
        <v>216</v>
      </c>
      <c r="S437" s="1" t="s">
        <v>218</v>
      </c>
      <c r="T437" s="11">
        <v>46160.739583333336</v>
      </c>
      <c r="U437" s="1" t="s">
        <v>218</v>
      </c>
      <c r="V437" s="11">
        <v>46172.385416666664</v>
      </c>
    </row>
    <row r="438" spans="1:22" x14ac:dyDescent="0.3">
      <c r="A438" s="1">
        <v>59288</v>
      </c>
      <c r="B438" s="1">
        <v>49547</v>
      </c>
      <c r="C438" s="1" t="s">
        <v>1188</v>
      </c>
      <c r="D438" s="1" t="s">
        <v>451</v>
      </c>
      <c r="E438" s="1" t="s">
        <v>1077</v>
      </c>
      <c r="F438" s="4">
        <v>31512</v>
      </c>
      <c r="G438">
        <v>39</v>
      </c>
      <c r="H438" s="1" t="s">
        <v>212</v>
      </c>
      <c r="I438" s="1" t="s">
        <v>1501</v>
      </c>
      <c r="J438" s="1" t="s">
        <v>1501</v>
      </c>
      <c r="K438" s="1">
        <v>8728</v>
      </c>
      <c r="L438" s="1" t="s">
        <v>214</v>
      </c>
      <c r="M438" s="1" t="s">
        <v>1192</v>
      </c>
      <c r="N438" s="1" t="s">
        <v>215</v>
      </c>
      <c r="O438" s="1"/>
      <c r="P438" s="1" t="s">
        <v>212</v>
      </c>
      <c r="Q438" s="1"/>
      <c r="R438" s="1" t="s">
        <v>216</v>
      </c>
      <c r="S438" s="1" t="s">
        <v>218</v>
      </c>
      <c r="T438" s="11">
        <v>46163.236111111109</v>
      </c>
      <c r="U438" s="1" t="s">
        <v>218</v>
      </c>
      <c r="V438" s="11">
        <v>46175.930555555555</v>
      </c>
    </row>
    <row r="439" spans="1:22" x14ac:dyDescent="0.3">
      <c r="A439" s="1">
        <v>470827</v>
      </c>
      <c r="B439" s="1">
        <v>49547</v>
      </c>
      <c r="C439" s="1" t="s">
        <v>1189</v>
      </c>
      <c r="D439" s="1" t="s">
        <v>1078</v>
      </c>
      <c r="E439" s="1" t="s">
        <v>1079</v>
      </c>
      <c r="F439" s="4">
        <v>18908</v>
      </c>
      <c r="G439">
        <v>74</v>
      </c>
      <c r="H439" s="1" t="s">
        <v>212</v>
      </c>
      <c r="I439" s="1" t="s">
        <v>1501</v>
      </c>
      <c r="J439" s="1" t="s">
        <v>1501</v>
      </c>
      <c r="K439" s="1">
        <v>8728</v>
      </c>
      <c r="L439" s="1" t="s">
        <v>214</v>
      </c>
      <c r="M439" s="1" t="s">
        <v>1192</v>
      </c>
      <c r="N439" s="1" t="s">
        <v>215</v>
      </c>
      <c r="O439" s="1"/>
      <c r="P439" s="1" t="s">
        <v>212</v>
      </c>
      <c r="Q439" s="1"/>
      <c r="R439" s="1" t="s">
        <v>216</v>
      </c>
      <c r="S439" s="1" t="s">
        <v>218</v>
      </c>
      <c r="T439" s="11">
        <v>46163.236111111109</v>
      </c>
      <c r="U439" s="1" t="s">
        <v>218</v>
      </c>
      <c r="V439" s="11">
        <v>46175.930555555555</v>
      </c>
    </row>
    <row r="440" spans="1:22" x14ac:dyDescent="0.3">
      <c r="A440" s="1">
        <v>715118</v>
      </c>
      <c r="B440" s="1">
        <v>580221</v>
      </c>
      <c r="C440" s="1" t="s">
        <v>1188</v>
      </c>
      <c r="D440" s="1" t="s">
        <v>1080</v>
      </c>
      <c r="E440" s="1" t="s">
        <v>240</v>
      </c>
      <c r="F440" s="4">
        <v>27768</v>
      </c>
      <c r="G440">
        <v>50</v>
      </c>
      <c r="H440" s="1" t="s">
        <v>212</v>
      </c>
      <c r="I440" s="1" t="s">
        <v>1501</v>
      </c>
      <c r="J440" s="1" t="s">
        <v>1501</v>
      </c>
      <c r="K440" s="1">
        <v>8530</v>
      </c>
      <c r="L440" s="1" t="s">
        <v>214</v>
      </c>
      <c r="M440" s="1" t="s">
        <v>1194</v>
      </c>
      <c r="N440" s="1" t="s">
        <v>215</v>
      </c>
      <c r="O440" s="1"/>
      <c r="P440" s="1" t="s">
        <v>212</v>
      </c>
      <c r="Q440" s="1"/>
      <c r="R440" s="1" t="s">
        <v>216</v>
      </c>
      <c r="S440" s="1" t="s">
        <v>218</v>
      </c>
      <c r="T440" s="11">
        <v>46161.878472222219</v>
      </c>
      <c r="U440" s="1" t="s">
        <v>218</v>
      </c>
      <c r="V440" s="11">
        <v>46173.392361111109</v>
      </c>
    </row>
    <row r="441" spans="1:22" x14ac:dyDescent="0.3">
      <c r="A441" s="1">
        <v>715193</v>
      </c>
      <c r="B441" s="1">
        <v>580221</v>
      </c>
      <c r="C441" s="1" t="s">
        <v>1189</v>
      </c>
      <c r="D441" s="1" t="s">
        <v>1081</v>
      </c>
      <c r="E441" s="1" t="s">
        <v>271</v>
      </c>
      <c r="F441" s="4">
        <v>29523</v>
      </c>
      <c r="G441">
        <v>45</v>
      </c>
      <c r="H441" s="1" t="s">
        <v>212</v>
      </c>
      <c r="I441" s="1" t="s">
        <v>1501</v>
      </c>
      <c r="J441" s="1" t="s">
        <v>1501</v>
      </c>
      <c r="K441" s="1">
        <v>8530</v>
      </c>
      <c r="L441" s="1" t="s">
        <v>214</v>
      </c>
      <c r="M441" s="1" t="s">
        <v>1194</v>
      </c>
      <c r="N441" s="1" t="s">
        <v>215</v>
      </c>
      <c r="O441" s="1"/>
      <c r="P441" s="1" t="s">
        <v>212</v>
      </c>
      <c r="Q441" s="1"/>
      <c r="R441" s="1" t="s">
        <v>216</v>
      </c>
      <c r="S441" s="1" t="s">
        <v>218</v>
      </c>
      <c r="T441" s="11">
        <v>46161.878472222219</v>
      </c>
      <c r="U441" s="1" t="s">
        <v>218</v>
      </c>
      <c r="V441" s="11">
        <v>46173.392361111109</v>
      </c>
    </row>
    <row r="442" spans="1:22" x14ac:dyDescent="0.3">
      <c r="A442" s="1">
        <v>637145</v>
      </c>
      <c r="B442" s="1">
        <v>516497</v>
      </c>
      <c r="C442" s="1" t="s">
        <v>1188</v>
      </c>
      <c r="D442" s="1" t="s">
        <v>1082</v>
      </c>
      <c r="E442" s="1" t="s">
        <v>1083</v>
      </c>
      <c r="F442" s="4">
        <v>34479</v>
      </c>
      <c r="G442">
        <v>31</v>
      </c>
      <c r="H442" s="1" t="s">
        <v>212</v>
      </c>
      <c r="I442" s="1" t="s">
        <v>1501</v>
      </c>
      <c r="J442" s="1" t="s">
        <v>1501</v>
      </c>
      <c r="K442" s="1">
        <v>8550</v>
      </c>
      <c r="L442" s="1" t="s">
        <v>214</v>
      </c>
      <c r="M442" s="1" t="s">
        <v>1190</v>
      </c>
      <c r="N442" s="1" t="s">
        <v>215</v>
      </c>
      <c r="O442" s="1"/>
      <c r="P442" s="1" t="s">
        <v>212</v>
      </c>
      <c r="Q442" s="1"/>
      <c r="R442" s="1" t="s">
        <v>216</v>
      </c>
      <c r="S442" s="1" t="s">
        <v>218</v>
      </c>
      <c r="T442" s="11">
        <v>46160.392361111109</v>
      </c>
      <c r="U442" s="1" t="s">
        <v>218</v>
      </c>
      <c r="V442" s="11">
        <v>46173.128472222219</v>
      </c>
    </row>
    <row r="443" spans="1:22" x14ac:dyDescent="0.3">
      <c r="A443" s="1">
        <v>675132</v>
      </c>
      <c r="B443" s="1">
        <v>516497</v>
      </c>
      <c r="C443" s="1" t="s">
        <v>1189</v>
      </c>
      <c r="D443" s="1" t="s">
        <v>1084</v>
      </c>
      <c r="E443" s="1" t="s">
        <v>1085</v>
      </c>
      <c r="F443" s="4">
        <v>19066</v>
      </c>
      <c r="G443">
        <v>73</v>
      </c>
      <c r="H443" s="1" t="s">
        <v>212</v>
      </c>
      <c r="I443" s="1" t="s">
        <v>1501</v>
      </c>
      <c r="J443" s="1" t="s">
        <v>1501</v>
      </c>
      <c r="K443" s="1">
        <v>8550</v>
      </c>
      <c r="L443" s="1" t="s">
        <v>214</v>
      </c>
      <c r="M443" s="1" t="s">
        <v>1190</v>
      </c>
      <c r="N443" s="1" t="s">
        <v>215</v>
      </c>
      <c r="O443" s="1"/>
      <c r="P443" s="1" t="s">
        <v>212</v>
      </c>
      <c r="Q443" s="1"/>
      <c r="R443" s="1" t="s">
        <v>216</v>
      </c>
      <c r="S443" s="1" t="s">
        <v>218</v>
      </c>
      <c r="T443" s="11">
        <v>46160.392361111109</v>
      </c>
      <c r="U443" s="1" t="s">
        <v>218</v>
      </c>
      <c r="V443" s="11">
        <v>46173.128472222219</v>
      </c>
    </row>
    <row r="444" spans="1:22" x14ac:dyDescent="0.3">
      <c r="A444" s="1">
        <v>798285</v>
      </c>
      <c r="B444" s="1">
        <v>646051</v>
      </c>
      <c r="C444" s="1" t="s">
        <v>1188</v>
      </c>
      <c r="D444" s="1" t="s">
        <v>1086</v>
      </c>
      <c r="E444" s="1" t="s">
        <v>1087</v>
      </c>
      <c r="F444" s="4">
        <v>32002</v>
      </c>
      <c r="G444">
        <v>38</v>
      </c>
      <c r="H444" s="1" t="s">
        <v>212</v>
      </c>
      <c r="I444" s="1" t="s">
        <v>1504</v>
      </c>
      <c r="J444" s="1" t="s">
        <v>1504</v>
      </c>
      <c r="K444" s="1">
        <v>8729</v>
      </c>
      <c r="L444" s="1" t="s">
        <v>261</v>
      </c>
      <c r="M444" s="1" t="s">
        <v>1088</v>
      </c>
      <c r="N444" s="1" t="s">
        <v>215</v>
      </c>
      <c r="O444" s="1"/>
      <c r="P444" s="1" t="s">
        <v>1089</v>
      </c>
      <c r="Q444" s="1" t="s">
        <v>1090</v>
      </c>
      <c r="R444" s="1" t="s">
        <v>216</v>
      </c>
      <c r="S444" s="1" t="s">
        <v>218</v>
      </c>
      <c r="T444" s="11">
        <v>46164.104166666664</v>
      </c>
      <c r="U444" s="1" t="s">
        <v>218</v>
      </c>
      <c r="V444" s="11">
        <v>46179.434027777781</v>
      </c>
    </row>
    <row r="445" spans="1:22" x14ac:dyDescent="0.3">
      <c r="A445" s="1">
        <v>615802</v>
      </c>
      <c r="B445" s="1">
        <v>497016</v>
      </c>
      <c r="C445" s="1" t="s">
        <v>1189</v>
      </c>
      <c r="D445" s="1" t="s">
        <v>1091</v>
      </c>
      <c r="E445" s="1" t="s">
        <v>1092</v>
      </c>
      <c r="F445" s="4">
        <v>36550</v>
      </c>
      <c r="G445">
        <v>26</v>
      </c>
      <c r="H445" s="1" t="s">
        <v>212</v>
      </c>
      <c r="I445" s="1" t="s">
        <v>1501</v>
      </c>
      <c r="J445" s="1" t="s">
        <v>1501</v>
      </c>
      <c r="K445" s="1">
        <v>8729</v>
      </c>
      <c r="L445" s="1" t="s">
        <v>214</v>
      </c>
      <c r="M445" s="1" t="s">
        <v>1200</v>
      </c>
      <c r="N445" s="1" t="s">
        <v>215</v>
      </c>
      <c r="O445" s="1"/>
      <c r="P445" s="1" t="s">
        <v>212</v>
      </c>
      <c r="Q445" s="1"/>
      <c r="R445" s="1" t="s">
        <v>216</v>
      </c>
      <c r="S445" s="1" t="s">
        <v>217</v>
      </c>
      <c r="T445" s="11">
        <v>46164.055555555555</v>
      </c>
      <c r="U445" s="1" t="s">
        <v>218</v>
      </c>
      <c r="V445" s="11">
        <v>46177.253472222219</v>
      </c>
    </row>
    <row r="446" spans="1:22" x14ac:dyDescent="0.3">
      <c r="A446" s="1">
        <v>615816</v>
      </c>
      <c r="B446" s="1">
        <v>497016</v>
      </c>
      <c r="C446" s="1" t="s">
        <v>1188</v>
      </c>
      <c r="D446" s="1" t="s">
        <v>1093</v>
      </c>
      <c r="E446" s="1" t="s">
        <v>229</v>
      </c>
      <c r="F446" s="4">
        <v>35392</v>
      </c>
      <c r="G446">
        <v>29</v>
      </c>
      <c r="H446" s="1" t="s">
        <v>212</v>
      </c>
      <c r="I446" s="1" t="s">
        <v>1501</v>
      </c>
      <c r="J446" s="1" t="s">
        <v>1501</v>
      </c>
      <c r="K446" s="1">
        <v>8729</v>
      </c>
      <c r="L446" s="1" t="s">
        <v>214</v>
      </c>
      <c r="M446" s="1" t="s">
        <v>1200</v>
      </c>
      <c r="N446" s="1" t="s">
        <v>215</v>
      </c>
      <c r="O446" s="1"/>
      <c r="P446" s="1" t="s">
        <v>212</v>
      </c>
      <c r="Q446" s="1"/>
      <c r="R446" s="1" t="s">
        <v>216</v>
      </c>
      <c r="S446" s="1" t="s">
        <v>217</v>
      </c>
      <c r="T446" s="11">
        <v>46164.055555555555</v>
      </c>
      <c r="U446" s="1" t="s">
        <v>218</v>
      </c>
      <c r="V446" s="11">
        <v>46177.253472222219</v>
      </c>
    </row>
    <row r="447" spans="1:22" x14ac:dyDescent="0.3">
      <c r="A447" s="1">
        <v>23400</v>
      </c>
      <c r="B447" s="1">
        <v>21225</v>
      </c>
      <c r="C447" s="1" t="s">
        <v>1188</v>
      </c>
      <c r="D447" s="1" t="s">
        <v>270</v>
      </c>
      <c r="E447" s="1" t="s">
        <v>1094</v>
      </c>
      <c r="F447" s="4">
        <v>31985</v>
      </c>
      <c r="G447">
        <v>38</v>
      </c>
      <c r="H447" s="1" t="s">
        <v>212</v>
      </c>
      <c r="I447" s="1" t="s">
        <v>1501</v>
      </c>
      <c r="J447" s="1" t="s">
        <v>1502</v>
      </c>
      <c r="K447" s="1">
        <v>8535</v>
      </c>
      <c r="L447" s="1" t="s">
        <v>214</v>
      </c>
      <c r="M447" s="1" t="s">
        <v>1191</v>
      </c>
      <c r="N447" s="1" t="s">
        <v>215</v>
      </c>
      <c r="O447" s="1"/>
      <c r="P447" s="1" t="s">
        <v>212</v>
      </c>
      <c r="Q447" s="1"/>
      <c r="R447" s="1" t="s">
        <v>216</v>
      </c>
      <c r="S447" s="1" t="s">
        <v>218</v>
      </c>
      <c r="T447" s="11">
        <v>46163.236111111109</v>
      </c>
      <c r="U447" s="1" t="s">
        <v>218</v>
      </c>
      <c r="V447" s="11">
        <v>46175.930555555555</v>
      </c>
    </row>
    <row r="448" spans="1:22" x14ac:dyDescent="0.3">
      <c r="A448" s="1">
        <v>828978</v>
      </c>
      <c r="B448" s="1">
        <v>21225</v>
      </c>
      <c r="C448" s="1" t="s">
        <v>1189</v>
      </c>
      <c r="D448" s="1" t="s">
        <v>1095</v>
      </c>
      <c r="E448" s="1" t="s">
        <v>394</v>
      </c>
      <c r="F448" s="4">
        <v>32200</v>
      </c>
      <c r="G448">
        <v>38</v>
      </c>
      <c r="H448" s="1" t="s">
        <v>212</v>
      </c>
      <c r="I448" s="1" t="s">
        <v>1501</v>
      </c>
      <c r="J448" s="1" t="s">
        <v>1502</v>
      </c>
      <c r="K448" s="1">
        <v>8535</v>
      </c>
      <c r="L448" s="1" t="s">
        <v>214</v>
      </c>
      <c r="M448" s="1" t="s">
        <v>1191</v>
      </c>
      <c r="N448" s="1" t="s">
        <v>215</v>
      </c>
      <c r="O448" s="1"/>
      <c r="P448" s="1" t="s">
        <v>212</v>
      </c>
      <c r="Q448" s="1"/>
      <c r="R448" s="1" t="s">
        <v>216</v>
      </c>
      <c r="S448" s="1" t="s">
        <v>218</v>
      </c>
      <c r="T448" s="11">
        <v>46163.236111111109</v>
      </c>
      <c r="U448" s="1" t="s">
        <v>218</v>
      </c>
      <c r="V448" s="11">
        <v>46175.930555555555</v>
      </c>
    </row>
    <row r="449" spans="1:22" x14ac:dyDescent="0.3">
      <c r="A449" s="1">
        <v>435131</v>
      </c>
      <c r="B449" s="1">
        <v>339741</v>
      </c>
      <c r="C449" s="1" t="s">
        <v>1188</v>
      </c>
      <c r="D449" s="1" t="s">
        <v>1096</v>
      </c>
      <c r="E449" s="1" t="s">
        <v>451</v>
      </c>
      <c r="F449" s="4">
        <v>27647</v>
      </c>
      <c r="G449">
        <v>50</v>
      </c>
      <c r="H449" s="1" t="s">
        <v>212</v>
      </c>
      <c r="I449" s="1" t="s">
        <v>1501</v>
      </c>
      <c r="J449" s="1" t="s">
        <v>1501</v>
      </c>
      <c r="K449" s="1">
        <v>8530</v>
      </c>
      <c r="L449" s="1" t="s">
        <v>214</v>
      </c>
      <c r="M449" s="1" t="s">
        <v>1202</v>
      </c>
      <c r="N449" s="1" t="s">
        <v>215</v>
      </c>
      <c r="O449" s="1"/>
      <c r="P449" s="1" t="s">
        <v>212</v>
      </c>
      <c r="Q449" s="1"/>
      <c r="R449" s="1" t="s">
        <v>216</v>
      </c>
      <c r="S449" s="1" t="s">
        <v>218</v>
      </c>
      <c r="T449" s="11">
        <v>46160.107638888891</v>
      </c>
      <c r="U449" s="1" t="s">
        <v>218</v>
      </c>
      <c r="V449" s="11">
        <v>46172.409722222219</v>
      </c>
    </row>
    <row r="450" spans="1:22" x14ac:dyDescent="0.3">
      <c r="A450" s="1">
        <v>642043</v>
      </c>
      <c r="B450" s="1">
        <v>339741</v>
      </c>
      <c r="C450" s="1" t="s">
        <v>1189</v>
      </c>
      <c r="D450" s="1" t="s">
        <v>1097</v>
      </c>
      <c r="E450" s="1" t="s">
        <v>451</v>
      </c>
      <c r="F450" s="4">
        <v>29563</v>
      </c>
      <c r="G450">
        <v>45</v>
      </c>
      <c r="H450" s="1" t="s">
        <v>212</v>
      </c>
      <c r="I450" s="1" t="s">
        <v>1501</v>
      </c>
      <c r="J450" s="1" t="s">
        <v>1501</v>
      </c>
      <c r="K450" s="1">
        <v>8530</v>
      </c>
      <c r="L450" s="1" t="s">
        <v>214</v>
      </c>
      <c r="M450" s="1" t="s">
        <v>1202</v>
      </c>
      <c r="N450" s="1" t="s">
        <v>215</v>
      </c>
      <c r="O450" s="1"/>
      <c r="P450" s="1" t="s">
        <v>212</v>
      </c>
      <c r="Q450" s="1"/>
      <c r="R450" s="1" t="s">
        <v>216</v>
      </c>
      <c r="S450" s="1" t="s">
        <v>218</v>
      </c>
      <c r="T450" s="11">
        <v>46160.107638888891</v>
      </c>
      <c r="U450" s="1" t="s">
        <v>218</v>
      </c>
      <c r="V450" s="11">
        <v>46172.409722222219</v>
      </c>
    </row>
    <row r="451" spans="1:22" x14ac:dyDescent="0.3">
      <c r="A451" s="1">
        <v>642174</v>
      </c>
      <c r="B451" s="1">
        <v>339741</v>
      </c>
      <c r="C451" s="1" t="s">
        <v>1189</v>
      </c>
      <c r="D451" s="1" t="s">
        <v>1098</v>
      </c>
      <c r="E451" s="1" t="s">
        <v>451</v>
      </c>
      <c r="F451" s="4">
        <v>30602</v>
      </c>
      <c r="G451">
        <v>42</v>
      </c>
      <c r="H451" s="1" t="s">
        <v>212</v>
      </c>
      <c r="I451" s="1" t="s">
        <v>1501</v>
      </c>
      <c r="J451" s="1" t="s">
        <v>1501</v>
      </c>
      <c r="K451" s="1">
        <v>8530</v>
      </c>
      <c r="L451" s="1" t="s">
        <v>214</v>
      </c>
      <c r="M451" s="1" t="s">
        <v>1202</v>
      </c>
      <c r="N451" s="1" t="s">
        <v>215</v>
      </c>
      <c r="O451" s="1"/>
      <c r="P451" s="1" t="s">
        <v>212</v>
      </c>
      <c r="Q451" s="1"/>
      <c r="R451" s="1" t="s">
        <v>216</v>
      </c>
      <c r="S451" s="1" t="s">
        <v>218</v>
      </c>
      <c r="T451" s="11">
        <v>46160.107638888891</v>
      </c>
      <c r="U451" s="1" t="s">
        <v>218</v>
      </c>
      <c r="V451" s="11">
        <v>46172.409722222219</v>
      </c>
    </row>
    <row r="452" spans="1:22" x14ac:dyDescent="0.3">
      <c r="A452" s="1">
        <v>676721</v>
      </c>
      <c r="B452" s="1">
        <v>339741</v>
      </c>
      <c r="C452" s="1" t="s">
        <v>1189</v>
      </c>
      <c r="D452" s="1" t="s">
        <v>242</v>
      </c>
      <c r="E452" s="1" t="s">
        <v>451</v>
      </c>
      <c r="F452" s="4">
        <v>38820</v>
      </c>
      <c r="G452">
        <v>19</v>
      </c>
      <c r="H452" s="1" t="s">
        <v>212</v>
      </c>
      <c r="I452" s="1" t="s">
        <v>1501</v>
      </c>
      <c r="J452" s="1" t="s">
        <v>1501</v>
      </c>
      <c r="K452" s="1">
        <v>8530</v>
      </c>
      <c r="L452" s="1" t="s">
        <v>214</v>
      </c>
      <c r="M452" s="1" t="s">
        <v>1202</v>
      </c>
      <c r="N452" s="1" t="s">
        <v>215</v>
      </c>
      <c r="O452" s="1"/>
      <c r="P452" s="1" t="s">
        <v>212</v>
      </c>
      <c r="Q452" s="1"/>
      <c r="R452" s="1" t="s">
        <v>216</v>
      </c>
      <c r="S452" s="1" t="s">
        <v>218</v>
      </c>
      <c r="T452" s="11">
        <v>46160.107638888891</v>
      </c>
      <c r="U452" s="1" t="s">
        <v>218</v>
      </c>
      <c r="V452" s="11">
        <v>46172.409722222219</v>
      </c>
    </row>
    <row r="453" spans="1:22" x14ac:dyDescent="0.3">
      <c r="A453" s="1">
        <v>22967</v>
      </c>
      <c r="B453" s="1">
        <v>20864</v>
      </c>
      <c r="C453" s="1" t="s">
        <v>1188</v>
      </c>
      <c r="D453" s="1" t="s">
        <v>1099</v>
      </c>
      <c r="E453" s="1" t="s">
        <v>1100</v>
      </c>
      <c r="F453" s="4">
        <v>26002</v>
      </c>
      <c r="G453">
        <v>54</v>
      </c>
      <c r="H453" s="1" t="s">
        <v>212</v>
      </c>
      <c r="I453" s="1" t="s">
        <v>1501</v>
      </c>
      <c r="J453" s="1" t="s">
        <v>1501</v>
      </c>
      <c r="K453" s="1">
        <v>8714</v>
      </c>
      <c r="L453" s="1" t="s">
        <v>214</v>
      </c>
      <c r="M453" s="1" t="s">
        <v>1197</v>
      </c>
      <c r="N453" s="1" t="s">
        <v>215</v>
      </c>
      <c r="O453" s="1"/>
      <c r="P453" s="1" t="s">
        <v>212</v>
      </c>
      <c r="Q453" s="1"/>
      <c r="R453" s="1" t="s">
        <v>216</v>
      </c>
      <c r="S453" s="1" t="s">
        <v>217</v>
      </c>
      <c r="T453" s="11">
        <v>46160.663194444445</v>
      </c>
      <c r="U453" s="1" t="s">
        <v>218</v>
      </c>
      <c r="V453" s="11">
        <v>46172.392361111109</v>
      </c>
    </row>
    <row r="454" spans="1:22" x14ac:dyDescent="0.3">
      <c r="A454" s="1">
        <v>23011</v>
      </c>
      <c r="B454" s="1">
        <v>20864</v>
      </c>
      <c r="C454" s="1" t="s">
        <v>1189</v>
      </c>
      <c r="D454" s="1" t="s">
        <v>1101</v>
      </c>
      <c r="E454" s="1" t="s">
        <v>385</v>
      </c>
      <c r="F454" s="4">
        <v>26070</v>
      </c>
      <c r="G454">
        <v>54</v>
      </c>
      <c r="H454" s="1" t="s">
        <v>212</v>
      </c>
      <c r="I454" s="1" t="s">
        <v>1501</v>
      </c>
      <c r="J454" s="1" t="s">
        <v>1501</v>
      </c>
      <c r="K454" s="1">
        <v>8714</v>
      </c>
      <c r="L454" s="1" t="s">
        <v>214</v>
      </c>
      <c r="M454" s="1" t="s">
        <v>1197</v>
      </c>
      <c r="N454" s="1" t="s">
        <v>215</v>
      </c>
      <c r="O454" s="1"/>
      <c r="P454" s="1" t="s">
        <v>212</v>
      </c>
      <c r="Q454" s="1"/>
      <c r="R454" s="1" t="s">
        <v>216</v>
      </c>
      <c r="S454" s="1" t="s">
        <v>217</v>
      </c>
      <c r="T454" s="11">
        <v>46160.663194444445</v>
      </c>
      <c r="U454" s="1" t="s">
        <v>218</v>
      </c>
      <c r="V454" s="11">
        <v>46172.392361111109</v>
      </c>
    </row>
    <row r="455" spans="1:22" x14ac:dyDescent="0.3">
      <c r="A455" s="1">
        <v>552800</v>
      </c>
      <c r="B455" s="1">
        <v>439253</v>
      </c>
      <c r="C455" s="1" t="s">
        <v>1188</v>
      </c>
      <c r="D455" s="1" t="s">
        <v>1102</v>
      </c>
      <c r="E455" s="1" t="s">
        <v>432</v>
      </c>
      <c r="F455" s="4">
        <v>28406</v>
      </c>
      <c r="G455">
        <v>48</v>
      </c>
      <c r="H455" s="1" t="s">
        <v>212</v>
      </c>
      <c r="I455" s="1" t="s">
        <v>1501</v>
      </c>
      <c r="J455" s="1" t="s">
        <v>1501</v>
      </c>
      <c r="K455" s="1">
        <v>8672</v>
      </c>
      <c r="L455" s="1" t="s">
        <v>261</v>
      </c>
      <c r="M455" s="1" t="s">
        <v>1103</v>
      </c>
      <c r="N455" s="1" t="s">
        <v>215</v>
      </c>
      <c r="O455" s="1"/>
      <c r="P455" s="1" t="s">
        <v>1104</v>
      </c>
      <c r="Q455" s="1" t="s">
        <v>1105</v>
      </c>
      <c r="R455" s="1" t="s">
        <v>216</v>
      </c>
      <c r="S455" s="1" t="s">
        <v>218</v>
      </c>
      <c r="T455" s="11">
        <v>46163.354166666664</v>
      </c>
      <c r="U455" s="1" t="s">
        <v>218</v>
      </c>
      <c r="V455" s="11">
        <v>46173.319444444445</v>
      </c>
    </row>
    <row r="456" spans="1:22" x14ac:dyDescent="0.3">
      <c r="A456" s="1">
        <v>558361</v>
      </c>
      <c r="B456" s="1">
        <v>439253</v>
      </c>
      <c r="C456" s="1" t="s">
        <v>1189</v>
      </c>
      <c r="D456" s="1" t="s">
        <v>938</v>
      </c>
      <c r="E456" s="1" t="s">
        <v>1106</v>
      </c>
      <c r="F456" s="4">
        <v>30691</v>
      </c>
      <c r="G456">
        <v>42</v>
      </c>
      <c r="H456" s="1" t="s">
        <v>212</v>
      </c>
      <c r="I456" s="1" t="s">
        <v>1501</v>
      </c>
      <c r="J456" s="1" t="s">
        <v>1501</v>
      </c>
      <c r="K456" s="1">
        <v>8672</v>
      </c>
      <c r="L456" s="1" t="s">
        <v>261</v>
      </c>
      <c r="M456" s="1" t="s">
        <v>1103</v>
      </c>
      <c r="N456" s="1" t="s">
        <v>215</v>
      </c>
      <c r="O456" s="1"/>
      <c r="P456" s="1" t="s">
        <v>1104</v>
      </c>
      <c r="Q456" s="1" t="s">
        <v>1105</v>
      </c>
      <c r="R456" s="1" t="s">
        <v>216</v>
      </c>
      <c r="S456" s="1" t="s">
        <v>218</v>
      </c>
      <c r="T456" s="11">
        <v>46163.354166666664</v>
      </c>
      <c r="U456" s="1" t="s">
        <v>218</v>
      </c>
      <c r="V456" s="11">
        <v>46173.319444444445</v>
      </c>
    </row>
    <row r="457" spans="1:22" x14ac:dyDescent="0.3">
      <c r="A457" s="1">
        <v>131650</v>
      </c>
      <c r="B457" s="1">
        <v>100912</v>
      </c>
      <c r="C457" s="1" t="s">
        <v>1189</v>
      </c>
      <c r="D457" s="1" t="s">
        <v>1107</v>
      </c>
      <c r="E457" s="1" t="s">
        <v>790</v>
      </c>
      <c r="F457" s="4">
        <v>32078</v>
      </c>
      <c r="G457">
        <v>38</v>
      </c>
      <c r="H457" s="1" t="s">
        <v>212</v>
      </c>
      <c r="I457" s="1" t="s">
        <v>1501</v>
      </c>
      <c r="J457" s="1" t="s">
        <v>1501</v>
      </c>
      <c r="K457" s="1">
        <v>8538</v>
      </c>
      <c r="L457" s="1" t="s">
        <v>214</v>
      </c>
      <c r="M457" s="1" t="s">
        <v>1191</v>
      </c>
      <c r="N457" s="1" t="s">
        <v>215</v>
      </c>
      <c r="O457" s="1" t="b">
        <v>1</v>
      </c>
      <c r="P457" s="1" t="s">
        <v>212</v>
      </c>
      <c r="Q457" s="1"/>
      <c r="R457" s="1" t="s">
        <v>216</v>
      </c>
      <c r="S457" s="1" t="s">
        <v>218</v>
      </c>
      <c r="T457" s="11">
        <v>46163.236111111109</v>
      </c>
      <c r="U457" s="1" t="s">
        <v>218</v>
      </c>
      <c r="V457" s="11">
        <v>46175.930555555555</v>
      </c>
    </row>
    <row r="458" spans="1:22" x14ac:dyDescent="0.3">
      <c r="A458" s="1">
        <v>48385</v>
      </c>
      <c r="B458" s="1">
        <v>41058</v>
      </c>
      <c r="C458" s="1" t="s">
        <v>1188</v>
      </c>
      <c r="D458" s="1" t="s">
        <v>1108</v>
      </c>
      <c r="E458" s="1" t="s">
        <v>321</v>
      </c>
      <c r="F458" s="4">
        <v>23163</v>
      </c>
      <c r="G458">
        <v>62</v>
      </c>
      <c r="H458" s="1" t="s">
        <v>212</v>
      </c>
      <c r="I458" s="1" t="s">
        <v>1508</v>
      </c>
      <c r="J458" s="1" t="s">
        <v>1508</v>
      </c>
      <c r="K458" s="1">
        <v>8728</v>
      </c>
      <c r="L458" s="1" t="s">
        <v>261</v>
      </c>
      <c r="M458" s="1" t="s">
        <v>1109</v>
      </c>
      <c r="N458" s="1" t="s">
        <v>215</v>
      </c>
      <c r="O458" s="1" t="b">
        <v>1</v>
      </c>
      <c r="P458" s="1" t="s">
        <v>1110</v>
      </c>
      <c r="Q458" s="1" t="s">
        <v>1111</v>
      </c>
      <c r="R458" s="1" t="s">
        <v>216</v>
      </c>
      <c r="S458" s="1" t="s">
        <v>218</v>
      </c>
      <c r="T458" s="11">
        <v>46165.618055555555</v>
      </c>
      <c r="U458" s="1" t="s">
        <v>217</v>
      </c>
      <c r="V458" s="11">
        <v>46173.038194444445</v>
      </c>
    </row>
    <row r="459" spans="1:22" x14ac:dyDescent="0.3">
      <c r="A459" s="1">
        <v>48424</v>
      </c>
      <c r="B459" s="1">
        <v>41058</v>
      </c>
      <c r="C459" s="1" t="s">
        <v>1189</v>
      </c>
      <c r="D459" s="1" t="s">
        <v>710</v>
      </c>
      <c r="E459" s="1" t="s">
        <v>1112</v>
      </c>
      <c r="F459" s="4">
        <v>23985</v>
      </c>
      <c r="G459">
        <v>60</v>
      </c>
      <c r="H459" s="1" t="s">
        <v>212</v>
      </c>
      <c r="I459" s="1" t="s">
        <v>1508</v>
      </c>
      <c r="J459" s="1" t="s">
        <v>1508</v>
      </c>
      <c r="K459" s="1">
        <v>8728</v>
      </c>
      <c r="L459" s="1" t="s">
        <v>261</v>
      </c>
      <c r="M459" s="1" t="s">
        <v>1109</v>
      </c>
      <c r="N459" s="1" t="s">
        <v>215</v>
      </c>
      <c r="O459" s="1" t="b">
        <v>1</v>
      </c>
      <c r="P459" s="1" t="s">
        <v>1110</v>
      </c>
      <c r="Q459" s="1" t="s">
        <v>1111</v>
      </c>
      <c r="R459" s="1" t="s">
        <v>216</v>
      </c>
      <c r="S459" s="1" t="s">
        <v>218</v>
      </c>
      <c r="T459" s="11">
        <v>46165.618055555555</v>
      </c>
      <c r="U459" s="1" t="s">
        <v>217</v>
      </c>
      <c r="V459" s="11">
        <v>46173.038194444445</v>
      </c>
    </row>
    <row r="460" spans="1:22" x14ac:dyDescent="0.3">
      <c r="A460" s="1">
        <v>464839</v>
      </c>
      <c r="B460" s="1">
        <v>364589</v>
      </c>
      <c r="C460" s="1" t="s">
        <v>1188</v>
      </c>
      <c r="D460" s="1" t="s">
        <v>271</v>
      </c>
      <c r="E460" s="1" t="s">
        <v>321</v>
      </c>
      <c r="F460" s="4">
        <v>33384</v>
      </c>
      <c r="G460">
        <v>34</v>
      </c>
      <c r="H460" s="1" t="s">
        <v>212</v>
      </c>
      <c r="I460" s="1" t="s">
        <v>1508</v>
      </c>
      <c r="J460" s="1" t="s">
        <v>1508</v>
      </c>
      <c r="K460" s="1">
        <v>8728</v>
      </c>
      <c r="L460" s="1" t="s">
        <v>261</v>
      </c>
      <c r="M460" s="1" t="s">
        <v>1113</v>
      </c>
      <c r="N460" s="1" t="s">
        <v>215</v>
      </c>
      <c r="O460" s="1"/>
      <c r="P460" s="1" t="s">
        <v>1114</v>
      </c>
      <c r="Q460" s="1" t="s">
        <v>1115</v>
      </c>
      <c r="R460" s="1" t="s">
        <v>216</v>
      </c>
      <c r="S460" s="1" t="s">
        <v>218</v>
      </c>
      <c r="T460" s="11">
        <v>46165.618055555555</v>
      </c>
      <c r="U460" s="1" t="s">
        <v>217</v>
      </c>
      <c r="V460" s="11">
        <v>46173.038194444445</v>
      </c>
    </row>
    <row r="461" spans="1:22" x14ac:dyDescent="0.3">
      <c r="A461" s="1">
        <v>781825</v>
      </c>
      <c r="B461" s="1">
        <v>633457</v>
      </c>
      <c r="C461" s="1" t="s">
        <v>1188</v>
      </c>
      <c r="D461" s="1" t="s">
        <v>341</v>
      </c>
      <c r="E461" s="1" t="s">
        <v>1116</v>
      </c>
      <c r="F461" s="4">
        <v>24877</v>
      </c>
      <c r="G461">
        <v>58</v>
      </c>
      <c r="H461" s="1" t="s">
        <v>212</v>
      </c>
      <c r="I461" s="1" t="s">
        <v>1509</v>
      </c>
      <c r="J461" s="1" t="s">
        <v>1509</v>
      </c>
      <c r="K461" s="1">
        <v>8530</v>
      </c>
      <c r="L461" s="1" t="s">
        <v>261</v>
      </c>
      <c r="M461" s="1" t="s">
        <v>1118</v>
      </c>
      <c r="N461" s="1" t="s">
        <v>215</v>
      </c>
      <c r="O461" s="1"/>
      <c r="P461" s="1" t="s">
        <v>1119</v>
      </c>
      <c r="Q461" s="1" t="s">
        <v>1120</v>
      </c>
      <c r="R461" s="1" t="s">
        <v>216</v>
      </c>
      <c r="S461" s="1" t="s">
        <v>218</v>
      </c>
      <c r="T461" s="11">
        <v>46160.673611111109</v>
      </c>
      <c r="U461" s="1" t="s">
        <v>218</v>
      </c>
      <c r="V461" s="11">
        <v>46173.027777777781</v>
      </c>
    </row>
    <row r="462" spans="1:22" x14ac:dyDescent="0.3">
      <c r="A462" s="1">
        <v>498937</v>
      </c>
      <c r="B462" s="1">
        <v>393356</v>
      </c>
      <c r="C462" s="1" t="s">
        <v>1188</v>
      </c>
      <c r="D462" s="1" t="s">
        <v>1121</v>
      </c>
      <c r="E462" s="1" t="s">
        <v>1122</v>
      </c>
      <c r="F462" s="4">
        <v>31327</v>
      </c>
      <c r="G462">
        <v>40</v>
      </c>
      <c r="H462" s="1" t="s">
        <v>212</v>
      </c>
      <c r="I462" s="1" t="s">
        <v>1509</v>
      </c>
      <c r="J462" s="1" t="s">
        <v>1509</v>
      </c>
      <c r="K462" s="1">
        <v>8716</v>
      </c>
      <c r="L462" s="1" t="s">
        <v>261</v>
      </c>
      <c r="M462" s="1" t="s">
        <v>1123</v>
      </c>
      <c r="N462" s="1" t="s">
        <v>215</v>
      </c>
      <c r="O462" s="1"/>
      <c r="P462" s="1" t="s">
        <v>1124</v>
      </c>
      <c r="Q462" s="1" t="s">
        <v>1125</v>
      </c>
      <c r="R462" s="1" t="s">
        <v>216</v>
      </c>
      <c r="S462" s="1" t="s">
        <v>218</v>
      </c>
      <c r="T462" s="11">
        <v>46163.138888888891</v>
      </c>
      <c r="U462" s="1" t="s">
        <v>218</v>
      </c>
      <c r="V462" s="11">
        <v>46175.197916666664</v>
      </c>
    </row>
    <row r="463" spans="1:22" x14ac:dyDescent="0.3">
      <c r="A463" s="1">
        <v>499001</v>
      </c>
      <c r="B463" s="1">
        <v>393356</v>
      </c>
      <c r="C463" s="1" t="s">
        <v>1189</v>
      </c>
      <c r="D463" s="1" t="s">
        <v>1126</v>
      </c>
      <c r="E463" s="1" t="s">
        <v>1127</v>
      </c>
      <c r="F463" s="4">
        <v>33649</v>
      </c>
      <c r="G463">
        <v>34</v>
      </c>
      <c r="H463" s="1" t="s">
        <v>212</v>
      </c>
      <c r="I463" s="1" t="s">
        <v>1509</v>
      </c>
      <c r="J463" s="1" t="s">
        <v>1506</v>
      </c>
      <c r="K463" s="1">
        <v>8716</v>
      </c>
      <c r="L463" s="1" t="s">
        <v>261</v>
      </c>
      <c r="M463" s="1" t="s">
        <v>1123</v>
      </c>
      <c r="N463" s="1" t="s">
        <v>215</v>
      </c>
      <c r="O463" s="1"/>
      <c r="P463" s="1" t="s">
        <v>1124</v>
      </c>
      <c r="Q463" s="1" t="s">
        <v>1125</v>
      </c>
      <c r="R463" s="1" t="s">
        <v>216</v>
      </c>
      <c r="S463" s="1" t="s">
        <v>218</v>
      </c>
      <c r="T463" s="11">
        <v>46163.138888888891</v>
      </c>
      <c r="U463" s="1" t="s">
        <v>218</v>
      </c>
      <c r="V463" s="11">
        <v>46175.197916666664</v>
      </c>
    </row>
    <row r="464" spans="1:22" x14ac:dyDescent="0.3">
      <c r="A464" s="1">
        <v>499005</v>
      </c>
      <c r="B464" s="1">
        <v>393356</v>
      </c>
      <c r="C464" s="1" t="s">
        <v>1188</v>
      </c>
      <c r="D464" s="1" t="s">
        <v>431</v>
      </c>
      <c r="E464" s="1" t="s">
        <v>1128</v>
      </c>
      <c r="F464" s="4">
        <v>28581</v>
      </c>
      <c r="G464">
        <v>47</v>
      </c>
      <c r="H464" s="1" t="s">
        <v>212</v>
      </c>
      <c r="I464" s="1" t="s">
        <v>1509</v>
      </c>
      <c r="J464" s="1" t="s">
        <v>1509</v>
      </c>
      <c r="K464" s="1">
        <v>8716</v>
      </c>
      <c r="L464" s="1" t="s">
        <v>261</v>
      </c>
      <c r="M464" s="1" t="s">
        <v>1123</v>
      </c>
      <c r="N464" s="1" t="s">
        <v>215</v>
      </c>
      <c r="O464" s="1"/>
      <c r="P464" s="1" t="s">
        <v>1124</v>
      </c>
      <c r="Q464" s="1" t="s">
        <v>1125</v>
      </c>
      <c r="R464" s="1" t="s">
        <v>216</v>
      </c>
      <c r="S464" s="1" t="s">
        <v>218</v>
      </c>
      <c r="T464" s="11">
        <v>46163.138888888891</v>
      </c>
      <c r="U464" s="1" t="s">
        <v>218</v>
      </c>
      <c r="V464" s="11">
        <v>46175.197916666664</v>
      </c>
    </row>
    <row r="465" spans="1:22" x14ac:dyDescent="0.3">
      <c r="A465" s="1">
        <v>781897</v>
      </c>
      <c r="B465" s="1">
        <v>393356</v>
      </c>
      <c r="C465" s="1" t="s">
        <v>1189</v>
      </c>
      <c r="D465" s="1" t="s">
        <v>1129</v>
      </c>
      <c r="E465" s="1" t="s">
        <v>1122</v>
      </c>
      <c r="F465" s="4">
        <v>30498</v>
      </c>
      <c r="G465">
        <v>42</v>
      </c>
      <c r="H465" s="1" t="s">
        <v>212</v>
      </c>
      <c r="I465" s="1" t="s">
        <v>1509</v>
      </c>
      <c r="J465" s="1" t="s">
        <v>1509</v>
      </c>
      <c r="K465" s="1">
        <v>8716</v>
      </c>
      <c r="L465" s="1" t="s">
        <v>261</v>
      </c>
      <c r="M465" s="1" t="s">
        <v>1123</v>
      </c>
      <c r="N465" s="1" t="s">
        <v>215</v>
      </c>
      <c r="O465" s="1"/>
      <c r="P465" s="1" t="s">
        <v>1124</v>
      </c>
      <c r="Q465" s="1" t="s">
        <v>1125</v>
      </c>
      <c r="R465" s="1" t="s">
        <v>216</v>
      </c>
      <c r="S465" s="1" t="s">
        <v>218</v>
      </c>
      <c r="T465" s="11">
        <v>46163.138888888891</v>
      </c>
      <c r="U465" s="1" t="s">
        <v>218</v>
      </c>
      <c r="V465" s="11">
        <v>46175.197916666664</v>
      </c>
    </row>
    <row r="466" spans="1:22" x14ac:dyDescent="0.3">
      <c r="A466" s="1">
        <v>154540</v>
      </c>
      <c r="B466" s="1">
        <v>118516</v>
      </c>
      <c r="C466" s="1" t="s">
        <v>1189</v>
      </c>
      <c r="D466" s="1" t="s">
        <v>1043</v>
      </c>
      <c r="E466" s="1" t="s">
        <v>1130</v>
      </c>
      <c r="F466" s="4">
        <v>23233</v>
      </c>
      <c r="G466">
        <v>62</v>
      </c>
      <c r="H466" s="1" t="s">
        <v>212</v>
      </c>
      <c r="I466" s="1" t="s">
        <v>1504</v>
      </c>
      <c r="J466" s="1" t="s">
        <v>1504</v>
      </c>
      <c r="K466" s="1">
        <v>8570</v>
      </c>
      <c r="L466" s="1" t="s">
        <v>261</v>
      </c>
      <c r="M466" s="1" t="s">
        <v>1131</v>
      </c>
      <c r="N466" s="1" t="s">
        <v>215</v>
      </c>
      <c r="O466" s="1"/>
      <c r="P466" s="1" t="s">
        <v>1132</v>
      </c>
      <c r="Q466" s="1" t="s">
        <v>1133</v>
      </c>
      <c r="R466" s="1" t="s">
        <v>216</v>
      </c>
      <c r="S466" s="1" t="s">
        <v>218</v>
      </c>
      <c r="T466" s="11">
        <v>46163.184027777781</v>
      </c>
      <c r="U466" s="1" t="s">
        <v>218</v>
      </c>
      <c r="V466" s="11">
        <v>46179.541666666664</v>
      </c>
    </row>
    <row r="467" spans="1:22" x14ac:dyDescent="0.3">
      <c r="A467" s="1">
        <v>499764</v>
      </c>
      <c r="B467" s="1">
        <v>394069</v>
      </c>
      <c r="C467" s="1" t="s">
        <v>1188</v>
      </c>
      <c r="D467" s="1" t="s">
        <v>1134</v>
      </c>
      <c r="E467" s="1" t="s">
        <v>1135</v>
      </c>
      <c r="F467" s="4">
        <v>25890</v>
      </c>
      <c r="G467">
        <v>55</v>
      </c>
      <c r="H467" s="1" t="s">
        <v>212</v>
      </c>
      <c r="I467" s="1" t="s">
        <v>1510</v>
      </c>
      <c r="J467" s="1" t="s">
        <v>1510</v>
      </c>
      <c r="K467" s="1">
        <v>8570</v>
      </c>
      <c r="L467" s="1" t="s">
        <v>261</v>
      </c>
      <c r="M467" s="1" t="s">
        <v>1137</v>
      </c>
      <c r="N467" s="1" t="s">
        <v>215</v>
      </c>
      <c r="O467" s="1"/>
      <c r="P467" s="1" t="s">
        <v>1138</v>
      </c>
      <c r="Q467" s="1" t="s">
        <v>1139</v>
      </c>
      <c r="R467" s="1" t="s">
        <v>216</v>
      </c>
      <c r="S467" s="1" t="s">
        <v>218</v>
      </c>
      <c r="T467" s="11">
        <v>46163.184027777781</v>
      </c>
      <c r="U467" s="1" t="s">
        <v>218</v>
      </c>
      <c r="V467" s="11">
        <v>46179.069444444445</v>
      </c>
    </row>
    <row r="468" spans="1:22" x14ac:dyDescent="0.3">
      <c r="A468" s="1">
        <v>667783</v>
      </c>
      <c r="B468" s="1">
        <v>394069</v>
      </c>
      <c r="C468" s="1" t="s">
        <v>1189</v>
      </c>
      <c r="D468" s="1" t="s">
        <v>1140</v>
      </c>
      <c r="E468" s="1" t="s">
        <v>1141</v>
      </c>
      <c r="F468" s="4">
        <v>26374</v>
      </c>
      <c r="G468">
        <v>53</v>
      </c>
      <c r="H468" s="1" t="s">
        <v>212</v>
      </c>
      <c r="I468" s="1" t="s">
        <v>1510</v>
      </c>
      <c r="J468" s="1" t="s">
        <v>1518</v>
      </c>
      <c r="K468" s="1">
        <v>8570</v>
      </c>
      <c r="L468" s="1" t="s">
        <v>261</v>
      </c>
      <c r="M468" s="1" t="s">
        <v>1137</v>
      </c>
      <c r="N468" s="1" t="s">
        <v>215</v>
      </c>
      <c r="O468" s="1"/>
      <c r="P468" s="1" t="s">
        <v>1138</v>
      </c>
      <c r="Q468" s="1" t="s">
        <v>1139</v>
      </c>
      <c r="R468" s="1" t="s">
        <v>216</v>
      </c>
      <c r="S468" s="1" t="s">
        <v>218</v>
      </c>
      <c r="T468" s="11">
        <v>46163.184027777781</v>
      </c>
      <c r="U468" s="1" t="s">
        <v>218</v>
      </c>
      <c r="V468" s="11">
        <v>46179.069444444445</v>
      </c>
    </row>
    <row r="469" spans="1:22" x14ac:dyDescent="0.3">
      <c r="A469" s="1">
        <v>353674</v>
      </c>
      <c r="B469" s="1">
        <v>278619</v>
      </c>
      <c r="C469" s="1" t="s">
        <v>1188</v>
      </c>
      <c r="D469" s="1" t="s">
        <v>1143</v>
      </c>
      <c r="E469" s="1" t="s">
        <v>1144</v>
      </c>
      <c r="F469" s="4">
        <v>30626</v>
      </c>
      <c r="G469">
        <v>42</v>
      </c>
      <c r="H469" s="1" t="s">
        <v>212</v>
      </c>
      <c r="I469" s="1" t="s">
        <v>1504</v>
      </c>
      <c r="J469" s="1" t="s">
        <v>1504</v>
      </c>
      <c r="K469" s="1">
        <v>8676</v>
      </c>
      <c r="L469" s="1" t="s">
        <v>261</v>
      </c>
      <c r="M469" s="1" t="s">
        <v>1145</v>
      </c>
      <c r="N469" s="1" t="s">
        <v>215</v>
      </c>
      <c r="O469" s="1"/>
      <c r="P469" s="1" t="s">
        <v>1146</v>
      </c>
      <c r="Q469" s="1" t="s">
        <v>1147</v>
      </c>
      <c r="R469" s="1" t="s">
        <v>216</v>
      </c>
      <c r="S469" s="1" t="s">
        <v>218</v>
      </c>
      <c r="T469" s="11">
        <v>46165.986111111109</v>
      </c>
      <c r="U469" s="1" t="s">
        <v>217</v>
      </c>
      <c r="V469" s="11">
        <v>46175.347222222219</v>
      </c>
    </row>
    <row r="470" spans="1:22" x14ac:dyDescent="0.3">
      <c r="A470" s="1">
        <v>840272</v>
      </c>
      <c r="B470" s="1">
        <v>679294</v>
      </c>
      <c r="C470" s="1" t="s">
        <v>1188</v>
      </c>
      <c r="D470" s="1" t="s">
        <v>1143</v>
      </c>
      <c r="E470" s="1" t="s">
        <v>1148</v>
      </c>
      <c r="F470" s="4">
        <v>17424</v>
      </c>
      <c r="G470">
        <v>78</v>
      </c>
      <c r="H470" s="1" t="s">
        <v>212</v>
      </c>
      <c r="I470" s="1" t="s">
        <v>1511</v>
      </c>
      <c r="J470" s="1" t="s">
        <v>1511</v>
      </c>
      <c r="K470" s="1">
        <v>8531</v>
      </c>
      <c r="L470" s="1" t="s">
        <v>261</v>
      </c>
      <c r="M470" s="1" t="s">
        <v>1150</v>
      </c>
      <c r="N470" s="1" t="s">
        <v>215</v>
      </c>
      <c r="O470" s="1"/>
      <c r="P470" s="1" t="s">
        <v>1151</v>
      </c>
      <c r="Q470" s="1" t="s">
        <v>1152</v>
      </c>
      <c r="R470" s="1" t="s">
        <v>216</v>
      </c>
      <c r="S470" s="1" t="s">
        <v>218</v>
      </c>
      <c r="T470" s="11">
        <v>46163.017361111109</v>
      </c>
      <c r="U470" s="1" t="s">
        <v>218</v>
      </c>
      <c r="V470" s="11">
        <v>46179.253472222219</v>
      </c>
    </row>
    <row r="471" spans="1:22" x14ac:dyDescent="0.3">
      <c r="A471" s="1">
        <v>840463</v>
      </c>
      <c r="B471" s="1">
        <v>679294</v>
      </c>
      <c r="C471" s="1" t="s">
        <v>1189</v>
      </c>
      <c r="D471" s="1" t="s">
        <v>1153</v>
      </c>
      <c r="E471" s="1" t="s">
        <v>1154</v>
      </c>
      <c r="F471" s="4">
        <v>19191</v>
      </c>
      <c r="G471">
        <v>73</v>
      </c>
      <c r="H471" s="1" t="s">
        <v>212</v>
      </c>
      <c r="I471" s="1" t="s">
        <v>1511</v>
      </c>
      <c r="J471" s="1" t="s">
        <v>1511</v>
      </c>
      <c r="K471" s="1">
        <v>8531</v>
      </c>
      <c r="L471" s="1" t="s">
        <v>261</v>
      </c>
      <c r="M471" s="1" t="s">
        <v>1150</v>
      </c>
      <c r="N471" s="1" t="s">
        <v>215</v>
      </c>
      <c r="O471" s="1"/>
      <c r="P471" s="1" t="s">
        <v>1151</v>
      </c>
      <c r="Q471" s="1" t="s">
        <v>1152</v>
      </c>
      <c r="R471" s="1" t="s">
        <v>216</v>
      </c>
      <c r="S471" s="1" t="s">
        <v>218</v>
      </c>
      <c r="T471" s="11">
        <v>46163.017361111109</v>
      </c>
      <c r="U471" s="1" t="s">
        <v>218</v>
      </c>
      <c r="V471" s="11">
        <v>46179.253472222219</v>
      </c>
    </row>
    <row r="472" spans="1:22" x14ac:dyDescent="0.3">
      <c r="A472" s="1">
        <v>880902</v>
      </c>
      <c r="B472" s="1">
        <v>712236</v>
      </c>
      <c r="C472" s="1" t="s">
        <v>1188</v>
      </c>
      <c r="D472" s="1" t="s">
        <v>1155</v>
      </c>
      <c r="E472" s="1" t="s">
        <v>1156</v>
      </c>
      <c r="F472" s="4">
        <v>35580</v>
      </c>
      <c r="G472">
        <v>28</v>
      </c>
      <c r="H472" s="1" t="s">
        <v>212</v>
      </c>
      <c r="I472" s="1" t="s">
        <v>1509</v>
      </c>
      <c r="J472" s="1" t="s">
        <v>1509</v>
      </c>
      <c r="K472" s="1">
        <v>8714</v>
      </c>
      <c r="L472" s="1" t="s">
        <v>261</v>
      </c>
      <c r="M472" s="1" t="s">
        <v>1157</v>
      </c>
      <c r="N472" s="1" t="s">
        <v>215</v>
      </c>
      <c r="O472" s="1"/>
      <c r="P472" s="1" t="s">
        <v>1158</v>
      </c>
      <c r="Q472" s="1" t="s">
        <v>1159</v>
      </c>
      <c r="R472" s="1" t="s">
        <v>216</v>
      </c>
      <c r="S472" s="1" t="s">
        <v>218</v>
      </c>
      <c r="T472" s="11">
        <v>46160.197916666664</v>
      </c>
      <c r="U472" s="1" t="s">
        <v>218</v>
      </c>
      <c r="V472" s="11">
        <v>46173.215277777781</v>
      </c>
    </row>
    <row r="473" spans="1:22" x14ac:dyDescent="0.3">
      <c r="A473" s="1">
        <v>880931</v>
      </c>
      <c r="B473" s="1">
        <v>712236</v>
      </c>
      <c r="C473" s="1" t="s">
        <v>1189</v>
      </c>
      <c r="D473" s="1" t="s">
        <v>881</v>
      </c>
      <c r="E473" s="1" t="s">
        <v>1160</v>
      </c>
      <c r="F473" s="4">
        <v>36325</v>
      </c>
      <c r="G473">
        <v>26</v>
      </c>
      <c r="H473" s="1" t="s">
        <v>212</v>
      </c>
      <c r="I473" s="1" t="s">
        <v>1509</v>
      </c>
      <c r="J473" s="1" t="s">
        <v>1506</v>
      </c>
      <c r="K473" s="1">
        <v>8714</v>
      </c>
      <c r="L473" s="1" t="s">
        <v>261</v>
      </c>
      <c r="M473" s="1" t="s">
        <v>1157</v>
      </c>
      <c r="N473" s="1" t="s">
        <v>215</v>
      </c>
      <c r="O473" s="1"/>
      <c r="P473" s="1" t="s">
        <v>1158</v>
      </c>
      <c r="Q473" s="1" t="s">
        <v>1159</v>
      </c>
      <c r="R473" s="1" t="s">
        <v>216</v>
      </c>
      <c r="S473" s="1" t="s">
        <v>218</v>
      </c>
      <c r="T473" s="11">
        <v>46160.197916666664</v>
      </c>
      <c r="U473" s="1" t="s">
        <v>218</v>
      </c>
      <c r="V473" s="11">
        <v>46173.215277777781</v>
      </c>
    </row>
    <row r="474" spans="1:22" x14ac:dyDescent="0.3">
      <c r="A474" s="1">
        <v>857428</v>
      </c>
      <c r="B474" s="1">
        <v>692990</v>
      </c>
      <c r="C474" s="1" t="s">
        <v>1188</v>
      </c>
      <c r="D474" s="1" t="s">
        <v>497</v>
      </c>
      <c r="E474" s="1" t="s">
        <v>1161</v>
      </c>
      <c r="F474" s="4">
        <v>31535</v>
      </c>
      <c r="G474">
        <v>39</v>
      </c>
      <c r="H474" s="1" t="s">
        <v>212</v>
      </c>
      <c r="I474" s="1" t="s">
        <v>1512</v>
      </c>
      <c r="J474" s="1" t="s">
        <v>1512</v>
      </c>
      <c r="K474" s="1">
        <v>8529</v>
      </c>
      <c r="L474" s="1" t="s">
        <v>261</v>
      </c>
      <c r="M474" s="1" t="s">
        <v>1163</v>
      </c>
      <c r="N474" s="1" t="s">
        <v>215</v>
      </c>
      <c r="O474" s="1"/>
      <c r="P474" s="1" t="s">
        <v>1164</v>
      </c>
      <c r="Q474" s="1" t="s">
        <v>1165</v>
      </c>
      <c r="R474" s="1" t="s">
        <v>216</v>
      </c>
      <c r="S474" s="1" t="s">
        <v>217</v>
      </c>
      <c r="T474" s="11">
        <v>46160.760416666664</v>
      </c>
      <c r="U474" s="1" t="s">
        <v>218</v>
      </c>
      <c r="V474" s="11">
        <v>46173.704861111109</v>
      </c>
    </row>
    <row r="475" spans="1:22" x14ac:dyDescent="0.3">
      <c r="A475" s="1">
        <v>858055</v>
      </c>
      <c r="B475" s="1">
        <v>692990</v>
      </c>
      <c r="C475" s="1" t="s">
        <v>1189</v>
      </c>
      <c r="D475" s="1" t="s">
        <v>1166</v>
      </c>
      <c r="E475" s="1" t="s">
        <v>1167</v>
      </c>
      <c r="F475" s="4">
        <v>24473</v>
      </c>
      <c r="G475">
        <v>59</v>
      </c>
      <c r="H475" s="1" t="s">
        <v>212</v>
      </c>
      <c r="I475" s="1" t="s">
        <v>1512</v>
      </c>
      <c r="J475" s="1" t="s">
        <v>1512</v>
      </c>
      <c r="K475" s="1">
        <v>8529</v>
      </c>
      <c r="L475" s="1" t="s">
        <v>261</v>
      </c>
      <c r="M475" s="1" t="s">
        <v>1163</v>
      </c>
      <c r="N475" s="1" t="s">
        <v>215</v>
      </c>
      <c r="O475" s="1"/>
      <c r="P475" s="1" t="s">
        <v>1164</v>
      </c>
      <c r="Q475" s="1" t="s">
        <v>1165</v>
      </c>
      <c r="R475" s="1" t="s">
        <v>216</v>
      </c>
      <c r="S475" s="1" t="s">
        <v>217</v>
      </c>
      <c r="T475" s="11">
        <v>46160.760416666664</v>
      </c>
      <c r="U475" s="1" t="s">
        <v>218</v>
      </c>
      <c r="V475" s="11">
        <v>46173.704861111109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CBE5-DC87-467C-A87D-3D1B83196D08}">
  <sheetPr>
    <tabColor rgb="FFFFFF00"/>
  </sheetPr>
  <dimension ref="A1:AE178"/>
  <sheetViews>
    <sheetView workbookViewId="0">
      <selection activeCell="B11" sqref="B11"/>
    </sheetView>
  </sheetViews>
  <sheetFormatPr defaultRowHeight="14.4" x14ac:dyDescent="0.3"/>
  <cols>
    <col min="1" max="1" width="5" bestFit="1" customWidth="1"/>
    <col min="2" max="2" width="80.88671875" bestFit="1" customWidth="1"/>
    <col min="3" max="3" width="25" bestFit="1" customWidth="1"/>
    <col min="4" max="4" width="21.21875" bestFit="1" customWidth="1"/>
    <col min="5" max="5" width="18.88671875" bestFit="1" customWidth="1"/>
    <col min="6" max="6" width="21.88671875" bestFit="1" customWidth="1"/>
    <col min="7" max="7" width="22" bestFit="1" customWidth="1"/>
    <col min="8" max="8" width="19.6640625" bestFit="1" customWidth="1"/>
    <col min="9" max="9" width="19.77734375" bestFit="1" customWidth="1"/>
    <col min="10" max="10" width="25" bestFit="1" customWidth="1"/>
    <col min="11" max="11" width="21.21875" bestFit="1" customWidth="1"/>
    <col min="12" max="12" width="18.88671875" bestFit="1" customWidth="1"/>
    <col min="13" max="13" width="21.88671875" bestFit="1" customWidth="1"/>
    <col min="14" max="14" width="22" bestFit="1" customWidth="1"/>
    <col min="15" max="15" width="19.6640625" bestFit="1" customWidth="1"/>
    <col min="16" max="16" width="19.77734375" bestFit="1" customWidth="1"/>
    <col min="17" max="17" width="21.6640625" bestFit="1" customWidth="1"/>
    <col min="18" max="18" width="17.88671875" bestFit="1" customWidth="1"/>
    <col min="19" max="19" width="15.6640625" bestFit="1" customWidth="1"/>
    <col min="20" max="20" width="18.5546875" bestFit="1" customWidth="1"/>
    <col min="21" max="21" width="18.6640625" bestFit="1" customWidth="1"/>
    <col min="22" max="22" width="16.33203125" bestFit="1" customWidth="1"/>
    <col min="23" max="23" width="16.44140625" bestFit="1" customWidth="1"/>
    <col min="24" max="24" width="21.6640625" bestFit="1" customWidth="1"/>
    <col min="25" max="25" width="17.88671875" bestFit="1" customWidth="1"/>
    <col min="26" max="26" width="15.6640625" bestFit="1" customWidth="1"/>
    <col min="27" max="27" width="18.5546875" bestFit="1" customWidth="1"/>
    <col min="28" max="28" width="18.6640625" bestFit="1" customWidth="1"/>
    <col min="29" max="29" width="16.33203125" bestFit="1" customWidth="1"/>
    <col min="30" max="30" width="16.44140625" bestFit="1" customWidth="1"/>
    <col min="31" max="31" width="16.44140625" customWidth="1"/>
  </cols>
  <sheetData>
    <row r="1" spans="1:30" x14ac:dyDescent="0.3">
      <c r="A1" t="s">
        <v>147</v>
      </c>
      <c r="B1" t="s">
        <v>146</v>
      </c>
      <c r="C1" s="18" t="s">
        <v>105</v>
      </c>
      <c r="D1" s="17" t="s">
        <v>106</v>
      </c>
      <c r="E1" s="17" t="s">
        <v>107</v>
      </c>
      <c r="F1" t="s">
        <v>108</v>
      </c>
      <c r="G1" t="s">
        <v>109</v>
      </c>
      <c r="H1" s="18" t="s">
        <v>110</v>
      </c>
      <c r="I1" s="18" t="s">
        <v>111</v>
      </c>
      <c r="J1" s="17" t="s">
        <v>112</v>
      </c>
      <c r="K1" t="s">
        <v>113</v>
      </c>
      <c r="L1" s="17" t="s">
        <v>114</v>
      </c>
      <c r="M1" t="s">
        <v>115</v>
      </c>
      <c r="N1" t="s">
        <v>116</v>
      </c>
      <c r="O1" s="17" t="s">
        <v>117</v>
      </c>
      <c r="P1" s="17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</row>
    <row r="2" spans="1:30" x14ac:dyDescent="0.3">
      <c r="A2">
        <v>1</v>
      </c>
      <c r="B2" t="s">
        <v>148</v>
      </c>
      <c r="C2" s="1" t="s">
        <v>57</v>
      </c>
      <c r="D2" s="1" t="s">
        <v>58</v>
      </c>
      <c r="E2" s="1" t="s">
        <v>59</v>
      </c>
      <c r="F2" s="4">
        <v>46159</v>
      </c>
      <c r="G2" s="5">
        <v>0.45833333333333331</v>
      </c>
      <c r="H2" s="4">
        <v>46160</v>
      </c>
      <c r="I2" s="5">
        <v>0.2361111111111111</v>
      </c>
      <c r="J2" s="1" t="s">
        <v>133</v>
      </c>
      <c r="K2" s="1" t="s">
        <v>59</v>
      </c>
      <c r="L2" s="1" t="s">
        <v>65</v>
      </c>
      <c r="M2" s="4">
        <v>46160</v>
      </c>
      <c r="N2" s="5">
        <v>0.34722222222222221</v>
      </c>
      <c r="O2" s="4">
        <v>46160</v>
      </c>
      <c r="P2" s="5">
        <v>0.3923611111111111</v>
      </c>
      <c r="Q2" s="1" t="s">
        <v>60</v>
      </c>
      <c r="R2" s="1" t="s">
        <v>59</v>
      </c>
      <c r="S2" s="1" t="s">
        <v>58</v>
      </c>
      <c r="T2" s="4">
        <v>46173</v>
      </c>
      <c r="U2" s="5">
        <v>0.12847222222222221</v>
      </c>
      <c r="V2" s="4">
        <v>46173</v>
      </c>
      <c r="W2" s="5">
        <v>0.375</v>
      </c>
      <c r="X2" s="1"/>
      <c r="Y2" s="1"/>
      <c r="Z2" s="1"/>
      <c r="AA2" s="4"/>
      <c r="AB2" s="5"/>
      <c r="AC2" s="4"/>
      <c r="AD2" s="5"/>
    </row>
    <row r="3" spans="1:30" x14ac:dyDescent="0.3">
      <c r="A3">
        <v>2</v>
      </c>
      <c r="B3" t="s">
        <v>149</v>
      </c>
      <c r="C3" s="1" t="s">
        <v>64</v>
      </c>
      <c r="D3" s="1" t="s">
        <v>62</v>
      </c>
      <c r="E3" s="1" t="s">
        <v>65</v>
      </c>
      <c r="F3" s="4">
        <v>46160</v>
      </c>
      <c r="G3" s="5">
        <v>0.78472222222222221</v>
      </c>
      <c r="H3" s="4">
        <v>46161</v>
      </c>
      <c r="I3" s="5">
        <v>0.87847222222222221</v>
      </c>
      <c r="J3" s="1"/>
      <c r="K3" s="1"/>
      <c r="L3" s="1"/>
      <c r="M3" s="4"/>
      <c r="N3" s="5"/>
      <c r="O3" s="4"/>
      <c r="P3" s="5"/>
      <c r="Q3" s="1" t="s">
        <v>63</v>
      </c>
      <c r="R3" s="1" t="s">
        <v>59</v>
      </c>
      <c r="S3" s="1" t="s">
        <v>62</v>
      </c>
      <c r="T3" s="4">
        <v>46173</v>
      </c>
      <c r="U3" s="5">
        <v>0.3923611111111111</v>
      </c>
      <c r="V3" s="4">
        <v>46173</v>
      </c>
      <c r="W3" s="5">
        <v>0.65625</v>
      </c>
      <c r="X3" s="1"/>
      <c r="Y3" s="1"/>
      <c r="Z3" s="1"/>
      <c r="AA3" s="4"/>
      <c r="AB3" s="5"/>
      <c r="AC3" s="4"/>
      <c r="AD3" s="5"/>
    </row>
    <row r="4" spans="1:30" x14ac:dyDescent="0.3">
      <c r="A4">
        <v>3</v>
      </c>
      <c r="B4" t="s">
        <v>150</v>
      </c>
      <c r="C4" s="1" t="s">
        <v>66</v>
      </c>
      <c r="D4" s="1" t="s">
        <v>67</v>
      </c>
      <c r="E4" s="1" t="s">
        <v>59</v>
      </c>
      <c r="F4" s="4">
        <v>46159</v>
      </c>
      <c r="G4" s="5">
        <v>0.79166666666666663</v>
      </c>
      <c r="H4" s="4">
        <v>46160</v>
      </c>
      <c r="I4" s="5">
        <v>0.57986111111111116</v>
      </c>
      <c r="J4" s="1" t="s">
        <v>135</v>
      </c>
      <c r="K4" s="1" t="s">
        <v>59</v>
      </c>
      <c r="L4" s="1" t="s">
        <v>65</v>
      </c>
      <c r="M4" s="4">
        <v>46160</v>
      </c>
      <c r="N4" s="5">
        <v>0.84722222222222221</v>
      </c>
      <c r="O4" s="4">
        <v>46160</v>
      </c>
      <c r="P4" s="5">
        <v>0.89236111111111116</v>
      </c>
      <c r="Q4" s="1" t="s">
        <v>68</v>
      </c>
      <c r="R4" s="1" t="s">
        <v>59</v>
      </c>
      <c r="S4" s="1" t="s">
        <v>67</v>
      </c>
      <c r="T4" s="4">
        <v>46172</v>
      </c>
      <c r="U4" s="5">
        <v>0.38541666666666669</v>
      </c>
      <c r="V4" s="4">
        <v>46172</v>
      </c>
      <c r="W4" s="5">
        <v>0.64236111111111116</v>
      </c>
      <c r="X4" s="1"/>
      <c r="Y4" s="1"/>
      <c r="Z4" s="1"/>
      <c r="AA4" s="4"/>
      <c r="AB4" s="5"/>
      <c r="AC4" s="4"/>
      <c r="AD4" s="5"/>
    </row>
    <row r="5" spans="1:30" x14ac:dyDescent="0.3">
      <c r="A5">
        <v>4</v>
      </c>
      <c r="B5" t="s">
        <v>151</v>
      </c>
      <c r="C5" s="1" t="s">
        <v>69</v>
      </c>
      <c r="D5" s="1" t="s">
        <v>70</v>
      </c>
      <c r="E5" s="1" t="s">
        <v>59</v>
      </c>
      <c r="F5" s="4">
        <v>46158</v>
      </c>
      <c r="G5" s="5">
        <v>0.875</v>
      </c>
      <c r="H5" s="4">
        <v>46159</v>
      </c>
      <c r="I5" s="5">
        <v>0.93055555555555558</v>
      </c>
      <c r="J5" s="1" t="s">
        <v>136</v>
      </c>
      <c r="K5" s="1" t="s">
        <v>59</v>
      </c>
      <c r="L5" s="1" t="s">
        <v>65</v>
      </c>
      <c r="M5" s="4">
        <v>46160</v>
      </c>
      <c r="N5" s="5">
        <v>6.25E-2</v>
      </c>
      <c r="O5" s="4">
        <v>46160</v>
      </c>
      <c r="P5" s="5">
        <v>0.1076388888888889</v>
      </c>
      <c r="Q5" s="1" t="s">
        <v>71</v>
      </c>
      <c r="R5" s="1" t="s">
        <v>59</v>
      </c>
      <c r="S5" s="1" t="s">
        <v>70</v>
      </c>
      <c r="T5" s="4">
        <v>46172</v>
      </c>
      <c r="U5" s="5">
        <v>0.40972222222222221</v>
      </c>
      <c r="V5" s="4">
        <v>46172</v>
      </c>
      <c r="W5" s="5">
        <v>0.67013888888888884</v>
      </c>
      <c r="X5" s="1"/>
      <c r="Y5" s="1"/>
      <c r="Z5" s="1"/>
      <c r="AA5" s="4"/>
      <c r="AB5" s="5"/>
      <c r="AC5" s="4"/>
      <c r="AD5" s="5"/>
    </row>
    <row r="6" spans="1:30" x14ac:dyDescent="0.3">
      <c r="A6">
        <v>5</v>
      </c>
      <c r="B6" t="s">
        <v>152</v>
      </c>
      <c r="C6" s="1" t="s">
        <v>61</v>
      </c>
      <c r="D6" s="1" t="s">
        <v>62</v>
      </c>
      <c r="E6" s="1" t="s">
        <v>59</v>
      </c>
      <c r="F6" s="4">
        <v>46159</v>
      </c>
      <c r="G6" s="5">
        <v>0.78472222222222221</v>
      </c>
      <c r="H6" s="4">
        <v>46160</v>
      </c>
      <c r="I6" s="5">
        <v>0.66319444444444442</v>
      </c>
      <c r="J6" s="1"/>
      <c r="K6" s="1"/>
      <c r="L6" s="1"/>
      <c r="M6" s="4"/>
      <c r="N6" s="5"/>
      <c r="O6" s="4"/>
      <c r="P6" s="5"/>
      <c r="Q6" s="1" t="s">
        <v>63</v>
      </c>
      <c r="R6" s="1" t="s">
        <v>59</v>
      </c>
      <c r="S6" s="1" t="s">
        <v>62</v>
      </c>
      <c r="T6" s="4">
        <v>46172</v>
      </c>
      <c r="U6" s="5">
        <v>0.3923611111111111</v>
      </c>
      <c r="V6" s="4">
        <v>46172</v>
      </c>
      <c r="W6" s="5">
        <v>0.65625</v>
      </c>
      <c r="X6" s="1"/>
      <c r="Y6" s="1"/>
      <c r="Z6" s="1"/>
      <c r="AA6" s="4"/>
      <c r="AB6" s="5"/>
      <c r="AC6" s="4"/>
      <c r="AD6" s="5"/>
    </row>
    <row r="7" spans="1:30" x14ac:dyDescent="0.3">
      <c r="A7">
        <v>6</v>
      </c>
      <c r="B7" t="s">
        <v>153</v>
      </c>
      <c r="C7" s="1" t="s">
        <v>66</v>
      </c>
      <c r="D7" s="1" t="s">
        <v>67</v>
      </c>
      <c r="E7" s="1" t="s">
        <v>59</v>
      </c>
      <c r="F7" s="4">
        <v>46159</v>
      </c>
      <c r="G7" s="5">
        <v>0.79166666666666663</v>
      </c>
      <c r="H7" s="4">
        <v>46160</v>
      </c>
      <c r="I7" s="5">
        <v>0.57986111111111116</v>
      </c>
      <c r="J7" s="1" t="s">
        <v>134</v>
      </c>
      <c r="K7" s="1" t="s">
        <v>59</v>
      </c>
      <c r="L7" s="1" t="s">
        <v>65</v>
      </c>
      <c r="M7" s="4">
        <v>46160</v>
      </c>
      <c r="N7" s="5">
        <v>0.69444444444444442</v>
      </c>
      <c r="O7" s="4">
        <v>46160</v>
      </c>
      <c r="P7" s="5">
        <v>0.73958333333333337</v>
      </c>
      <c r="Q7" s="1" t="s">
        <v>68</v>
      </c>
      <c r="R7" s="1" t="s">
        <v>59</v>
      </c>
      <c r="S7" s="1" t="s">
        <v>67</v>
      </c>
      <c r="T7" s="4">
        <v>46172</v>
      </c>
      <c r="U7" s="5">
        <v>0.38541666666666669</v>
      </c>
      <c r="V7" s="4">
        <v>46172</v>
      </c>
      <c r="W7" s="5">
        <v>0.64236111111111116</v>
      </c>
      <c r="X7" s="1"/>
      <c r="Y7" s="1"/>
      <c r="Z7" s="1"/>
      <c r="AA7" s="4"/>
      <c r="AB7" s="5"/>
      <c r="AC7" s="4"/>
      <c r="AD7" s="5"/>
    </row>
    <row r="8" spans="1:30" x14ac:dyDescent="0.3">
      <c r="A8">
        <v>7</v>
      </c>
      <c r="B8" t="s">
        <v>154</v>
      </c>
      <c r="C8" s="1" t="s">
        <v>66</v>
      </c>
      <c r="D8" s="1" t="s">
        <v>67</v>
      </c>
      <c r="E8" s="1" t="s">
        <v>59</v>
      </c>
      <c r="F8" s="4">
        <v>46161</v>
      </c>
      <c r="G8" s="5">
        <v>0.79166666666666663</v>
      </c>
      <c r="H8" s="4">
        <v>46162</v>
      </c>
      <c r="I8" s="5">
        <v>0.57986111111111116</v>
      </c>
      <c r="J8" s="1" t="s">
        <v>134</v>
      </c>
      <c r="K8" s="1" t="s">
        <v>59</v>
      </c>
      <c r="L8" s="1" t="s">
        <v>65</v>
      </c>
      <c r="M8" s="4">
        <v>46162</v>
      </c>
      <c r="N8" s="5">
        <v>0.69444444444444442</v>
      </c>
      <c r="O8" s="4">
        <v>46162</v>
      </c>
      <c r="P8" s="5">
        <v>0.73958333333333337</v>
      </c>
      <c r="Q8" s="1" t="s">
        <v>68</v>
      </c>
      <c r="R8" s="1" t="s">
        <v>59</v>
      </c>
      <c r="S8" s="1" t="s">
        <v>67</v>
      </c>
      <c r="T8" s="4">
        <v>46173</v>
      </c>
      <c r="U8" s="5">
        <v>0.38541666666666669</v>
      </c>
      <c r="V8" s="4">
        <v>46173</v>
      </c>
      <c r="W8" s="5">
        <v>0.64236111111111116</v>
      </c>
      <c r="X8" s="1"/>
      <c r="Y8" s="1"/>
      <c r="Z8" s="1"/>
      <c r="AA8" s="4"/>
      <c r="AB8" s="5"/>
      <c r="AC8" s="4"/>
      <c r="AD8" s="5"/>
    </row>
    <row r="9" spans="1:30" x14ac:dyDescent="0.3">
      <c r="A9">
        <v>8</v>
      </c>
      <c r="B9" t="s">
        <v>155</v>
      </c>
      <c r="C9" s="1" t="s">
        <v>64</v>
      </c>
      <c r="D9" s="1" t="s">
        <v>62</v>
      </c>
      <c r="E9" s="1" t="s">
        <v>74</v>
      </c>
      <c r="F9" s="4">
        <v>46160</v>
      </c>
      <c r="G9" s="5">
        <v>0.78472222222222221</v>
      </c>
      <c r="H9" s="4">
        <v>46161</v>
      </c>
      <c r="I9" s="5">
        <v>0.60416666666666663</v>
      </c>
      <c r="J9" s="1" t="s">
        <v>137</v>
      </c>
      <c r="K9" s="1" t="s">
        <v>74</v>
      </c>
      <c r="L9" s="1" t="s">
        <v>65</v>
      </c>
      <c r="M9" s="4">
        <v>46161</v>
      </c>
      <c r="N9" s="5">
        <v>0.8125</v>
      </c>
      <c r="O9" s="4">
        <v>46161</v>
      </c>
      <c r="P9" s="5">
        <v>0.87847222222222221</v>
      </c>
      <c r="Q9" s="1" t="s">
        <v>63</v>
      </c>
      <c r="R9" s="1" t="s">
        <v>59</v>
      </c>
      <c r="S9" s="1" t="s">
        <v>62</v>
      </c>
      <c r="T9" s="4">
        <v>46173</v>
      </c>
      <c r="U9" s="5">
        <v>0.3923611111111111</v>
      </c>
      <c r="V9" s="4">
        <v>46173</v>
      </c>
      <c r="W9" s="5">
        <v>0.65625</v>
      </c>
      <c r="X9" s="1"/>
      <c r="Y9" s="1"/>
      <c r="Z9" s="1"/>
      <c r="AA9" s="4"/>
      <c r="AB9" s="5"/>
      <c r="AC9" s="4"/>
      <c r="AD9" s="5"/>
    </row>
    <row r="10" spans="1:30" x14ac:dyDescent="0.3">
      <c r="A10">
        <v>9</v>
      </c>
      <c r="B10" t="s">
        <v>156</v>
      </c>
      <c r="C10" s="1" t="s">
        <v>61</v>
      </c>
      <c r="D10" s="1" t="s">
        <v>62</v>
      </c>
      <c r="E10" s="1" t="s">
        <v>59</v>
      </c>
      <c r="F10" s="4">
        <v>46159</v>
      </c>
      <c r="G10" s="5">
        <v>0.78472222222222221</v>
      </c>
      <c r="H10" s="4">
        <v>46160</v>
      </c>
      <c r="I10" s="5">
        <v>0.57986111111111116</v>
      </c>
      <c r="J10" s="1"/>
      <c r="K10" s="1"/>
      <c r="L10" s="1"/>
      <c r="M10" s="4"/>
      <c r="N10" s="5"/>
      <c r="O10" s="4"/>
      <c r="P10" s="5"/>
      <c r="Q10" s="1" t="s">
        <v>63</v>
      </c>
      <c r="R10" s="1" t="s">
        <v>59</v>
      </c>
      <c r="S10" s="1" t="s">
        <v>62</v>
      </c>
      <c r="T10" s="4">
        <v>46172</v>
      </c>
      <c r="U10" s="5">
        <v>0.3923611111111111</v>
      </c>
      <c r="V10" s="4">
        <v>46172</v>
      </c>
      <c r="W10" s="5">
        <v>0.65625</v>
      </c>
      <c r="X10" s="1"/>
      <c r="Y10" s="1"/>
      <c r="Z10" s="1"/>
      <c r="AA10" s="4"/>
      <c r="AB10" s="5"/>
      <c r="AC10" s="4"/>
      <c r="AD10" s="5"/>
    </row>
    <row r="11" spans="1:30" x14ac:dyDescent="0.3">
      <c r="A11">
        <v>10</v>
      </c>
      <c r="B11" t="s">
        <v>157</v>
      </c>
      <c r="C11" s="1" t="s">
        <v>61</v>
      </c>
      <c r="D11" s="1" t="s">
        <v>62</v>
      </c>
      <c r="E11" s="1" t="s">
        <v>59</v>
      </c>
      <c r="F11" s="4">
        <v>46159</v>
      </c>
      <c r="G11" s="5">
        <v>0.78472222222222221</v>
      </c>
      <c r="H11" s="4">
        <v>46160</v>
      </c>
      <c r="I11" s="5">
        <v>0.57986111111111116</v>
      </c>
      <c r="J11" s="1" t="s">
        <v>134</v>
      </c>
      <c r="K11" s="1" t="s">
        <v>59</v>
      </c>
      <c r="L11" s="1" t="s">
        <v>65</v>
      </c>
      <c r="M11" s="4">
        <v>46160</v>
      </c>
      <c r="N11" s="5">
        <v>0.69444444444444442</v>
      </c>
      <c r="O11" s="4">
        <v>46160</v>
      </c>
      <c r="P11" s="5">
        <v>0.73958333333333337</v>
      </c>
      <c r="Q11" s="1" t="s">
        <v>63</v>
      </c>
      <c r="R11" s="1" t="s">
        <v>59</v>
      </c>
      <c r="S11" s="1" t="s">
        <v>62</v>
      </c>
      <c r="T11" s="4">
        <v>46172</v>
      </c>
      <c r="U11" s="5">
        <v>0.35069444444444442</v>
      </c>
      <c r="V11" s="4">
        <v>46172</v>
      </c>
      <c r="W11" s="5">
        <v>0.65625</v>
      </c>
      <c r="X11" s="1"/>
      <c r="Y11" s="1"/>
      <c r="Z11" s="1"/>
      <c r="AA11" s="4"/>
      <c r="AB11" s="5"/>
      <c r="AC11" s="4"/>
      <c r="AD11" s="5"/>
    </row>
    <row r="12" spans="1:30" x14ac:dyDescent="0.3">
      <c r="A12">
        <v>11</v>
      </c>
      <c r="B12" t="s">
        <v>1276</v>
      </c>
      <c r="C12" s="1" t="s">
        <v>1275</v>
      </c>
      <c r="D12" s="1" t="s">
        <v>140</v>
      </c>
      <c r="E12" s="1" t="s">
        <v>59</v>
      </c>
      <c r="F12" s="4">
        <v>46162</v>
      </c>
      <c r="G12" s="5">
        <v>0.92361111111111116</v>
      </c>
      <c r="H12" s="4">
        <v>46163</v>
      </c>
      <c r="I12" s="5">
        <v>0.2673611111111111</v>
      </c>
      <c r="J12" s="1" t="s">
        <v>141</v>
      </c>
      <c r="K12" s="1" t="s">
        <v>59</v>
      </c>
      <c r="L12" s="1" t="s">
        <v>65</v>
      </c>
      <c r="M12" s="4">
        <v>46163</v>
      </c>
      <c r="N12" s="5">
        <v>0.34722222222222221</v>
      </c>
      <c r="O12" s="4">
        <v>46163</v>
      </c>
      <c r="P12" s="5">
        <v>0.3923611111111111</v>
      </c>
      <c r="Q12" s="1" t="s">
        <v>142</v>
      </c>
      <c r="R12" s="1" t="s">
        <v>59</v>
      </c>
      <c r="S12" s="1" t="s">
        <v>140</v>
      </c>
      <c r="T12" s="4">
        <v>46172</v>
      </c>
      <c r="U12" s="5">
        <v>0.34027777777777779</v>
      </c>
      <c r="V12" s="4">
        <v>46172</v>
      </c>
      <c r="W12" s="5">
        <v>0.52777777777777779</v>
      </c>
      <c r="X12" s="1"/>
      <c r="Y12" s="1"/>
      <c r="Z12" s="1"/>
      <c r="AA12" s="4"/>
      <c r="AB12" s="5"/>
      <c r="AC12" s="4"/>
      <c r="AD12" s="5"/>
    </row>
    <row r="13" spans="1:30" x14ac:dyDescent="0.3">
      <c r="A13">
        <v>12</v>
      </c>
      <c r="B13" t="s">
        <v>1277</v>
      </c>
      <c r="C13" s="1" t="s">
        <v>1275</v>
      </c>
      <c r="D13" s="1" t="s">
        <v>140</v>
      </c>
      <c r="E13" s="1" t="s">
        <v>59</v>
      </c>
      <c r="F13" s="4">
        <v>46165</v>
      </c>
      <c r="G13" s="5">
        <v>0.92361111111111116</v>
      </c>
      <c r="H13" s="4">
        <v>46166</v>
      </c>
      <c r="I13" s="5">
        <v>0.2673611111111111</v>
      </c>
      <c r="J13" s="1"/>
      <c r="K13" s="1"/>
      <c r="L13" s="1"/>
      <c r="M13" s="4"/>
      <c r="N13" s="5"/>
      <c r="O13" s="4"/>
      <c r="P13" s="5"/>
      <c r="Q13" s="1" t="s">
        <v>143</v>
      </c>
      <c r="R13" s="1" t="s">
        <v>65</v>
      </c>
      <c r="S13" s="1" t="s">
        <v>59</v>
      </c>
      <c r="T13" s="4">
        <v>46176</v>
      </c>
      <c r="U13" s="5">
        <v>0.14930555555555555</v>
      </c>
      <c r="V13" s="4">
        <v>46176</v>
      </c>
      <c r="W13" s="5">
        <v>0.19791666666666666</v>
      </c>
      <c r="X13" s="1" t="s">
        <v>142</v>
      </c>
      <c r="Y13" s="1" t="s">
        <v>59</v>
      </c>
      <c r="Z13" s="1" t="s">
        <v>140</v>
      </c>
      <c r="AA13" s="4">
        <v>46176</v>
      </c>
      <c r="AB13" s="5">
        <v>0.34027777777777779</v>
      </c>
      <c r="AC13" s="4">
        <v>46176</v>
      </c>
      <c r="AD13" s="5">
        <v>0.52777777777777779</v>
      </c>
    </row>
    <row r="14" spans="1:30" x14ac:dyDescent="0.3">
      <c r="A14">
        <v>13</v>
      </c>
      <c r="B14" t="s">
        <v>158</v>
      </c>
      <c r="C14" s="1" t="s">
        <v>64</v>
      </c>
      <c r="D14" s="1" t="s">
        <v>70</v>
      </c>
      <c r="E14" s="1" t="s">
        <v>59</v>
      </c>
      <c r="F14" s="4">
        <v>46163</v>
      </c>
      <c r="G14" s="5">
        <v>0.875</v>
      </c>
      <c r="H14" s="4">
        <v>46164</v>
      </c>
      <c r="I14" s="5">
        <v>5.5555555555555552E-2</v>
      </c>
      <c r="J14" s="1"/>
      <c r="K14" s="1"/>
      <c r="L14" s="1"/>
      <c r="M14" s="4"/>
      <c r="N14" s="5"/>
      <c r="O14" s="4"/>
      <c r="P14" s="5"/>
      <c r="Q14" s="1" t="s">
        <v>72</v>
      </c>
      <c r="R14" s="1" t="s">
        <v>65</v>
      </c>
      <c r="S14" s="1" t="s">
        <v>59</v>
      </c>
      <c r="T14" s="4">
        <v>46177</v>
      </c>
      <c r="U14" s="5">
        <v>0.25347222222222221</v>
      </c>
      <c r="V14" s="4">
        <v>46177</v>
      </c>
      <c r="W14" s="5">
        <v>0.30208333333333331</v>
      </c>
      <c r="X14" s="1" t="s">
        <v>71</v>
      </c>
      <c r="Y14" s="1" t="s">
        <v>59</v>
      </c>
      <c r="Z14" s="1" t="s">
        <v>70</v>
      </c>
      <c r="AA14" s="4">
        <v>46177</v>
      </c>
      <c r="AB14" s="5">
        <v>0.40972222222222221</v>
      </c>
      <c r="AC14" s="4">
        <v>46177</v>
      </c>
      <c r="AD14" s="5">
        <v>0.67013888888888884</v>
      </c>
    </row>
    <row r="15" spans="1:30" x14ac:dyDescent="0.3">
      <c r="A15">
        <v>14</v>
      </c>
      <c r="B15" t="s">
        <v>159</v>
      </c>
      <c r="C15" s="1" t="s">
        <v>66</v>
      </c>
      <c r="D15" s="1" t="s">
        <v>67</v>
      </c>
      <c r="E15" s="1" t="s">
        <v>59</v>
      </c>
      <c r="F15" s="4">
        <v>46163</v>
      </c>
      <c r="G15" s="5">
        <v>0.79166666666666663</v>
      </c>
      <c r="H15" s="4">
        <v>46164</v>
      </c>
      <c r="I15" s="5">
        <v>0.57986111111111116</v>
      </c>
      <c r="J15" s="1"/>
      <c r="K15" s="1"/>
      <c r="L15" s="1"/>
      <c r="M15" s="4"/>
      <c r="N15" s="5"/>
      <c r="O15" s="4"/>
      <c r="P15" s="5"/>
      <c r="Q15" s="1" t="s">
        <v>73</v>
      </c>
      <c r="R15" s="1" t="s">
        <v>65</v>
      </c>
      <c r="S15" s="1" t="s">
        <v>59</v>
      </c>
      <c r="T15" s="4">
        <v>46177</v>
      </c>
      <c r="U15" s="5">
        <v>0.14930555555555555</v>
      </c>
      <c r="V15" s="4">
        <v>46177</v>
      </c>
      <c r="W15" s="5">
        <v>0.19791666666666666</v>
      </c>
      <c r="X15" s="1" t="s">
        <v>68</v>
      </c>
      <c r="Y15" s="1" t="s">
        <v>59</v>
      </c>
      <c r="Z15" s="1" t="s">
        <v>67</v>
      </c>
      <c r="AA15" s="4">
        <v>46177</v>
      </c>
      <c r="AB15" s="5">
        <v>0.38541666666666669</v>
      </c>
      <c r="AC15" s="4">
        <v>46177</v>
      </c>
      <c r="AD15" s="5">
        <v>0.64236111111111116</v>
      </c>
    </row>
    <row r="16" spans="1:30" x14ac:dyDescent="0.3">
      <c r="A16">
        <v>15</v>
      </c>
      <c r="B16" t="s">
        <v>160</v>
      </c>
      <c r="C16" s="1" t="s">
        <v>69</v>
      </c>
      <c r="D16" s="1" t="s">
        <v>70</v>
      </c>
      <c r="E16" s="1" t="s">
        <v>59</v>
      </c>
      <c r="F16" s="4">
        <v>46163</v>
      </c>
      <c r="G16" s="5">
        <v>0.875</v>
      </c>
      <c r="H16" s="4">
        <v>46164</v>
      </c>
      <c r="I16" s="5">
        <v>0.93055555555555558</v>
      </c>
      <c r="J16" s="1"/>
      <c r="K16" s="1"/>
      <c r="L16" s="1"/>
      <c r="M16" s="4"/>
      <c r="N16" s="5"/>
      <c r="O16" s="4"/>
      <c r="P16" s="5"/>
      <c r="Q16" s="1" t="s">
        <v>73</v>
      </c>
      <c r="R16" s="1" t="s">
        <v>65</v>
      </c>
      <c r="S16" s="1" t="s">
        <v>70</v>
      </c>
      <c r="T16" s="4">
        <v>46177</v>
      </c>
      <c r="U16" s="5">
        <v>0.14930555555555555</v>
      </c>
      <c r="V16" s="4">
        <v>46177</v>
      </c>
      <c r="W16" s="5">
        <v>0.67013888888888884</v>
      </c>
      <c r="X16" s="1"/>
      <c r="Y16" s="1"/>
      <c r="Z16" s="1"/>
      <c r="AA16" s="4"/>
      <c r="AB16" s="5"/>
      <c r="AC16" s="4"/>
      <c r="AD16" s="5"/>
    </row>
    <row r="17" spans="1:31" x14ac:dyDescent="0.3">
      <c r="A17">
        <v>16</v>
      </c>
      <c r="B17" t="s">
        <v>161</v>
      </c>
      <c r="C17" s="1" t="s">
        <v>64</v>
      </c>
      <c r="D17" s="1" t="s">
        <v>62</v>
      </c>
      <c r="E17" s="1" t="s">
        <v>74</v>
      </c>
      <c r="F17" s="4">
        <v>46162</v>
      </c>
      <c r="G17" s="5">
        <v>0.78472222222222221</v>
      </c>
      <c r="H17" s="4">
        <v>46163</v>
      </c>
      <c r="I17" s="5">
        <v>0.60416666666666663</v>
      </c>
      <c r="J17" s="1" t="s">
        <v>138</v>
      </c>
      <c r="K17" s="1" t="s">
        <v>74</v>
      </c>
      <c r="L17" s="1" t="s">
        <v>65</v>
      </c>
      <c r="M17" s="4">
        <v>46163</v>
      </c>
      <c r="N17" s="5">
        <v>0.70486111111111116</v>
      </c>
      <c r="O17" s="4">
        <v>46163</v>
      </c>
      <c r="P17" s="5">
        <v>0.77083333333333337</v>
      </c>
      <c r="Q17" s="1" t="s">
        <v>75</v>
      </c>
      <c r="R17" s="1" t="s">
        <v>59</v>
      </c>
      <c r="S17" s="1" t="s">
        <v>74</v>
      </c>
      <c r="T17" s="4">
        <v>46174</v>
      </c>
      <c r="U17" s="5">
        <v>0.20833333333333334</v>
      </c>
      <c r="V17" s="4">
        <v>46174</v>
      </c>
      <c r="W17" s="5">
        <v>0.28472222222222221</v>
      </c>
      <c r="X17" s="1" t="s">
        <v>139</v>
      </c>
      <c r="Y17" s="1" t="s">
        <v>74</v>
      </c>
      <c r="Z17" s="1" t="s">
        <v>62</v>
      </c>
      <c r="AA17" s="4">
        <v>46174</v>
      </c>
      <c r="AB17" s="5">
        <v>0.36805555555555558</v>
      </c>
      <c r="AC17" s="4">
        <v>46174</v>
      </c>
      <c r="AD17" s="5">
        <v>0.65625</v>
      </c>
    </row>
    <row r="18" spans="1:31" x14ac:dyDescent="0.3">
      <c r="A18">
        <v>17</v>
      </c>
      <c r="B18" t="s">
        <v>162</v>
      </c>
      <c r="C18" s="1" t="s">
        <v>61</v>
      </c>
      <c r="D18" s="1" t="s">
        <v>62</v>
      </c>
      <c r="E18" s="1" t="s">
        <v>59</v>
      </c>
      <c r="F18" s="4">
        <v>46163</v>
      </c>
      <c r="G18" s="5">
        <v>0.78472222222222221</v>
      </c>
      <c r="H18" s="4">
        <v>46164</v>
      </c>
      <c r="I18" s="5">
        <v>0.57986111111111116</v>
      </c>
      <c r="J18" s="1"/>
      <c r="K18" s="1"/>
      <c r="L18" s="1"/>
      <c r="M18" s="4"/>
      <c r="N18" s="5"/>
      <c r="O18" s="4"/>
      <c r="P18" s="5"/>
      <c r="Q18" s="1" t="s">
        <v>72</v>
      </c>
      <c r="R18" s="1" t="s">
        <v>65</v>
      </c>
      <c r="S18" s="1" t="s">
        <v>59</v>
      </c>
      <c r="T18" s="4">
        <v>46175</v>
      </c>
      <c r="U18" s="5">
        <v>0.25347222222222221</v>
      </c>
      <c r="V18" s="4">
        <v>46175</v>
      </c>
      <c r="W18" s="5">
        <v>0.30208333333333331</v>
      </c>
      <c r="X18" s="1" t="s">
        <v>63</v>
      </c>
      <c r="Y18" s="1" t="s">
        <v>59</v>
      </c>
      <c r="Z18" s="1" t="s">
        <v>62</v>
      </c>
      <c r="AA18" s="4">
        <v>46175</v>
      </c>
      <c r="AB18" s="5">
        <v>0.3923611111111111</v>
      </c>
      <c r="AC18" s="4">
        <v>46177</v>
      </c>
      <c r="AD18" s="5">
        <v>0.65625</v>
      </c>
    </row>
    <row r="19" spans="1:31" x14ac:dyDescent="0.3">
      <c r="A19">
        <v>18</v>
      </c>
      <c r="B19" t="s">
        <v>163</v>
      </c>
      <c r="C19" s="1" t="s">
        <v>57</v>
      </c>
      <c r="D19" s="1" t="s">
        <v>58</v>
      </c>
      <c r="E19" s="1" t="s">
        <v>59</v>
      </c>
      <c r="F19" s="4">
        <v>46162</v>
      </c>
      <c r="G19" s="5">
        <v>0.45833333333333331</v>
      </c>
      <c r="H19" s="4">
        <v>46163</v>
      </c>
      <c r="I19" s="5">
        <v>0.2361111111111111</v>
      </c>
      <c r="J19" s="1"/>
      <c r="K19" s="1"/>
      <c r="L19" s="1"/>
      <c r="M19" s="4"/>
      <c r="N19" s="5"/>
      <c r="O19" s="4"/>
      <c r="P19" s="5"/>
      <c r="Q19" s="1" t="s">
        <v>76</v>
      </c>
      <c r="R19" s="1" t="s">
        <v>65</v>
      </c>
      <c r="S19" s="1" t="s">
        <v>58</v>
      </c>
      <c r="T19" s="4">
        <v>46175</v>
      </c>
      <c r="U19" s="5">
        <v>0.93055555555555558</v>
      </c>
      <c r="V19" s="4">
        <v>46176</v>
      </c>
      <c r="W19" s="5">
        <v>0.375</v>
      </c>
      <c r="X19" s="1"/>
      <c r="Y19" s="1"/>
      <c r="Z19" s="1"/>
      <c r="AA19" s="4"/>
      <c r="AB19" s="5"/>
      <c r="AC19" s="4"/>
      <c r="AD19" s="5"/>
    </row>
    <row r="20" spans="1:31" x14ac:dyDescent="0.3">
      <c r="A20">
        <v>19</v>
      </c>
      <c r="B20" t="s">
        <v>164</v>
      </c>
      <c r="C20" s="1" t="s">
        <v>57</v>
      </c>
      <c r="D20" s="1" t="s">
        <v>58</v>
      </c>
      <c r="E20" s="1" t="s">
        <v>59</v>
      </c>
      <c r="F20" s="4">
        <v>46162</v>
      </c>
      <c r="G20" s="5">
        <v>0.45833333333333331</v>
      </c>
      <c r="H20" s="4">
        <v>46163</v>
      </c>
      <c r="I20" s="5">
        <v>0.2361111111111111</v>
      </c>
      <c r="J20" s="1"/>
      <c r="K20" s="1"/>
      <c r="L20" s="1"/>
      <c r="M20" s="4"/>
      <c r="N20" s="5"/>
      <c r="O20" s="4"/>
      <c r="P20" s="5"/>
      <c r="Q20" s="1" t="s">
        <v>76</v>
      </c>
      <c r="R20" s="1" t="s">
        <v>65</v>
      </c>
      <c r="S20" s="1" t="s">
        <v>59</v>
      </c>
      <c r="T20" s="4">
        <v>46175</v>
      </c>
      <c r="U20" s="5">
        <v>0.93055555555555558</v>
      </c>
      <c r="V20" s="4">
        <v>46175</v>
      </c>
      <c r="W20" s="5">
        <v>0.97916666666666663</v>
      </c>
      <c r="X20" s="1" t="s">
        <v>60</v>
      </c>
      <c r="Y20" s="1" t="s">
        <v>59</v>
      </c>
      <c r="Z20" s="1" t="s">
        <v>58</v>
      </c>
      <c r="AA20" s="4">
        <v>46176</v>
      </c>
      <c r="AB20" s="5">
        <v>0.12847222222222221</v>
      </c>
      <c r="AC20" s="4">
        <v>46176</v>
      </c>
      <c r="AD20" s="5">
        <v>0.375</v>
      </c>
    </row>
    <row r="21" spans="1:31" x14ac:dyDescent="0.3">
      <c r="A21" s="6"/>
      <c r="B21" s="6"/>
      <c r="C21" s="6"/>
      <c r="D21" s="7"/>
      <c r="E21" s="8"/>
      <c r="F21" s="7"/>
      <c r="G21" s="8"/>
      <c r="H21" s="6"/>
      <c r="I21" s="6"/>
      <c r="J21" s="6"/>
      <c r="K21" s="7"/>
      <c r="L21" s="8"/>
      <c r="M21" s="7"/>
      <c r="N21" s="8"/>
      <c r="O21" s="6"/>
      <c r="P21" s="6"/>
      <c r="Q21" s="6"/>
      <c r="R21" s="7"/>
      <c r="S21" s="8"/>
      <c r="T21" s="7"/>
      <c r="U21" s="8"/>
      <c r="V21" s="6"/>
      <c r="W21" s="6"/>
      <c r="X21" s="6"/>
      <c r="Y21" s="7"/>
      <c r="Z21" s="8"/>
      <c r="AA21" s="7"/>
      <c r="AB21" s="8"/>
      <c r="AC21" s="8"/>
      <c r="AD21" s="8"/>
    </row>
    <row r="22" spans="1:31" x14ac:dyDescent="0.3">
      <c r="A22" s="6"/>
      <c r="B22" s="6"/>
      <c r="C22" s="6"/>
      <c r="D22" s="7"/>
      <c r="E22" s="8"/>
      <c r="F22" s="7"/>
      <c r="G22" s="8"/>
      <c r="H22" s="6"/>
      <c r="I22" s="6"/>
      <c r="J22" s="6"/>
      <c r="K22" s="7"/>
      <c r="L22" s="8"/>
      <c r="M22" s="7"/>
      <c r="N22" s="8"/>
      <c r="O22" s="6"/>
      <c r="P22" s="6"/>
      <c r="Q22" s="6"/>
      <c r="R22" s="7"/>
      <c r="S22" s="8"/>
      <c r="T22" s="7"/>
      <c r="U22" s="8"/>
      <c r="V22" s="6"/>
      <c r="W22" s="6"/>
      <c r="X22" s="6"/>
      <c r="Y22" s="7"/>
      <c r="Z22" s="8"/>
      <c r="AA22" s="7"/>
      <c r="AB22" s="8"/>
      <c r="AC22" s="8"/>
      <c r="AD22" s="8"/>
      <c r="AE22" s="8"/>
    </row>
    <row r="23" spans="1:31" x14ac:dyDescent="0.3">
      <c r="A23" s="6"/>
      <c r="B23" s="6"/>
      <c r="C23" s="6"/>
      <c r="D23" s="7"/>
      <c r="E23" s="8"/>
      <c r="F23" s="7"/>
      <c r="G23" s="8"/>
      <c r="H23" s="6"/>
      <c r="I23" s="6"/>
      <c r="J23" s="6"/>
      <c r="K23" s="7"/>
      <c r="L23" s="8"/>
      <c r="M23" s="7"/>
      <c r="N23" s="8"/>
      <c r="O23" s="6"/>
      <c r="P23" s="6"/>
      <c r="Q23" s="6"/>
      <c r="R23" s="7"/>
      <c r="S23" s="8"/>
      <c r="T23" s="7"/>
      <c r="U23" s="8"/>
      <c r="V23" s="6"/>
      <c r="W23" s="6"/>
      <c r="X23" s="6"/>
      <c r="Y23" s="7"/>
      <c r="Z23" s="8"/>
      <c r="AA23" s="7"/>
      <c r="AB23" s="8"/>
      <c r="AC23" s="8"/>
      <c r="AD23" s="8"/>
      <c r="AE23" s="8"/>
    </row>
    <row r="24" spans="1:31" x14ac:dyDescent="0.3">
      <c r="A24" s="6"/>
      <c r="B24" s="6"/>
      <c r="C24" s="6"/>
      <c r="D24" s="7"/>
      <c r="E24" s="8"/>
      <c r="F24" s="7"/>
      <c r="G24" s="8"/>
      <c r="H24" s="6"/>
      <c r="I24" s="6"/>
      <c r="J24" s="6"/>
      <c r="K24" s="7"/>
      <c r="L24" s="8"/>
      <c r="M24" s="7"/>
      <c r="N24" s="8"/>
      <c r="O24" s="6"/>
      <c r="P24" s="6"/>
      <c r="Q24" s="6"/>
      <c r="R24" s="7"/>
      <c r="S24" s="8"/>
      <c r="T24" s="7"/>
      <c r="U24" s="8"/>
      <c r="V24" s="6"/>
      <c r="W24" s="6"/>
      <c r="X24" s="6"/>
      <c r="Y24" s="7"/>
      <c r="Z24" s="8"/>
      <c r="AA24" s="7"/>
      <c r="AB24" s="8"/>
      <c r="AC24" s="8"/>
      <c r="AD24" s="8"/>
      <c r="AE24" s="8"/>
    </row>
    <row r="25" spans="1:31" x14ac:dyDescent="0.3">
      <c r="A25" s="6"/>
      <c r="B25" s="6"/>
      <c r="C25" s="6"/>
      <c r="D25" s="7"/>
      <c r="E25" s="8"/>
      <c r="F25" s="7"/>
      <c r="G25" s="8"/>
      <c r="H25" s="6"/>
      <c r="I25" s="6"/>
      <c r="J25" s="6"/>
      <c r="K25" s="7"/>
      <c r="L25" s="8"/>
      <c r="M25" s="7"/>
      <c r="N25" s="8"/>
      <c r="O25" s="6"/>
      <c r="P25" s="6"/>
      <c r="Q25" s="6"/>
      <c r="R25" s="7"/>
      <c r="S25" s="8"/>
      <c r="T25" s="7"/>
      <c r="U25" s="8"/>
      <c r="V25" s="6"/>
      <c r="W25" s="6"/>
      <c r="X25" s="6"/>
      <c r="Y25" s="7"/>
      <c r="Z25" s="8"/>
      <c r="AA25" s="7"/>
      <c r="AB25" s="8"/>
      <c r="AC25" s="8"/>
      <c r="AD25" s="8"/>
      <c r="AE25" s="8"/>
    </row>
    <row r="26" spans="1:31" x14ac:dyDescent="0.3">
      <c r="A26" s="6"/>
      <c r="B26" s="6"/>
      <c r="C26" s="6"/>
      <c r="D26" s="7"/>
      <c r="E26" s="8"/>
      <c r="F26" s="7"/>
      <c r="G26" s="8"/>
      <c r="H26" s="6"/>
      <c r="I26" s="6"/>
      <c r="J26" s="6"/>
      <c r="K26" s="7"/>
      <c r="L26" s="8"/>
      <c r="M26" s="7"/>
      <c r="N26" s="8"/>
      <c r="O26" s="6"/>
      <c r="P26" s="6"/>
      <c r="Q26" s="6"/>
      <c r="R26" s="7"/>
      <c r="S26" s="8"/>
      <c r="T26" s="7"/>
      <c r="U26" s="8"/>
      <c r="V26" s="6"/>
      <c r="W26" s="6"/>
      <c r="X26" s="6"/>
      <c r="Y26" s="7"/>
      <c r="Z26" s="8"/>
      <c r="AA26" s="7"/>
      <c r="AB26" s="8"/>
      <c r="AC26" s="8"/>
      <c r="AD26" s="8"/>
      <c r="AE26" s="8"/>
    </row>
    <row r="27" spans="1:31" x14ac:dyDescent="0.3">
      <c r="A27" s="6"/>
      <c r="B27" s="6"/>
      <c r="C27" s="6"/>
      <c r="D27" s="7"/>
      <c r="E27" s="8"/>
      <c r="F27" s="7"/>
      <c r="G27" s="8"/>
      <c r="H27" s="6"/>
      <c r="I27" s="6"/>
      <c r="J27" s="6"/>
      <c r="K27" s="7"/>
      <c r="L27" s="8"/>
      <c r="M27" s="7"/>
      <c r="N27" s="8"/>
      <c r="O27" s="6"/>
      <c r="P27" s="6"/>
      <c r="Q27" s="6"/>
      <c r="R27" s="7"/>
      <c r="S27" s="8"/>
      <c r="T27" s="7"/>
      <c r="U27" s="8"/>
      <c r="V27" s="6"/>
      <c r="W27" s="6"/>
      <c r="X27" s="6"/>
      <c r="Y27" s="7"/>
      <c r="Z27" s="8"/>
      <c r="AA27" s="7"/>
      <c r="AB27" s="8"/>
      <c r="AC27" s="8"/>
      <c r="AD27" s="8"/>
      <c r="AE27" s="8"/>
    </row>
    <row r="28" spans="1:31" x14ac:dyDescent="0.3">
      <c r="A28" s="6"/>
      <c r="B28" s="6"/>
      <c r="C28" s="6"/>
      <c r="D28" s="7"/>
      <c r="E28" s="8"/>
      <c r="F28" s="7"/>
      <c r="G28" s="8"/>
      <c r="H28" s="6"/>
      <c r="I28" s="6"/>
      <c r="J28" s="6"/>
      <c r="K28" s="7"/>
      <c r="L28" s="8"/>
      <c r="M28" s="7"/>
      <c r="N28" s="8"/>
      <c r="O28" s="6"/>
      <c r="P28" s="6"/>
      <c r="Q28" s="6"/>
      <c r="R28" s="7"/>
      <c r="S28" s="8"/>
      <c r="T28" s="7"/>
      <c r="U28" s="8"/>
      <c r="V28" s="6"/>
      <c r="W28" s="6"/>
      <c r="X28" s="6"/>
      <c r="Y28" s="7"/>
      <c r="Z28" s="8"/>
      <c r="AA28" s="7"/>
      <c r="AB28" s="8"/>
      <c r="AC28" s="8"/>
      <c r="AD28" s="8"/>
      <c r="AE28" s="8"/>
    </row>
    <row r="29" spans="1:31" x14ac:dyDescent="0.3">
      <c r="A29" s="6"/>
      <c r="B29" s="6"/>
      <c r="C29" s="6"/>
      <c r="D29" s="7"/>
      <c r="E29" s="8"/>
      <c r="F29" s="7"/>
      <c r="G29" s="8"/>
      <c r="H29" s="6"/>
      <c r="I29" s="6"/>
      <c r="J29" s="6"/>
      <c r="K29" s="7"/>
      <c r="L29" s="8"/>
      <c r="M29" s="7"/>
      <c r="N29" s="8"/>
      <c r="O29" s="6"/>
      <c r="P29" s="6"/>
      <c r="Q29" s="6"/>
      <c r="R29" s="7"/>
      <c r="S29" s="8"/>
      <c r="T29" s="7"/>
      <c r="U29" s="8"/>
      <c r="V29" s="6"/>
      <c r="W29" s="6"/>
      <c r="X29" s="6"/>
      <c r="Y29" s="7"/>
      <c r="Z29" s="8"/>
      <c r="AA29" s="7"/>
      <c r="AB29" s="8"/>
      <c r="AC29" s="8"/>
      <c r="AD29" s="8"/>
      <c r="AE29" s="8"/>
    </row>
    <row r="30" spans="1:31" x14ac:dyDescent="0.3">
      <c r="A30" s="6"/>
      <c r="B30" s="6"/>
      <c r="C30" s="6"/>
      <c r="D30" s="7"/>
      <c r="E30" s="8"/>
      <c r="F30" s="7"/>
      <c r="G30" s="8"/>
      <c r="H30" s="6"/>
      <c r="I30" s="6"/>
      <c r="J30" s="6"/>
      <c r="K30" s="7"/>
      <c r="L30" s="8"/>
      <c r="M30" s="7"/>
      <c r="N30" s="8"/>
      <c r="O30" s="6"/>
      <c r="P30" s="6"/>
      <c r="Q30" s="6"/>
      <c r="R30" s="7"/>
      <c r="S30" s="8"/>
      <c r="T30" s="7"/>
      <c r="U30" s="8"/>
      <c r="V30" s="6"/>
      <c r="W30" s="6"/>
      <c r="X30" s="6"/>
      <c r="Y30" s="7"/>
      <c r="Z30" s="8"/>
      <c r="AA30" s="7"/>
      <c r="AB30" s="8"/>
      <c r="AC30" s="8"/>
      <c r="AD30" s="8"/>
      <c r="AE30" s="8"/>
    </row>
    <row r="31" spans="1:31" x14ac:dyDescent="0.3">
      <c r="A31" s="6"/>
      <c r="B31" s="6"/>
      <c r="C31" s="6"/>
      <c r="D31" s="7"/>
      <c r="E31" s="8"/>
      <c r="F31" s="7"/>
      <c r="G31" s="8"/>
      <c r="H31" s="6"/>
      <c r="I31" s="6"/>
      <c r="J31" s="6"/>
      <c r="K31" s="7"/>
      <c r="L31" s="8"/>
      <c r="M31" s="7"/>
      <c r="N31" s="8"/>
      <c r="O31" s="6"/>
      <c r="P31" s="6"/>
      <c r="Q31" s="6"/>
      <c r="R31" s="7"/>
      <c r="S31" s="8"/>
      <c r="T31" s="7"/>
      <c r="U31" s="8"/>
      <c r="V31" s="6"/>
      <c r="W31" s="6"/>
      <c r="X31" s="6"/>
      <c r="Y31" s="7"/>
      <c r="Z31" s="8"/>
      <c r="AA31" s="7"/>
      <c r="AB31" s="8"/>
      <c r="AC31" s="8"/>
      <c r="AD31" s="8"/>
      <c r="AE31" s="8"/>
    </row>
    <row r="32" spans="1:31" x14ac:dyDescent="0.3">
      <c r="A32" s="6"/>
      <c r="B32" s="6"/>
      <c r="C32" s="6"/>
      <c r="D32" s="7"/>
      <c r="E32" s="8"/>
      <c r="F32" s="7"/>
      <c r="G32" s="8"/>
      <c r="H32" s="6"/>
      <c r="I32" s="6"/>
      <c r="J32" s="6"/>
      <c r="K32" s="7"/>
      <c r="L32" s="8"/>
      <c r="M32" s="7"/>
      <c r="N32" s="8"/>
      <c r="O32" s="6"/>
      <c r="P32" s="6"/>
      <c r="Q32" s="6"/>
      <c r="R32" s="7"/>
      <c r="S32" s="8"/>
      <c r="T32" s="7"/>
      <c r="U32" s="8"/>
      <c r="V32" s="6"/>
      <c r="W32" s="6"/>
      <c r="X32" s="6"/>
      <c r="Y32" s="7"/>
      <c r="Z32" s="8"/>
      <c r="AA32" s="7"/>
      <c r="AB32" s="8"/>
      <c r="AC32" s="8"/>
      <c r="AD32" s="8"/>
      <c r="AE32" s="8"/>
    </row>
    <row r="33" spans="1:31" x14ac:dyDescent="0.3">
      <c r="A33" s="6"/>
      <c r="B33" s="6"/>
      <c r="C33" s="6"/>
      <c r="D33" s="7"/>
      <c r="E33" s="8"/>
      <c r="F33" s="7"/>
      <c r="G33" s="8"/>
      <c r="H33" s="6"/>
      <c r="I33" s="6"/>
      <c r="J33" s="6"/>
      <c r="K33" s="7"/>
      <c r="L33" s="8"/>
      <c r="M33" s="7"/>
      <c r="N33" s="8"/>
      <c r="O33" s="6"/>
      <c r="P33" s="6"/>
      <c r="Q33" s="6"/>
      <c r="R33" s="7"/>
      <c r="S33" s="8"/>
      <c r="T33" s="7"/>
      <c r="U33" s="8"/>
      <c r="V33" s="6"/>
      <c r="W33" s="6"/>
      <c r="X33" s="6"/>
      <c r="Y33" s="7"/>
      <c r="Z33" s="8"/>
      <c r="AA33" s="7"/>
      <c r="AB33" s="8"/>
      <c r="AC33" s="8"/>
      <c r="AD33" s="8"/>
      <c r="AE33" s="8"/>
    </row>
    <row r="34" spans="1:31" x14ac:dyDescent="0.3">
      <c r="A34" s="6"/>
      <c r="B34" s="6"/>
      <c r="C34" s="6"/>
      <c r="D34" s="7"/>
      <c r="E34" s="8"/>
      <c r="F34" s="7"/>
      <c r="G34" s="8"/>
      <c r="H34" s="6"/>
      <c r="I34" s="6"/>
      <c r="J34" s="6"/>
      <c r="K34" s="7"/>
      <c r="L34" s="8"/>
      <c r="M34" s="7"/>
      <c r="N34" s="8"/>
      <c r="O34" s="6"/>
      <c r="P34" s="6"/>
      <c r="Q34" s="6"/>
      <c r="R34" s="7"/>
      <c r="S34" s="8"/>
      <c r="T34" s="7"/>
      <c r="U34" s="8"/>
      <c r="V34" s="6"/>
      <c r="W34" s="6"/>
      <c r="X34" s="6"/>
      <c r="Y34" s="7"/>
      <c r="Z34" s="8"/>
      <c r="AA34" s="7"/>
      <c r="AB34" s="8"/>
      <c r="AC34" s="8"/>
      <c r="AD34" s="8"/>
      <c r="AE34" s="8"/>
    </row>
    <row r="35" spans="1:31" x14ac:dyDescent="0.3">
      <c r="A35" s="6"/>
      <c r="B35" s="6"/>
      <c r="C35" s="6"/>
      <c r="D35" s="7"/>
      <c r="E35" s="8"/>
      <c r="F35" s="7"/>
      <c r="G35" s="8"/>
      <c r="H35" s="6"/>
      <c r="I35" s="6"/>
      <c r="J35" s="6"/>
      <c r="K35" s="7"/>
      <c r="L35" s="8"/>
      <c r="M35" s="7"/>
      <c r="N35" s="8"/>
      <c r="O35" s="6"/>
      <c r="P35" s="6"/>
      <c r="Q35" s="6"/>
      <c r="R35" s="7"/>
      <c r="S35" s="8"/>
      <c r="T35" s="7"/>
      <c r="U35" s="8"/>
      <c r="V35" s="6"/>
      <c r="W35" s="6"/>
      <c r="X35" s="6"/>
      <c r="Y35" s="7"/>
      <c r="Z35" s="8"/>
      <c r="AA35" s="7"/>
      <c r="AB35" s="8"/>
      <c r="AC35" s="8"/>
      <c r="AD35" s="8"/>
      <c r="AE35" s="8"/>
    </row>
    <row r="36" spans="1:31" x14ac:dyDescent="0.3">
      <c r="A36" s="6"/>
      <c r="B36" s="6"/>
      <c r="C36" s="6"/>
      <c r="D36" s="7"/>
      <c r="E36" s="8"/>
      <c r="F36" s="7"/>
      <c r="G36" s="8"/>
      <c r="H36" s="6"/>
      <c r="I36" s="6"/>
      <c r="J36" s="6"/>
      <c r="K36" s="7"/>
      <c r="L36" s="8"/>
      <c r="M36" s="7"/>
      <c r="N36" s="8"/>
      <c r="O36" s="6"/>
      <c r="P36" s="6"/>
      <c r="Q36" s="6"/>
      <c r="R36" s="7"/>
      <c r="S36" s="8"/>
      <c r="T36" s="7"/>
      <c r="U36" s="8"/>
      <c r="V36" s="6"/>
      <c r="W36" s="6"/>
      <c r="X36" s="6"/>
      <c r="Y36" s="7"/>
      <c r="Z36" s="8"/>
      <c r="AA36" s="7"/>
      <c r="AB36" s="8"/>
      <c r="AC36" s="8"/>
      <c r="AD36" s="8"/>
      <c r="AE36" s="8"/>
    </row>
    <row r="37" spans="1:31" x14ac:dyDescent="0.3">
      <c r="A37" s="6"/>
      <c r="B37" s="6"/>
      <c r="C37" s="6"/>
      <c r="D37" s="7"/>
      <c r="E37" s="8"/>
      <c r="F37" s="7"/>
      <c r="G37" s="8"/>
      <c r="H37" s="6"/>
      <c r="I37" s="6"/>
      <c r="J37" s="6"/>
      <c r="K37" s="7"/>
      <c r="L37" s="8"/>
      <c r="M37" s="7"/>
      <c r="N37" s="8"/>
      <c r="O37" s="6"/>
      <c r="P37" s="6"/>
      <c r="Q37" s="6"/>
      <c r="R37" s="7"/>
      <c r="S37" s="8"/>
      <c r="T37" s="7"/>
      <c r="U37" s="8"/>
      <c r="V37" s="6"/>
      <c r="W37" s="6"/>
      <c r="X37" s="6"/>
      <c r="Y37" s="7"/>
      <c r="Z37" s="8"/>
      <c r="AA37" s="7"/>
      <c r="AB37" s="8"/>
      <c r="AC37" s="8"/>
      <c r="AD37" s="8"/>
      <c r="AE37" s="8"/>
    </row>
    <row r="38" spans="1:31" x14ac:dyDescent="0.3">
      <c r="A38" s="6"/>
      <c r="B38" s="6"/>
      <c r="C38" s="6"/>
      <c r="D38" s="7"/>
      <c r="E38" s="8"/>
      <c r="F38" s="7"/>
      <c r="G38" s="8"/>
      <c r="H38" s="6"/>
      <c r="I38" s="6"/>
      <c r="J38" s="6"/>
      <c r="K38" s="7"/>
      <c r="L38" s="8"/>
      <c r="M38" s="7"/>
      <c r="N38" s="8"/>
      <c r="O38" s="6"/>
      <c r="P38" s="6"/>
      <c r="Q38" s="6"/>
      <c r="R38" s="7"/>
      <c r="S38" s="8"/>
      <c r="T38" s="7"/>
      <c r="U38" s="8"/>
      <c r="V38" s="6"/>
      <c r="W38" s="6"/>
      <c r="X38" s="6"/>
      <c r="Y38" s="7"/>
      <c r="Z38" s="8"/>
      <c r="AA38" s="7"/>
      <c r="AB38" s="8"/>
      <c r="AC38" s="8"/>
      <c r="AD38" s="8"/>
      <c r="AE38" s="8"/>
    </row>
    <row r="39" spans="1:31" x14ac:dyDescent="0.3">
      <c r="A39" s="6"/>
      <c r="B39" s="6"/>
      <c r="C39" s="6"/>
      <c r="D39" s="7"/>
      <c r="E39" s="8"/>
      <c r="F39" s="7"/>
      <c r="G39" s="8"/>
      <c r="H39" s="6"/>
      <c r="I39" s="6"/>
      <c r="J39" s="6"/>
      <c r="K39" s="7"/>
      <c r="L39" s="8"/>
      <c r="M39" s="7"/>
      <c r="N39" s="8"/>
      <c r="O39" s="6"/>
      <c r="P39" s="6"/>
      <c r="Q39" s="6"/>
      <c r="R39" s="7"/>
      <c r="S39" s="8"/>
      <c r="T39" s="7"/>
      <c r="U39" s="8"/>
      <c r="V39" s="6"/>
      <c r="W39" s="6"/>
      <c r="X39" s="6"/>
      <c r="Y39" s="7"/>
      <c r="Z39" s="8"/>
      <c r="AA39" s="7"/>
      <c r="AB39" s="8"/>
      <c r="AC39" s="8"/>
      <c r="AD39" s="8"/>
      <c r="AE39" s="8"/>
    </row>
    <row r="40" spans="1:31" x14ac:dyDescent="0.3">
      <c r="A40" s="6"/>
      <c r="B40" s="6"/>
      <c r="C40" s="6"/>
      <c r="D40" s="7"/>
      <c r="E40" s="8"/>
      <c r="F40" s="7"/>
      <c r="G40" s="8"/>
      <c r="H40" s="6"/>
      <c r="I40" s="6"/>
      <c r="J40" s="6"/>
      <c r="K40" s="7"/>
      <c r="L40" s="8"/>
      <c r="M40" s="7"/>
      <c r="N40" s="8"/>
      <c r="O40" s="6"/>
      <c r="P40" s="6"/>
      <c r="Q40" s="6"/>
      <c r="R40" s="7"/>
      <c r="S40" s="8"/>
      <c r="T40" s="7"/>
      <c r="U40" s="8"/>
      <c r="V40" s="6"/>
      <c r="W40" s="6"/>
      <c r="X40" s="6"/>
      <c r="Y40" s="7"/>
      <c r="Z40" s="8"/>
      <c r="AA40" s="7"/>
      <c r="AB40" s="8"/>
      <c r="AC40" s="8"/>
      <c r="AD40" s="8"/>
      <c r="AE40" s="8"/>
    </row>
    <row r="41" spans="1:31" x14ac:dyDescent="0.3">
      <c r="A41" s="6"/>
      <c r="B41" s="6"/>
      <c r="C41" s="6"/>
      <c r="D41" s="7"/>
      <c r="E41" s="8"/>
      <c r="F41" s="7"/>
      <c r="G41" s="8"/>
      <c r="H41" s="6"/>
      <c r="I41" s="6"/>
      <c r="J41" s="6"/>
      <c r="K41" s="7"/>
      <c r="L41" s="8"/>
      <c r="M41" s="7"/>
      <c r="N41" s="8"/>
      <c r="O41" s="6"/>
      <c r="P41" s="6"/>
      <c r="Q41" s="6"/>
      <c r="R41" s="7"/>
      <c r="S41" s="8"/>
      <c r="T41" s="7"/>
      <c r="U41" s="8"/>
      <c r="V41" s="6"/>
      <c r="W41" s="6"/>
      <c r="X41" s="6"/>
      <c r="Y41" s="7"/>
      <c r="Z41" s="8"/>
      <c r="AA41" s="7"/>
      <c r="AB41" s="8"/>
      <c r="AC41" s="8"/>
      <c r="AD41" s="8"/>
      <c r="AE41" s="8"/>
    </row>
    <row r="42" spans="1:31" x14ac:dyDescent="0.3">
      <c r="A42" s="6"/>
      <c r="B42" s="6"/>
      <c r="C42" s="6"/>
      <c r="D42" s="7"/>
      <c r="E42" s="8"/>
      <c r="F42" s="7"/>
      <c r="G42" s="8"/>
      <c r="H42" s="6"/>
      <c r="I42" s="6"/>
      <c r="J42" s="6"/>
      <c r="K42" s="7"/>
      <c r="L42" s="8"/>
      <c r="M42" s="7"/>
      <c r="N42" s="8"/>
      <c r="O42" s="6"/>
      <c r="P42" s="6"/>
      <c r="Q42" s="6"/>
      <c r="R42" s="7"/>
      <c r="S42" s="8"/>
      <c r="T42" s="7"/>
      <c r="U42" s="8"/>
      <c r="V42" s="6"/>
      <c r="W42" s="6"/>
      <c r="X42" s="6"/>
      <c r="Y42" s="7"/>
      <c r="Z42" s="8"/>
      <c r="AA42" s="7"/>
      <c r="AB42" s="8"/>
      <c r="AC42" s="8"/>
      <c r="AD42" s="8"/>
      <c r="AE42" s="8"/>
    </row>
    <row r="43" spans="1:31" x14ac:dyDescent="0.3">
      <c r="A43" s="6"/>
      <c r="B43" s="6"/>
      <c r="C43" s="6"/>
      <c r="D43" s="7"/>
      <c r="E43" s="8"/>
      <c r="F43" s="7"/>
      <c r="G43" s="8"/>
      <c r="H43" s="6"/>
      <c r="I43" s="6"/>
      <c r="J43" s="6"/>
      <c r="K43" s="7"/>
      <c r="L43" s="8"/>
      <c r="M43" s="7"/>
      <c r="N43" s="8"/>
      <c r="O43" s="6"/>
      <c r="P43" s="6"/>
      <c r="Q43" s="6"/>
      <c r="R43" s="7"/>
      <c r="S43" s="8"/>
      <c r="T43" s="7"/>
      <c r="U43" s="8"/>
      <c r="V43" s="6"/>
      <c r="W43" s="6"/>
      <c r="X43" s="6"/>
      <c r="Y43" s="7"/>
      <c r="Z43" s="8"/>
      <c r="AA43" s="7"/>
      <c r="AB43" s="8"/>
      <c r="AC43" s="8"/>
      <c r="AD43" s="8"/>
      <c r="AE43" s="8"/>
    </row>
    <row r="44" spans="1:31" x14ac:dyDescent="0.3">
      <c r="A44" s="6"/>
      <c r="B44" s="6"/>
      <c r="C44" s="6"/>
      <c r="D44" s="7"/>
      <c r="E44" s="8"/>
      <c r="F44" s="7"/>
      <c r="G44" s="8"/>
      <c r="H44" s="6"/>
      <c r="I44" s="6"/>
      <c r="J44" s="6"/>
      <c r="K44" s="7"/>
      <c r="L44" s="8"/>
      <c r="M44" s="7"/>
      <c r="N44" s="8"/>
      <c r="O44" s="6"/>
      <c r="P44" s="6"/>
      <c r="Q44" s="6"/>
      <c r="R44" s="7"/>
      <c r="S44" s="8"/>
      <c r="T44" s="7"/>
      <c r="U44" s="8"/>
      <c r="V44" s="6"/>
      <c r="W44" s="6"/>
      <c r="X44" s="6"/>
      <c r="Y44" s="7"/>
      <c r="Z44" s="8"/>
      <c r="AA44" s="7"/>
      <c r="AB44" s="8"/>
      <c r="AC44" s="8"/>
      <c r="AD44" s="8"/>
      <c r="AE44" s="8"/>
    </row>
    <row r="45" spans="1:31" x14ac:dyDescent="0.3">
      <c r="A45" s="6"/>
      <c r="B45" s="6"/>
      <c r="C45" s="6"/>
      <c r="D45" s="7"/>
      <c r="E45" s="8"/>
      <c r="F45" s="7"/>
      <c r="G45" s="8"/>
      <c r="H45" s="6"/>
      <c r="I45" s="6"/>
      <c r="J45" s="6"/>
      <c r="K45" s="7"/>
      <c r="L45" s="8"/>
      <c r="M45" s="7"/>
      <c r="N45" s="8"/>
      <c r="O45" s="6"/>
      <c r="P45" s="6"/>
      <c r="Q45" s="6"/>
      <c r="R45" s="7"/>
      <c r="S45" s="8"/>
      <c r="T45" s="7"/>
      <c r="U45" s="8"/>
      <c r="V45" s="6"/>
      <c r="W45" s="6"/>
      <c r="X45" s="6"/>
      <c r="Y45" s="7"/>
      <c r="Z45" s="8"/>
      <c r="AA45" s="7"/>
      <c r="AB45" s="8"/>
      <c r="AC45" s="8"/>
      <c r="AD45" s="8"/>
      <c r="AE45" s="8"/>
    </row>
    <row r="46" spans="1:31" x14ac:dyDescent="0.3">
      <c r="A46" s="6"/>
      <c r="B46" s="6"/>
      <c r="C46" s="6"/>
      <c r="D46" s="7"/>
      <c r="E46" s="8"/>
      <c r="F46" s="7"/>
      <c r="G46" s="8"/>
      <c r="H46" s="6"/>
      <c r="I46" s="6"/>
      <c r="J46" s="6"/>
      <c r="K46" s="7"/>
      <c r="L46" s="8"/>
      <c r="M46" s="7"/>
      <c r="N46" s="8"/>
      <c r="O46" s="6"/>
      <c r="P46" s="6"/>
      <c r="Q46" s="6"/>
      <c r="R46" s="7"/>
      <c r="S46" s="8"/>
      <c r="T46" s="7"/>
      <c r="U46" s="8"/>
      <c r="V46" s="6"/>
      <c r="W46" s="6"/>
      <c r="X46" s="6"/>
      <c r="Y46" s="7"/>
      <c r="Z46" s="8"/>
      <c r="AA46" s="7"/>
      <c r="AB46" s="8"/>
      <c r="AC46" s="8"/>
      <c r="AD46" s="8"/>
      <c r="AE46" s="8"/>
    </row>
    <row r="47" spans="1:31" x14ac:dyDescent="0.3">
      <c r="A47" s="6"/>
      <c r="B47" s="6"/>
      <c r="C47" s="6"/>
      <c r="D47" s="7"/>
      <c r="E47" s="8"/>
      <c r="F47" s="7"/>
      <c r="G47" s="8"/>
      <c r="H47" s="6"/>
      <c r="I47" s="6"/>
      <c r="J47" s="6"/>
      <c r="K47" s="7"/>
      <c r="L47" s="8"/>
      <c r="M47" s="7"/>
      <c r="N47" s="8"/>
      <c r="O47" s="6"/>
      <c r="P47" s="6"/>
      <c r="Q47" s="6"/>
      <c r="R47" s="7"/>
      <c r="S47" s="8"/>
      <c r="T47" s="7"/>
      <c r="U47" s="8"/>
      <c r="V47" s="6"/>
      <c r="W47" s="6"/>
      <c r="X47" s="6"/>
      <c r="Y47" s="7"/>
      <c r="Z47" s="8"/>
      <c r="AA47" s="7"/>
      <c r="AB47" s="8"/>
      <c r="AC47" s="8"/>
      <c r="AD47" s="8"/>
      <c r="AE47" s="8"/>
    </row>
    <row r="48" spans="1:31" x14ac:dyDescent="0.3">
      <c r="A48" s="6"/>
      <c r="B48" s="6"/>
      <c r="C48" s="6"/>
      <c r="D48" s="7"/>
      <c r="E48" s="8"/>
      <c r="F48" s="7"/>
      <c r="G48" s="8"/>
      <c r="H48" s="6"/>
      <c r="I48" s="6"/>
      <c r="J48" s="6"/>
      <c r="K48" s="7"/>
      <c r="L48" s="8"/>
      <c r="M48" s="7"/>
      <c r="N48" s="8"/>
      <c r="O48" s="6"/>
      <c r="P48" s="6"/>
      <c r="Q48" s="6"/>
      <c r="R48" s="7"/>
      <c r="S48" s="8"/>
      <c r="T48" s="7"/>
      <c r="U48" s="8"/>
      <c r="V48" s="6"/>
      <c r="W48" s="6"/>
      <c r="X48" s="6"/>
      <c r="Y48" s="7"/>
      <c r="Z48" s="8"/>
      <c r="AA48" s="7"/>
      <c r="AB48" s="8"/>
      <c r="AC48" s="8"/>
      <c r="AD48" s="8"/>
      <c r="AE48" s="8"/>
    </row>
    <row r="49" spans="1:31" x14ac:dyDescent="0.3">
      <c r="A49" s="6"/>
      <c r="B49" s="6"/>
      <c r="C49" s="6"/>
      <c r="D49" s="7"/>
      <c r="E49" s="8"/>
      <c r="F49" s="7"/>
      <c r="G49" s="8"/>
      <c r="H49" s="6"/>
      <c r="I49" s="6"/>
      <c r="J49" s="6"/>
      <c r="K49" s="7"/>
      <c r="L49" s="8"/>
      <c r="M49" s="7"/>
      <c r="N49" s="8"/>
      <c r="O49" s="6"/>
      <c r="P49" s="6"/>
      <c r="Q49" s="6"/>
      <c r="R49" s="7"/>
      <c r="S49" s="8"/>
      <c r="T49" s="7"/>
      <c r="U49" s="8"/>
      <c r="V49" s="6"/>
      <c r="W49" s="6"/>
      <c r="X49" s="6"/>
      <c r="Y49" s="7"/>
      <c r="Z49" s="8"/>
      <c r="AA49" s="7"/>
      <c r="AB49" s="8"/>
      <c r="AC49" s="8"/>
      <c r="AD49" s="8"/>
      <c r="AE49" s="8"/>
    </row>
    <row r="50" spans="1:31" x14ac:dyDescent="0.3">
      <c r="A50" s="6"/>
      <c r="B50" s="6"/>
      <c r="C50" s="6"/>
      <c r="D50" s="7"/>
      <c r="E50" s="8"/>
      <c r="F50" s="7"/>
      <c r="G50" s="8"/>
      <c r="H50" s="6"/>
      <c r="I50" s="6"/>
      <c r="J50" s="6"/>
      <c r="K50" s="7"/>
      <c r="L50" s="8"/>
      <c r="M50" s="7"/>
      <c r="N50" s="8"/>
      <c r="O50" s="6"/>
      <c r="P50" s="6"/>
      <c r="Q50" s="6"/>
      <c r="R50" s="7"/>
      <c r="S50" s="8"/>
      <c r="T50" s="7"/>
      <c r="U50" s="8"/>
      <c r="V50" s="6"/>
      <c r="W50" s="6"/>
      <c r="X50" s="6"/>
      <c r="Y50" s="7"/>
      <c r="Z50" s="8"/>
      <c r="AA50" s="7"/>
      <c r="AB50" s="8"/>
      <c r="AC50" s="8"/>
      <c r="AD50" s="8"/>
      <c r="AE50" s="8"/>
    </row>
    <row r="51" spans="1:31" x14ac:dyDescent="0.3">
      <c r="A51" s="6"/>
      <c r="B51" s="6"/>
      <c r="C51" s="6"/>
      <c r="D51" s="7"/>
      <c r="E51" s="8"/>
      <c r="F51" s="7"/>
      <c r="G51" s="8"/>
      <c r="H51" s="6"/>
      <c r="I51" s="6"/>
      <c r="J51" s="6"/>
      <c r="K51" s="7"/>
      <c r="L51" s="8"/>
      <c r="M51" s="7"/>
      <c r="N51" s="8"/>
      <c r="O51" s="6"/>
      <c r="P51" s="6"/>
      <c r="Q51" s="6"/>
      <c r="R51" s="7"/>
      <c r="S51" s="8"/>
      <c r="T51" s="7"/>
      <c r="U51" s="8"/>
      <c r="V51" s="6"/>
      <c r="W51" s="6"/>
      <c r="X51" s="6"/>
      <c r="Y51" s="7"/>
      <c r="Z51" s="8"/>
      <c r="AA51" s="7"/>
      <c r="AB51" s="8"/>
      <c r="AC51" s="8"/>
      <c r="AD51" s="8"/>
      <c r="AE51" s="8"/>
    </row>
    <row r="52" spans="1:31" x14ac:dyDescent="0.3">
      <c r="A52" s="6"/>
      <c r="B52" s="6"/>
      <c r="C52" s="6"/>
      <c r="D52" s="7"/>
      <c r="E52" s="8"/>
      <c r="F52" s="7"/>
      <c r="G52" s="8"/>
      <c r="H52" s="6"/>
      <c r="I52" s="6"/>
      <c r="J52" s="6"/>
      <c r="K52" s="7"/>
      <c r="L52" s="8"/>
      <c r="M52" s="7"/>
      <c r="N52" s="8"/>
      <c r="O52" s="6"/>
      <c r="P52" s="6"/>
      <c r="Q52" s="6"/>
      <c r="R52" s="7"/>
      <c r="S52" s="8"/>
      <c r="T52" s="7"/>
      <c r="U52" s="8"/>
      <c r="V52" s="6"/>
      <c r="W52" s="6"/>
      <c r="X52" s="6"/>
      <c r="Y52" s="7"/>
      <c r="Z52" s="8"/>
      <c r="AA52" s="7"/>
      <c r="AB52" s="8"/>
      <c r="AC52" s="8"/>
      <c r="AD52" s="8"/>
      <c r="AE52" s="8"/>
    </row>
    <row r="53" spans="1:31" x14ac:dyDescent="0.3">
      <c r="A53" s="6"/>
      <c r="B53" s="6"/>
      <c r="C53" s="6"/>
      <c r="D53" s="7"/>
      <c r="E53" s="8"/>
      <c r="F53" s="7"/>
      <c r="G53" s="8"/>
      <c r="H53" s="6"/>
      <c r="I53" s="6"/>
      <c r="J53" s="6"/>
      <c r="K53" s="7"/>
      <c r="L53" s="8"/>
      <c r="M53" s="7"/>
      <c r="N53" s="8"/>
      <c r="O53" s="6"/>
      <c r="P53" s="6"/>
      <c r="Q53" s="6"/>
      <c r="R53" s="7"/>
      <c r="S53" s="8"/>
      <c r="T53" s="7"/>
      <c r="U53" s="8"/>
      <c r="V53" s="6"/>
      <c r="W53" s="6"/>
      <c r="X53" s="6"/>
      <c r="Y53" s="7"/>
      <c r="Z53" s="8"/>
      <c r="AA53" s="7"/>
      <c r="AB53" s="8"/>
      <c r="AC53" s="8"/>
      <c r="AD53" s="8"/>
      <c r="AE53" s="8"/>
    </row>
    <row r="54" spans="1:31" x14ac:dyDescent="0.3">
      <c r="A54" s="6"/>
      <c r="B54" s="6"/>
      <c r="C54" s="6"/>
      <c r="D54" s="7"/>
      <c r="E54" s="8"/>
      <c r="F54" s="7"/>
      <c r="G54" s="8"/>
      <c r="H54" s="6"/>
      <c r="I54" s="6"/>
      <c r="J54" s="6"/>
      <c r="K54" s="7"/>
      <c r="L54" s="8"/>
      <c r="M54" s="7"/>
      <c r="N54" s="8"/>
      <c r="O54" s="6"/>
      <c r="P54" s="6"/>
      <c r="Q54" s="6"/>
      <c r="R54" s="7"/>
      <c r="S54" s="8"/>
      <c r="T54" s="7"/>
      <c r="U54" s="8"/>
      <c r="V54" s="6"/>
      <c r="W54" s="6"/>
      <c r="X54" s="6"/>
      <c r="Y54" s="7"/>
      <c r="Z54" s="8"/>
      <c r="AA54" s="7"/>
      <c r="AB54" s="8"/>
      <c r="AC54" s="8"/>
      <c r="AD54" s="8"/>
      <c r="AE54" s="8"/>
    </row>
    <row r="55" spans="1:31" x14ac:dyDescent="0.3">
      <c r="A55" s="6"/>
      <c r="B55" s="6"/>
      <c r="C55" s="6"/>
      <c r="D55" s="7"/>
      <c r="E55" s="8"/>
      <c r="F55" s="7"/>
      <c r="G55" s="8"/>
      <c r="H55" s="6"/>
      <c r="I55" s="6"/>
      <c r="J55" s="6"/>
      <c r="K55" s="7"/>
      <c r="L55" s="8"/>
      <c r="M55" s="7"/>
      <c r="N55" s="8"/>
      <c r="O55" s="6"/>
      <c r="P55" s="6"/>
      <c r="Q55" s="6"/>
      <c r="R55" s="7"/>
      <c r="S55" s="8"/>
      <c r="T55" s="7"/>
      <c r="U55" s="8"/>
      <c r="V55" s="6"/>
      <c r="W55" s="6"/>
      <c r="X55" s="6"/>
      <c r="Y55" s="7"/>
      <c r="Z55" s="8"/>
      <c r="AA55" s="7"/>
      <c r="AB55" s="8"/>
      <c r="AC55" s="8"/>
      <c r="AD55" s="8"/>
      <c r="AE55" s="8"/>
    </row>
    <row r="56" spans="1:31" x14ac:dyDescent="0.3">
      <c r="A56" s="6"/>
      <c r="B56" s="6"/>
      <c r="C56" s="6"/>
      <c r="D56" s="7"/>
      <c r="E56" s="8"/>
      <c r="F56" s="7"/>
      <c r="G56" s="8"/>
      <c r="H56" s="6"/>
      <c r="I56" s="6"/>
      <c r="J56" s="6"/>
      <c r="K56" s="7"/>
      <c r="L56" s="8"/>
      <c r="M56" s="7"/>
      <c r="N56" s="8"/>
      <c r="O56" s="6"/>
      <c r="P56" s="6"/>
      <c r="Q56" s="6"/>
      <c r="R56" s="7"/>
      <c r="S56" s="8"/>
      <c r="T56" s="7"/>
      <c r="U56" s="8"/>
      <c r="V56" s="6"/>
      <c r="W56" s="6"/>
      <c r="X56" s="6"/>
      <c r="Y56" s="7"/>
      <c r="Z56" s="8"/>
      <c r="AA56" s="7"/>
      <c r="AB56" s="8"/>
      <c r="AC56" s="8"/>
      <c r="AD56" s="8"/>
      <c r="AE56" s="8"/>
    </row>
    <row r="57" spans="1:31" x14ac:dyDescent="0.3">
      <c r="A57" s="6"/>
      <c r="B57" s="6"/>
      <c r="C57" s="6"/>
      <c r="D57" s="7"/>
      <c r="E57" s="8"/>
      <c r="F57" s="7"/>
      <c r="G57" s="8"/>
      <c r="H57" s="6"/>
      <c r="I57" s="6"/>
      <c r="J57" s="6"/>
      <c r="K57" s="7"/>
      <c r="L57" s="8"/>
      <c r="M57" s="7"/>
      <c r="N57" s="8"/>
      <c r="O57" s="6"/>
      <c r="P57" s="6"/>
      <c r="Q57" s="6"/>
      <c r="R57" s="7"/>
      <c r="S57" s="8"/>
      <c r="T57" s="7"/>
      <c r="U57" s="8"/>
      <c r="V57" s="6"/>
      <c r="W57" s="6"/>
      <c r="X57" s="6"/>
      <c r="Y57" s="7"/>
      <c r="Z57" s="8"/>
      <c r="AA57" s="7"/>
      <c r="AB57" s="8"/>
      <c r="AC57" s="8"/>
      <c r="AD57" s="8"/>
      <c r="AE57" s="8"/>
    </row>
    <row r="58" spans="1:31" x14ac:dyDescent="0.3">
      <c r="A58" s="6"/>
      <c r="B58" s="6"/>
      <c r="C58" s="6"/>
      <c r="D58" s="7"/>
      <c r="E58" s="8"/>
      <c r="F58" s="7"/>
      <c r="G58" s="8"/>
      <c r="H58" s="6"/>
      <c r="I58" s="6"/>
      <c r="J58" s="6"/>
      <c r="K58" s="7"/>
      <c r="L58" s="8"/>
      <c r="M58" s="7"/>
      <c r="N58" s="8"/>
      <c r="O58" s="6"/>
      <c r="P58" s="6"/>
      <c r="Q58" s="6"/>
      <c r="R58" s="7"/>
      <c r="S58" s="8"/>
      <c r="T58" s="7"/>
      <c r="U58" s="8"/>
      <c r="V58" s="6"/>
      <c r="W58" s="6"/>
      <c r="X58" s="6"/>
      <c r="Y58" s="7"/>
      <c r="Z58" s="8"/>
      <c r="AA58" s="7"/>
      <c r="AB58" s="8"/>
      <c r="AC58" s="8"/>
      <c r="AD58" s="8"/>
      <c r="AE58" s="8"/>
    </row>
    <row r="59" spans="1:31" x14ac:dyDescent="0.3">
      <c r="A59" s="6"/>
      <c r="B59" s="6"/>
      <c r="C59" s="6"/>
      <c r="D59" s="7"/>
      <c r="E59" s="8"/>
      <c r="F59" s="7"/>
      <c r="G59" s="8"/>
      <c r="H59" s="6"/>
      <c r="I59" s="6"/>
      <c r="J59" s="6"/>
      <c r="K59" s="7"/>
      <c r="L59" s="8"/>
      <c r="M59" s="7"/>
      <c r="N59" s="8"/>
      <c r="O59" s="6"/>
      <c r="P59" s="6"/>
      <c r="Q59" s="6"/>
      <c r="R59" s="7"/>
      <c r="S59" s="8"/>
      <c r="T59" s="7"/>
      <c r="U59" s="8"/>
      <c r="V59" s="6"/>
      <c r="W59" s="6"/>
      <c r="X59" s="6"/>
      <c r="Y59" s="7"/>
      <c r="Z59" s="8"/>
      <c r="AA59" s="7"/>
      <c r="AB59" s="8"/>
      <c r="AC59" s="8"/>
      <c r="AD59" s="8"/>
      <c r="AE59" s="8"/>
    </row>
    <row r="60" spans="1:31" x14ac:dyDescent="0.3">
      <c r="A60" s="6"/>
      <c r="B60" s="6"/>
      <c r="C60" s="6"/>
      <c r="D60" s="7"/>
      <c r="E60" s="8"/>
      <c r="F60" s="7"/>
      <c r="G60" s="8"/>
      <c r="H60" s="6"/>
      <c r="I60" s="6"/>
      <c r="J60" s="6"/>
      <c r="K60" s="7"/>
      <c r="L60" s="8"/>
      <c r="M60" s="7"/>
      <c r="N60" s="8"/>
      <c r="O60" s="6"/>
      <c r="P60" s="6"/>
      <c r="Q60" s="6"/>
      <c r="R60" s="7"/>
      <c r="S60" s="8"/>
      <c r="T60" s="7"/>
      <c r="U60" s="8"/>
      <c r="V60" s="6"/>
      <c r="W60" s="6"/>
      <c r="X60" s="6"/>
      <c r="Y60" s="7"/>
      <c r="Z60" s="8"/>
      <c r="AA60" s="7"/>
      <c r="AB60" s="8"/>
      <c r="AC60" s="8"/>
      <c r="AD60" s="8"/>
      <c r="AE60" s="8"/>
    </row>
    <row r="61" spans="1:31" x14ac:dyDescent="0.3">
      <c r="A61" s="6"/>
      <c r="B61" s="6"/>
      <c r="C61" s="6"/>
      <c r="D61" s="7"/>
      <c r="E61" s="8"/>
      <c r="F61" s="7"/>
      <c r="G61" s="8"/>
      <c r="H61" s="6"/>
      <c r="I61" s="6"/>
      <c r="J61" s="6"/>
      <c r="K61" s="7"/>
      <c r="L61" s="8"/>
      <c r="M61" s="7"/>
      <c r="N61" s="8"/>
      <c r="O61" s="6"/>
      <c r="P61" s="6"/>
      <c r="Q61" s="6"/>
      <c r="R61" s="7"/>
      <c r="S61" s="8"/>
      <c r="T61" s="7"/>
      <c r="U61" s="8"/>
      <c r="V61" s="6"/>
      <c r="W61" s="6"/>
      <c r="X61" s="6"/>
      <c r="Y61" s="7"/>
      <c r="Z61" s="8"/>
      <c r="AA61" s="7"/>
      <c r="AB61" s="8"/>
      <c r="AC61" s="8"/>
      <c r="AD61" s="8"/>
      <c r="AE61" s="8"/>
    </row>
    <row r="62" spans="1:31" x14ac:dyDescent="0.3">
      <c r="A62" s="6"/>
      <c r="B62" s="6"/>
      <c r="C62" s="6"/>
      <c r="D62" s="7"/>
      <c r="E62" s="8"/>
      <c r="F62" s="7"/>
      <c r="G62" s="8"/>
      <c r="H62" s="6"/>
      <c r="I62" s="6"/>
      <c r="J62" s="6"/>
      <c r="K62" s="7"/>
      <c r="L62" s="8"/>
      <c r="M62" s="7"/>
      <c r="N62" s="8"/>
      <c r="O62" s="6"/>
      <c r="P62" s="6"/>
      <c r="Q62" s="6"/>
      <c r="R62" s="7"/>
      <c r="S62" s="8"/>
      <c r="T62" s="7"/>
      <c r="U62" s="8"/>
      <c r="V62" s="6"/>
      <c r="W62" s="6"/>
      <c r="X62" s="6"/>
      <c r="Y62" s="7"/>
      <c r="Z62" s="8"/>
      <c r="AA62" s="7"/>
      <c r="AB62" s="8"/>
      <c r="AC62" s="8"/>
      <c r="AD62" s="8"/>
      <c r="AE62" s="8"/>
    </row>
    <row r="63" spans="1:31" x14ac:dyDescent="0.3">
      <c r="A63" s="6"/>
      <c r="B63" s="6"/>
      <c r="C63" s="6"/>
      <c r="D63" s="7"/>
      <c r="E63" s="8"/>
      <c r="F63" s="7"/>
      <c r="G63" s="8"/>
      <c r="H63" s="6"/>
      <c r="I63" s="6"/>
      <c r="J63" s="6"/>
      <c r="K63" s="7"/>
      <c r="L63" s="8"/>
      <c r="M63" s="7"/>
      <c r="N63" s="8"/>
      <c r="O63" s="6"/>
      <c r="P63" s="6"/>
      <c r="Q63" s="6"/>
      <c r="R63" s="7"/>
      <c r="S63" s="8"/>
      <c r="T63" s="7"/>
      <c r="U63" s="8"/>
      <c r="V63" s="6"/>
      <c r="W63" s="6"/>
      <c r="X63" s="6"/>
      <c r="Y63" s="7"/>
      <c r="Z63" s="8"/>
      <c r="AA63" s="7"/>
      <c r="AB63" s="8"/>
      <c r="AC63" s="8"/>
      <c r="AD63" s="8"/>
      <c r="AE63" s="8"/>
    </row>
    <row r="64" spans="1:31" x14ac:dyDescent="0.3">
      <c r="A64" s="6"/>
      <c r="B64" s="6"/>
      <c r="C64" s="6"/>
      <c r="D64" s="7"/>
      <c r="E64" s="8"/>
      <c r="F64" s="7"/>
      <c r="G64" s="8"/>
      <c r="H64" s="6"/>
      <c r="I64" s="6"/>
      <c r="J64" s="6"/>
      <c r="K64" s="7"/>
      <c r="L64" s="8"/>
      <c r="M64" s="7"/>
      <c r="N64" s="8"/>
      <c r="O64" s="6"/>
      <c r="P64" s="6"/>
      <c r="Q64" s="6"/>
      <c r="R64" s="7"/>
      <c r="S64" s="8"/>
      <c r="T64" s="7"/>
      <c r="U64" s="8"/>
      <c r="V64" s="6"/>
      <c r="W64" s="6"/>
      <c r="X64" s="6"/>
      <c r="Y64" s="7"/>
      <c r="Z64" s="8"/>
      <c r="AA64" s="7"/>
      <c r="AB64" s="8"/>
      <c r="AC64" s="8"/>
      <c r="AD64" s="8"/>
      <c r="AE64" s="8"/>
    </row>
    <row r="65" spans="1:31" x14ac:dyDescent="0.3">
      <c r="A65" s="6"/>
      <c r="B65" s="6"/>
      <c r="C65" s="6"/>
      <c r="D65" s="7"/>
      <c r="E65" s="8"/>
      <c r="F65" s="7"/>
      <c r="G65" s="8"/>
      <c r="H65" s="6"/>
      <c r="I65" s="6"/>
      <c r="J65" s="6"/>
      <c r="K65" s="7"/>
      <c r="L65" s="8"/>
      <c r="M65" s="7"/>
      <c r="N65" s="8"/>
      <c r="O65" s="6"/>
      <c r="P65" s="6"/>
      <c r="Q65" s="6"/>
      <c r="R65" s="7"/>
      <c r="S65" s="8"/>
      <c r="T65" s="7"/>
      <c r="U65" s="8"/>
      <c r="V65" s="6"/>
      <c r="W65" s="6"/>
      <c r="X65" s="6"/>
      <c r="Y65" s="7"/>
      <c r="Z65" s="8"/>
      <c r="AA65" s="7"/>
      <c r="AB65" s="8"/>
      <c r="AC65" s="8"/>
      <c r="AD65" s="8"/>
      <c r="AE65" s="8"/>
    </row>
    <row r="66" spans="1:31" x14ac:dyDescent="0.3">
      <c r="A66" s="6"/>
      <c r="B66" s="6"/>
      <c r="C66" s="6"/>
      <c r="D66" s="7"/>
      <c r="E66" s="8"/>
      <c r="F66" s="7"/>
      <c r="G66" s="8"/>
      <c r="H66" s="6"/>
      <c r="I66" s="6"/>
      <c r="J66" s="6"/>
      <c r="K66" s="7"/>
      <c r="L66" s="8"/>
      <c r="M66" s="7"/>
      <c r="N66" s="8"/>
      <c r="O66" s="6"/>
      <c r="P66" s="6"/>
      <c r="Q66" s="6"/>
      <c r="R66" s="7"/>
      <c r="S66" s="8"/>
      <c r="T66" s="7"/>
      <c r="U66" s="8"/>
      <c r="V66" s="6"/>
      <c r="W66" s="6"/>
      <c r="X66" s="6"/>
      <c r="Y66" s="7"/>
      <c r="Z66" s="8"/>
      <c r="AA66" s="7"/>
      <c r="AB66" s="8"/>
      <c r="AC66" s="8"/>
      <c r="AD66" s="8"/>
      <c r="AE66" s="8"/>
    </row>
    <row r="67" spans="1:31" x14ac:dyDescent="0.3">
      <c r="A67" s="6"/>
      <c r="B67" s="6"/>
      <c r="C67" s="6"/>
      <c r="D67" s="7"/>
      <c r="E67" s="8"/>
      <c r="F67" s="7"/>
      <c r="G67" s="8"/>
      <c r="H67" s="6"/>
      <c r="I67" s="6"/>
      <c r="J67" s="6"/>
      <c r="K67" s="7"/>
      <c r="L67" s="8"/>
      <c r="M67" s="7"/>
      <c r="N67" s="8"/>
      <c r="O67" s="6"/>
      <c r="P67" s="6"/>
      <c r="Q67" s="6"/>
      <c r="R67" s="7"/>
      <c r="S67" s="8"/>
      <c r="T67" s="7"/>
      <c r="U67" s="8"/>
      <c r="V67" s="6"/>
      <c r="W67" s="6"/>
      <c r="X67" s="6"/>
      <c r="Y67" s="7"/>
      <c r="Z67" s="8"/>
      <c r="AA67" s="7"/>
      <c r="AB67" s="8"/>
      <c r="AC67" s="8"/>
      <c r="AD67" s="8"/>
      <c r="AE67" s="8"/>
    </row>
    <row r="68" spans="1:31" x14ac:dyDescent="0.3">
      <c r="A68" s="6"/>
      <c r="B68" s="6"/>
      <c r="C68" s="6"/>
      <c r="D68" s="7"/>
      <c r="E68" s="8"/>
      <c r="F68" s="7"/>
      <c r="G68" s="8"/>
      <c r="H68" s="6"/>
      <c r="I68" s="6"/>
      <c r="J68" s="6"/>
      <c r="K68" s="7"/>
      <c r="L68" s="8"/>
      <c r="M68" s="7"/>
      <c r="N68" s="8"/>
      <c r="O68" s="6"/>
      <c r="P68" s="6"/>
      <c r="Q68" s="6"/>
      <c r="R68" s="7"/>
      <c r="S68" s="8"/>
      <c r="T68" s="7"/>
      <c r="U68" s="8"/>
      <c r="V68" s="6"/>
      <c r="W68" s="6"/>
      <c r="X68" s="6"/>
      <c r="Y68" s="7"/>
      <c r="Z68" s="8"/>
      <c r="AA68" s="7"/>
      <c r="AB68" s="8"/>
      <c r="AC68" s="8"/>
      <c r="AD68" s="8"/>
      <c r="AE68" s="8"/>
    </row>
    <row r="69" spans="1:31" x14ac:dyDescent="0.3">
      <c r="A69" s="6"/>
      <c r="B69" s="6"/>
      <c r="C69" s="6"/>
      <c r="D69" s="7"/>
      <c r="E69" s="8"/>
      <c r="F69" s="7"/>
      <c r="G69" s="8"/>
      <c r="H69" s="6"/>
      <c r="I69" s="6"/>
      <c r="J69" s="6"/>
      <c r="K69" s="7"/>
      <c r="L69" s="8"/>
      <c r="M69" s="7"/>
      <c r="N69" s="8"/>
      <c r="O69" s="6"/>
      <c r="P69" s="6"/>
      <c r="Q69" s="6"/>
      <c r="R69" s="7"/>
      <c r="S69" s="8"/>
      <c r="T69" s="7"/>
      <c r="U69" s="8"/>
      <c r="V69" s="6"/>
      <c r="W69" s="6"/>
      <c r="X69" s="6"/>
      <c r="Y69" s="7"/>
      <c r="Z69" s="8"/>
      <c r="AA69" s="7"/>
      <c r="AB69" s="8"/>
      <c r="AC69" s="8"/>
      <c r="AD69" s="8"/>
      <c r="AE69" s="8"/>
    </row>
    <row r="70" spans="1:31" x14ac:dyDescent="0.3">
      <c r="A70" s="6"/>
      <c r="B70" s="6"/>
      <c r="C70" s="6"/>
      <c r="D70" s="7"/>
      <c r="E70" s="8"/>
      <c r="F70" s="7"/>
      <c r="G70" s="8"/>
      <c r="H70" s="6"/>
      <c r="I70" s="6"/>
      <c r="J70" s="6"/>
      <c r="K70" s="7"/>
      <c r="L70" s="8"/>
      <c r="M70" s="7"/>
      <c r="N70" s="8"/>
      <c r="O70" s="6"/>
      <c r="P70" s="6"/>
      <c r="Q70" s="6"/>
      <c r="R70" s="7"/>
      <c r="S70" s="8"/>
      <c r="T70" s="7"/>
      <c r="U70" s="8"/>
      <c r="V70" s="6"/>
      <c r="W70" s="6"/>
      <c r="X70" s="6"/>
      <c r="Y70" s="7"/>
      <c r="Z70" s="8"/>
      <c r="AA70" s="7"/>
      <c r="AB70" s="8"/>
      <c r="AC70" s="8"/>
      <c r="AD70" s="8"/>
      <c r="AE70" s="8"/>
    </row>
    <row r="71" spans="1:31" x14ac:dyDescent="0.3">
      <c r="A71" s="6"/>
      <c r="B71" s="6"/>
      <c r="C71" s="6"/>
      <c r="D71" s="7"/>
      <c r="E71" s="8"/>
      <c r="F71" s="7"/>
      <c r="G71" s="8"/>
      <c r="H71" s="6"/>
      <c r="I71" s="6"/>
      <c r="J71" s="6"/>
      <c r="K71" s="7"/>
      <c r="L71" s="8"/>
      <c r="M71" s="7"/>
      <c r="N71" s="8"/>
      <c r="O71" s="6"/>
      <c r="P71" s="6"/>
      <c r="Q71" s="6"/>
      <c r="R71" s="7"/>
      <c r="S71" s="8"/>
      <c r="T71" s="7"/>
      <c r="U71" s="8"/>
      <c r="V71" s="6"/>
      <c r="W71" s="6"/>
      <c r="X71" s="6"/>
      <c r="Y71" s="7"/>
      <c r="Z71" s="8"/>
      <c r="AA71" s="7"/>
      <c r="AB71" s="8"/>
      <c r="AC71" s="8"/>
      <c r="AD71" s="8"/>
      <c r="AE71" s="8"/>
    </row>
    <row r="72" spans="1:31" x14ac:dyDescent="0.3">
      <c r="A72" s="6"/>
      <c r="B72" s="6"/>
      <c r="C72" s="6"/>
      <c r="D72" s="7"/>
      <c r="E72" s="8"/>
      <c r="F72" s="7"/>
      <c r="G72" s="8"/>
      <c r="H72" s="6"/>
      <c r="I72" s="6"/>
      <c r="J72" s="6"/>
      <c r="K72" s="7"/>
      <c r="L72" s="8"/>
      <c r="M72" s="7"/>
      <c r="N72" s="8"/>
      <c r="O72" s="6"/>
      <c r="P72" s="6"/>
      <c r="Q72" s="6"/>
      <c r="R72" s="7"/>
      <c r="S72" s="8"/>
      <c r="T72" s="7"/>
      <c r="U72" s="8"/>
      <c r="V72" s="6"/>
      <c r="W72" s="6"/>
      <c r="X72" s="6"/>
      <c r="Y72" s="7"/>
      <c r="Z72" s="8"/>
      <c r="AA72" s="7"/>
      <c r="AB72" s="8"/>
      <c r="AC72" s="8"/>
      <c r="AD72" s="8"/>
      <c r="AE72" s="8"/>
    </row>
    <row r="73" spans="1:31" x14ac:dyDescent="0.3">
      <c r="A73" s="6"/>
      <c r="B73" s="6"/>
      <c r="C73" s="6"/>
      <c r="D73" s="7"/>
      <c r="E73" s="8"/>
      <c r="F73" s="7"/>
      <c r="G73" s="8"/>
      <c r="H73" s="6"/>
      <c r="I73" s="6"/>
      <c r="J73" s="6"/>
      <c r="K73" s="7"/>
      <c r="L73" s="8"/>
      <c r="M73" s="7"/>
      <c r="N73" s="8"/>
      <c r="O73" s="6"/>
      <c r="P73" s="6"/>
      <c r="Q73" s="6"/>
      <c r="R73" s="7"/>
      <c r="S73" s="8"/>
      <c r="T73" s="7"/>
      <c r="U73" s="8"/>
      <c r="V73" s="6"/>
      <c r="W73" s="6"/>
      <c r="X73" s="6"/>
      <c r="Y73" s="7"/>
      <c r="Z73" s="8"/>
      <c r="AA73" s="7"/>
      <c r="AB73" s="8"/>
      <c r="AC73" s="8"/>
      <c r="AD73" s="8"/>
      <c r="AE73" s="8"/>
    </row>
    <row r="74" spans="1:31" x14ac:dyDescent="0.3">
      <c r="A74" s="6"/>
      <c r="B74" s="6"/>
      <c r="C74" s="6"/>
      <c r="D74" s="7"/>
      <c r="E74" s="8"/>
      <c r="F74" s="7"/>
      <c r="G74" s="8"/>
      <c r="H74" s="6"/>
      <c r="I74" s="6"/>
      <c r="J74" s="6"/>
      <c r="K74" s="7"/>
      <c r="L74" s="8"/>
      <c r="M74" s="7"/>
      <c r="N74" s="8"/>
      <c r="O74" s="6"/>
      <c r="P74" s="6"/>
      <c r="Q74" s="6"/>
      <c r="R74" s="7"/>
      <c r="S74" s="8"/>
      <c r="T74" s="7"/>
      <c r="U74" s="8"/>
      <c r="V74" s="6"/>
      <c r="W74" s="6"/>
      <c r="X74" s="6"/>
      <c r="Y74" s="7"/>
      <c r="Z74" s="8"/>
      <c r="AA74" s="7"/>
      <c r="AB74" s="8"/>
      <c r="AC74" s="8"/>
      <c r="AD74" s="8"/>
      <c r="AE74" s="8"/>
    </row>
    <row r="75" spans="1:31" x14ac:dyDescent="0.3">
      <c r="A75" s="6"/>
      <c r="B75" s="6"/>
      <c r="C75" s="6"/>
      <c r="D75" s="7"/>
      <c r="E75" s="8"/>
      <c r="F75" s="7"/>
      <c r="G75" s="8"/>
      <c r="H75" s="6"/>
      <c r="I75" s="6"/>
      <c r="J75" s="6"/>
      <c r="K75" s="7"/>
      <c r="L75" s="8"/>
      <c r="M75" s="7"/>
      <c r="N75" s="8"/>
      <c r="O75" s="6"/>
      <c r="P75" s="6"/>
      <c r="Q75" s="6"/>
      <c r="R75" s="7"/>
      <c r="S75" s="8"/>
      <c r="T75" s="7"/>
      <c r="U75" s="8"/>
      <c r="V75" s="6"/>
      <c r="W75" s="6"/>
      <c r="X75" s="6"/>
      <c r="Y75" s="7"/>
      <c r="Z75" s="8"/>
      <c r="AA75" s="7"/>
      <c r="AB75" s="8"/>
      <c r="AC75" s="8"/>
      <c r="AD75" s="8"/>
      <c r="AE75" s="8"/>
    </row>
    <row r="76" spans="1:31" x14ac:dyDescent="0.3">
      <c r="A76" s="6"/>
      <c r="B76" s="6"/>
      <c r="C76" s="6"/>
      <c r="D76" s="7"/>
      <c r="E76" s="8"/>
      <c r="F76" s="7"/>
      <c r="G76" s="8"/>
      <c r="H76" s="6"/>
      <c r="I76" s="6"/>
      <c r="J76" s="6"/>
      <c r="K76" s="7"/>
      <c r="L76" s="8"/>
      <c r="M76" s="7"/>
      <c r="N76" s="8"/>
      <c r="O76" s="6"/>
      <c r="P76" s="6"/>
      <c r="Q76" s="6"/>
      <c r="R76" s="7"/>
      <c r="S76" s="8"/>
      <c r="T76" s="7"/>
      <c r="U76" s="8"/>
      <c r="V76" s="6"/>
      <c r="W76" s="6"/>
      <c r="X76" s="6"/>
      <c r="Y76" s="7"/>
      <c r="Z76" s="8"/>
      <c r="AA76" s="7"/>
      <c r="AB76" s="8"/>
      <c r="AC76" s="8"/>
      <c r="AD76" s="8"/>
      <c r="AE76" s="8"/>
    </row>
    <row r="77" spans="1:31" x14ac:dyDescent="0.3">
      <c r="A77" s="6"/>
      <c r="B77" s="6"/>
      <c r="C77" s="6"/>
      <c r="D77" s="7"/>
      <c r="E77" s="8"/>
      <c r="F77" s="7"/>
      <c r="G77" s="8"/>
      <c r="H77" s="6"/>
      <c r="I77" s="6"/>
      <c r="J77" s="6"/>
      <c r="K77" s="7"/>
      <c r="L77" s="8"/>
      <c r="M77" s="7"/>
      <c r="N77" s="8"/>
      <c r="O77" s="6"/>
      <c r="P77" s="6"/>
      <c r="Q77" s="6"/>
      <c r="R77" s="7"/>
      <c r="S77" s="8"/>
      <c r="T77" s="7"/>
      <c r="U77" s="8"/>
      <c r="V77" s="6"/>
      <c r="W77" s="6"/>
      <c r="X77" s="6"/>
      <c r="Y77" s="7"/>
      <c r="Z77" s="8"/>
      <c r="AA77" s="7"/>
      <c r="AB77" s="8"/>
      <c r="AC77" s="8"/>
      <c r="AD77" s="8"/>
      <c r="AE77" s="8"/>
    </row>
    <row r="78" spans="1:31" x14ac:dyDescent="0.3">
      <c r="A78" s="6"/>
      <c r="B78" s="6"/>
      <c r="C78" s="6"/>
      <c r="D78" s="7"/>
      <c r="E78" s="8"/>
      <c r="F78" s="7"/>
      <c r="G78" s="8"/>
      <c r="H78" s="6"/>
      <c r="I78" s="6"/>
      <c r="J78" s="6"/>
      <c r="K78" s="7"/>
      <c r="L78" s="8"/>
      <c r="M78" s="7"/>
      <c r="N78" s="8"/>
      <c r="O78" s="6"/>
      <c r="P78" s="6"/>
      <c r="Q78" s="6"/>
      <c r="R78" s="7"/>
      <c r="S78" s="8"/>
      <c r="T78" s="7"/>
      <c r="U78" s="8"/>
      <c r="V78" s="6"/>
      <c r="W78" s="6"/>
      <c r="X78" s="6"/>
      <c r="Y78" s="7"/>
      <c r="Z78" s="8"/>
      <c r="AA78" s="7"/>
      <c r="AB78" s="8"/>
      <c r="AC78" s="8"/>
      <c r="AD78" s="8"/>
      <c r="AE78" s="8"/>
    </row>
    <row r="79" spans="1:31" x14ac:dyDescent="0.3">
      <c r="A79" s="6"/>
      <c r="B79" s="6"/>
      <c r="C79" s="6"/>
      <c r="D79" s="7"/>
      <c r="E79" s="8"/>
      <c r="F79" s="7"/>
      <c r="G79" s="8"/>
      <c r="H79" s="6"/>
      <c r="I79" s="6"/>
      <c r="J79" s="6"/>
      <c r="K79" s="7"/>
      <c r="L79" s="8"/>
      <c r="M79" s="7"/>
      <c r="N79" s="8"/>
      <c r="O79" s="6"/>
      <c r="P79" s="6"/>
      <c r="Q79" s="6"/>
      <c r="R79" s="7"/>
      <c r="S79" s="8"/>
      <c r="T79" s="7"/>
      <c r="U79" s="8"/>
      <c r="V79" s="6"/>
      <c r="W79" s="6"/>
      <c r="X79" s="6"/>
      <c r="Y79" s="7"/>
      <c r="Z79" s="8"/>
      <c r="AA79" s="7"/>
      <c r="AB79" s="8"/>
      <c r="AC79" s="8"/>
      <c r="AD79" s="8"/>
      <c r="AE79" s="8"/>
    </row>
    <row r="80" spans="1:31" x14ac:dyDescent="0.3">
      <c r="A80" s="6"/>
      <c r="B80" s="6"/>
      <c r="C80" s="6"/>
      <c r="D80" s="7"/>
      <c r="E80" s="8"/>
      <c r="F80" s="7"/>
      <c r="G80" s="8"/>
      <c r="H80" s="6"/>
      <c r="I80" s="6"/>
      <c r="J80" s="6"/>
      <c r="K80" s="7"/>
      <c r="L80" s="8"/>
      <c r="M80" s="7"/>
      <c r="N80" s="8"/>
      <c r="O80" s="6"/>
      <c r="P80" s="6"/>
      <c r="Q80" s="6"/>
      <c r="R80" s="7"/>
      <c r="S80" s="8"/>
      <c r="T80" s="7"/>
      <c r="U80" s="8"/>
      <c r="V80" s="6"/>
      <c r="W80" s="6"/>
      <c r="X80" s="6"/>
      <c r="Y80" s="7"/>
      <c r="Z80" s="8"/>
      <c r="AA80" s="7"/>
      <c r="AB80" s="8"/>
      <c r="AC80" s="8"/>
      <c r="AD80" s="8"/>
      <c r="AE80" s="8"/>
    </row>
    <row r="81" spans="1:31" x14ac:dyDescent="0.3">
      <c r="A81" s="6"/>
      <c r="B81" s="6"/>
      <c r="C81" s="6"/>
      <c r="D81" s="7"/>
      <c r="E81" s="8"/>
      <c r="F81" s="7"/>
      <c r="G81" s="8"/>
      <c r="H81" s="6"/>
      <c r="I81" s="6"/>
      <c r="J81" s="6"/>
      <c r="K81" s="7"/>
      <c r="L81" s="8"/>
      <c r="M81" s="7"/>
      <c r="N81" s="8"/>
      <c r="O81" s="6"/>
      <c r="P81" s="6"/>
      <c r="Q81" s="6"/>
      <c r="R81" s="7"/>
      <c r="S81" s="8"/>
      <c r="T81" s="7"/>
      <c r="U81" s="8"/>
      <c r="V81" s="6"/>
      <c r="W81" s="6"/>
      <c r="X81" s="6"/>
      <c r="Y81" s="7"/>
      <c r="Z81" s="8"/>
      <c r="AA81" s="7"/>
      <c r="AB81" s="8"/>
      <c r="AC81" s="8"/>
      <c r="AD81" s="8"/>
      <c r="AE81" s="8"/>
    </row>
    <row r="82" spans="1:31" x14ac:dyDescent="0.3">
      <c r="A82" s="6"/>
      <c r="B82" s="6"/>
      <c r="C82" s="6"/>
      <c r="D82" s="7"/>
      <c r="E82" s="8"/>
      <c r="F82" s="7"/>
      <c r="G82" s="8"/>
      <c r="H82" s="6"/>
      <c r="I82" s="6"/>
      <c r="J82" s="6"/>
      <c r="K82" s="7"/>
      <c r="L82" s="8"/>
      <c r="M82" s="7"/>
      <c r="N82" s="8"/>
      <c r="O82" s="6"/>
      <c r="P82" s="6"/>
      <c r="Q82" s="6"/>
      <c r="R82" s="7"/>
      <c r="S82" s="8"/>
      <c r="T82" s="7"/>
      <c r="U82" s="8"/>
      <c r="V82" s="6"/>
      <c r="W82" s="6"/>
      <c r="X82" s="6"/>
      <c r="Y82" s="7"/>
      <c r="Z82" s="8"/>
      <c r="AA82" s="7"/>
      <c r="AB82" s="8"/>
      <c r="AC82" s="8"/>
      <c r="AD82" s="8"/>
      <c r="AE82" s="8"/>
    </row>
    <row r="83" spans="1:31" x14ac:dyDescent="0.3">
      <c r="A83" s="6"/>
      <c r="B83" s="6"/>
      <c r="C83" s="6"/>
      <c r="D83" s="7"/>
      <c r="E83" s="8"/>
      <c r="F83" s="7"/>
      <c r="G83" s="8"/>
      <c r="H83" s="6"/>
      <c r="I83" s="6"/>
      <c r="J83" s="6"/>
      <c r="K83" s="7"/>
      <c r="L83" s="8"/>
      <c r="M83" s="7"/>
      <c r="N83" s="8"/>
      <c r="O83" s="6"/>
      <c r="P83" s="6"/>
      <c r="Q83" s="6"/>
      <c r="R83" s="7"/>
      <c r="S83" s="8"/>
      <c r="T83" s="7"/>
      <c r="U83" s="8"/>
      <c r="V83" s="6"/>
      <c r="W83" s="6"/>
      <c r="X83" s="6"/>
      <c r="Y83" s="7"/>
      <c r="Z83" s="8"/>
      <c r="AA83" s="7"/>
      <c r="AB83" s="8"/>
      <c r="AC83" s="8"/>
      <c r="AD83" s="8"/>
      <c r="AE83" s="8"/>
    </row>
    <row r="84" spans="1:31" x14ac:dyDescent="0.3">
      <c r="A84" s="6"/>
      <c r="B84" s="6"/>
      <c r="C84" s="6"/>
      <c r="D84" s="7"/>
      <c r="E84" s="8"/>
      <c r="F84" s="7"/>
      <c r="G84" s="8"/>
      <c r="H84" s="6"/>
      <c r="I84" s="6"/>
      <c r="J84" s="6"/>
      <c r="K84" s="7"/>
      <c r="L84" s="8"/>
      <c r="M84" s="7"/>
      <c r="N84" s="8"/>
      <c r="O84" s="6"/>
      <c r="P84" s="6"/>
      <c r="Q84" s="6"/>
      <c r="R84" s="7"/>
      <c r="S84" s="8"/>
      <c r="T84" s="7"/>
      <c r="U84" s="8"/>
      <c r="V84" s="6"/>
      <c r="W84" s="6"/>
      <c r="X84" s="6"/>
      <c r="Y84" s="7"/>
      <c r="Z84" s="8"/>
      <c r="AA84" s="7"/>
      <c r="AB84" s="8"/>
      <c r="AC84" s="8"/>
      <c r="AD84" s="8"/>
      <c r="AE84" s="8"/>
    </row>
    <row r="85" spans="1:31" x14ac:dyDescent="0.3">
      <c r="A85" s="6"/>
      <c r="B85" s="6"/>
      <c r="C85" s="6"/>
      <c r="D85" s="7"/>
      <c r="E85" s="8"/>
      <c r="F85" s="7"/>
      <c r="G85" s="8"/>
      <c r="H85" s="6"/>
      <c r="I85" s="6"/>
      <c r="J85" s="6"/>
      <c r="K85" s="7"/>
      <c r="L85" s="8"/>
      <c r="M85" s="7"/>
      <c r="N85" s="8"/>
      <c r="O85" s="6"/>
      <c r="P85" s="6"/>
      <c r="Q85" s="6"/>
      <c r="R85" s="7"/>
      <c r="S85" s="8"/>
      <c r="T85" s="7"/>
      <c r="U85" s="8"/>
      <c r="V85" s="6"/>
      <c r="W85" s="6"/>
      <c r="X85" s="6"/>
      <c r="Y85" s="7"/>
      <c r="Z85" s="8"/>
      <c r="AA85" s="7"/>
      <c r="AB85" s="8"/>
      <c r="AC85" s="8"/>
      <c r="AD85" s="8"/>
      <c r="AE85" s="8"/>
    </row>
    <row r="86" spans="1:31" x14ac:dyDescent="0.3">
      <c r="A86" s="6"/>
      <c r="B86" s="6"/>
      <c r="C86" s="6"/>
      <c r="D86" s="7"/>
      <c r="E86" s="8"/>
      <c r="F86" s="7"/>
      <c r="G86" s="8"/>
      <c r="H86" s="6"/>
      <c r="I86" s="6"/>
      <c r="J86" s="6"/>
      <c r="K86" s="7"/>
      <c r="L86" s="8"/>
      <c r="M86" s="7"/>
      <c r="N86" s="8"/>
      <c r="O86" s="6"/>
      <c r="P86" s="6"/>
      <c r="Q86" s="6"/>
      <c r="R86" s="7"/>
      <c r="S86" s="8"/>
      <c r="T86" s="7"/>
      <c r="U86" s="8"/>
      <c r="V86" s="6"/>
      <c r="W86" s="6"/>
      <c r="X86" s="6"/>
      <c r="Y86" s="7"/>
      <c r="Z86" s="8"/>
      <c r="AA86" s="7"/>
      <c r="AB86" s="8"/>
      <c r="AC86" s="8"/>
      <c r="AD86" s="8"/>
      <c r="AE86" s="8"/>
    </row>
    <row r="87" spans="1:31" x14ac:dyDescent="0.3">
      <c r="A87" s="6"/>
      <c r="B87" s="6"/>
      <c r="C87" s="6"/>
      <c r="D87" s="7"/>
      <c r="E87" s="8"/>
      <c r="F87" s="7"/>
      <c r="G87" s="8"/>
      <c r="H87" s="6"/>
      <c r="I87" s="6"/>
      <c r="J87" s="6"/>
      <c r="K87" s="7"/>
      <c r="L87" s="8"/>
      <c r="M87" s="7"/>
      <c r="N87" s="8"/>
      <c r="O87" s="6"/>
      <c r="P87" s="6"/>
      <c r="Q87" s="6"/>
      <c r="R87" s="7"/>
      <c r="S87" s="8"/>
      <c r="T87" s="7"/>
      <c r="U87" s="8"/>
      <c r="V87" s="6"/>
      <c r="W87" s="6"/>
      <c r="X87" s="6"/>
      <c r="Y87" s="7"/>
      <c r="Z87" s="8"/>
      <c r="AA87" s="7"/>
      <c r="AB87" s="8"/>
      <c r="AC87" s="8"/>
      <c r="AD87" s="8"/>
      <c r="AE87" s="8"/>
    </row>
    <row r="88" spans="1:31" x14ac:dyDescent="0.3">
      <c r="A88" s="6"/>
      <c r="B88" s="6"/>
      <c r="C88" s="6"/>
      <c r="D88" s="7"/>
      <c r="E88" s="8"/>
      <c r="F88" s="7"/>
      <c r="G88" s="8"/>
      <c r="H88" s="6"/>
      <c r="I88" s="6"/>
      <c r="J88" s="6"/>
      <c r="K88" s="7"/>
      <c r="L88" s="8"/>
      <c r="M88" s="7"/>
      <c r="N88" s="8"/>
      <c r="O88" s="6"/>
      <c r="P88" s="6"/>
      <c r="Q88" s="6"/>
      <c r="R88" s="7"/>
      <c r="S88" s="8"/>
      <c r="T88" s="7"/>
      <c r="U88" s="8"/>
      <c r="V88" s="6"/>
      <c r="W88" s="6"/>
      <c r="X88" s="6"/>
      <c r="Y88" s="7"/>
      <c r="Z88" s="8"/>
      <c r="AA88" s="7"/>
      <c r="AB88" s="8"/>
      <c r="AC88" s="8"/>
      <c r="AD88" s="8"/>
      <c r="AE88" s="8"/>
    </row>
    <row r="89" spans="1:31" x14ac:dyDescent="0.3">
      <c r="A89" s="6"/>
      <c r="B89" s="6"/>
      <c r="C89" s="6"/>
      <c r="D89" s="7"/>
      <c r="E89" s="8"/>
      <c r="F89" s="7"/>
      <c r="G89" s="8"/>
      <c r="H89" s="6"/>
      <c r="I89" s="6"/>
      <c r="J89" s="6"/>
      <c r="K89" s="7"/>
      <c r="L89" s="8"/>
      <c r="M89" s="7"/>
      <c r="N89" s="8"/>
      <c r="O89" s="6"/>
      <c r="P89" s="6"/>
      <c r="Q89" s="6"/>
      <c r="R89" s="7"/>
      <c r="S89" s="8"/>
      <c r="T89" s="7"/>
      <c r="U89" s="8"/>
      <c r="V89" s="6"/>
      <c r="W89" s="6"/>
      <c r="X89" s="6"/>
      <c r="Y89" s="7"/>
      <c r="Z89" s="8"/>
      <c r="AA89" s="7"/>
      <c r="AB89" s="8"/>
      <c r="AC89" s="8"/>
      <c r="AD89" s="8"/>
      <c r="AE89" s="8"/>
    </row>
    <row r="90" spans="1:31" x14ac:dyDescent="0.3">
      <c r="A90" s="6"/>
      <c r="B90" s="6"/>
      <c r="C90" s="6"/>
      <c r="D90" s="7"/>
      <c r="E90" s="8"/>
      <c r="F90" s="7"/>
      <c r="G90" s="8"/>
      <c r="H90" s="6"/>
      <c r="I90" s="6"/>
      <c r="J90" s="6"/>
      <c r="K90" s="7"/>
      <c r="L90" s="8"/>
      <c r="M90" s="7"/>
      <c r="N90" s="8"/>
      <c r="O90" s="6"/>
      <c r="P90" s="6"/>
      <c r="Q90" s="6"/>
      <c r="R90" s="7"/>
      <c r="S90" s="8"/>
      <c r="T90" s="7"/>
      <c r="U90" s="8"/>
      <c r="V90" s="6"/>
      <c r="W90" s="6"/>
      <c r="X90" s="6"/>
      <c r="Y90" s="7"/>
      <c r="Z90" s="8"/>
      <c r="AA90" s="7"/>
      <c r="AB90" s="8"/>
      <c r="AC90" s="8"/>
      <c r="AD90" s="8"/>
      <c r="AE90" s="8"/>
    </row>
    <row r="91" spans="1:31" x14ac:dyDescent="0.3">
      <c r="A91" s="6"/>
      <c r="B91" s="6"/>
      <c r="C91" s="6"/>
      <c r="D91" s="7"/>
      <c r="E91" s="8"/>
      <c r="F91" s="7"/>
      <c r="G91" s="8"/>
      <c r="H91" s="6"/>
      <c r="I91" s="6"/>
      <c r="J91" s="6"/>
      <c r="K91" s="7"/>
      <c r="L91" s="8"/>
      <c r="M91" s="7"/>
      <c r="N91" s="8"/>
      <c r="O91" s="6"/>
      <c r="P91" s="6"/>
      <c r="Q91" s="6"/>
      <c r="R91" s="7"/>
      <c r="S91" s="8"/>
      <c r="T91" s="7"/>
      <c r="U91" s="8"/>
      <c r="V91" s="6"/>
      <c r="W91" s="6"/>
      <c r="X91" s="6"/>
      <c r="Y91" s="7"/>
      <c r="Z91" s="8"/>
      <c r="AA91" s="7"/>
      <c r="AB91" s="8"/>
      <c r="AC91" s="8"/>
      <c r="AD91" s="8"/>
      <c r="AE91" s="8"/>
    </row>
    <row r="92" spans="1:31" x14ac:dyDescent="0.3">
      <c r="A92" s="6"/>
      <c r="B92" s="6"/>
      <c r="C92" s="6"/>
      <c r="D92" s="7"/>
      <c r="E92" s="8"/>
      <c r="F92" s="7"/>
      <c r="G92" s="8"/>
      <c r="H92" s="6"/>
      <c r="I92" s="6"/>
      <c r="J92" s="6"/>
      <c r="K92" s="7"/>
      <c r="L92" s="8"/>
      <c r="M92" s="7"/>
      <c r="N92" s="8"/>
      <c r="O92" s="6"/>
      <c r="P92" s="6"/>
      <c r="Q92" s="6"/>
      <c r="R92" s="7"/>
      <c r="S92" s="8"/>
      <c r="T92" s="7"/>
      <c r="U92" s="8"/>
      <c r="V92" s="6"/>
      <c r="W92" s="6"/>
      <c r="X92" s="6"/>
      <c r="Y92" s="7"/>
      <c r="Z92" s="8"/>
      <c r="AA92" s="7"/>
      <c r="AB92" s="8"/>
      <c r="AC92" s="8"/>
      <c r="AD92" s="8"/>
      <c r="AE92" s="8"/>
    </row>
    <row r="93" spans="1:31" x14ac:dyDescent="0.3">
      <c r="A93" s="6"/>
      <c r="B93" s="6"/>
      <c r="C93" s="6"/>
      <c r="D93" s="7"/>
      <c r="E93" s="8"/>
      <c r="F93" s="7"/>
      <c r="G93" s="8"/>
      <c r="H93" s="6"/>
      <c r="I93" s="6"/>
      <c r="J93" s="6"/>
      <c r="K93" s="7"/>
      <c r="L93" s="8"/>
      <c r="M93" s="7"/>
      <c r="N93" s="8"/>
      <c r="O93" s="6"/>
      <c r="P93" s="6"/>
      <c r="Q93" s="6"/>
      <c r="R93" s="7"/>
      <c r="S93" s="8"/>
      <c r="T93" s="7"/>
      <c r="U93" s="8"/>
      <c r="V93" s="6"/>
      <c r="W93" s="6"/>
      <c r="X93" s="6"/>
      <c r="Y93" s="7"/>
      <c r="Z93" s="8"/>
      <c r="AA93" s="7"/>
      <c r="AB93" s="8"/>
      <c r="AC93" s="8"/>
      <c r="AD93" s="8"/>
      <c r="AE93" s="8"/>
    </row>
    <row r="94" spans="1:31" x14ac:dyDescent="0.3">
      <c r="A94" s="6"/>
      <c r="B94" s="6"/>
      <c r="C94" s="6"/>
      <c r="D94" s="7"/>
      <c r="E94" s="8"/>
      <c r="F94" s="7"/>
      <c r="G94" s="8"/>
      <c r="H94" s="6"/>
      <c r="I94" s="6"/>
      <c r="J94" s="6"/>
      <c r="K94" s="7"/>
      <c r="L94" s="8"/>
      <c r="M94" s="7"/>
      <c r="N94" s="8"/>
      <c r="O94" s="6"/>
      <c r="P94" s="6"/>
      <c r="Q94" s="6"/>
      <c r="R94" s="7"/>
      <c r="S94" s="8"/>
      <c r="T94" s="7"/>
      <c r="U94" s="8"/>
      <c r="V94" s="6"/>
      <c r="W94" s="6"/>
      <c r="X94" s="6"/>
      <c r="Y94" s="7"/>
      <c r="Z94" s="8"/>
      <c r="AA94" s="7"/>
      <c r="AB94" s="8"/>
      <c r="AC94" s="8"/>
      <c r="AD94" s="8"/>
      <c r="AE94" s="8"/>
    </row>
    <row r="95" spans="1:31" x14ac:dyDescent="0.3">
      <c r="A95" s="6"/>
      <c r="B95" s="6"/>
      <c r="C95" s="6"/>
      <c r="D95" s="7"/>
      <c r="E95" s="8"/>
      <c r="F95" s="7"/>
      <c r="G95" s="8"/>
      <c r="H95" s="6"/>
      <c r="I95" s="6"/>
      <c r="J95" s="6"/>
      <c r="K95" s="7"/>
      <c r="L95" s="8"/>
      <c r="M95" s="7"/>
      <c r="N95" s="8"/>
      <c r="O95" s="6"/>
      <c r="P95" s="6"/>
      <c r="Q95" s="6"/>
      <c r="R95" s="7"/>
      <c r="S95" s="8"/>
      <c r="T95" s="7"/>
      <c r="U95" s="8"/>
      <c r="V95" s="6"/>
      <c r="W95" s="6"/>
      <c r="X95" s="6"/>
      <c r="Y95" s="7"/>
      <c r="Z95" s="8"/>
      <c r="AA95" s="7"/>
      <c r="AB95" s="8"/>
      <c r="AC95" s="8"/>
      <c r="AD95" s="8"/>
      <c r="AE95" s="8"/>
    </row>
    <row r="96" spans="1:31" x14ac:dyDescent="0.3">
      <c r="A96" s="6"/>
      <c r="B96" s="6"/>
      <c r="C96" s="6"/>
      <c r="D96" s="7"/>
      <c r="E96" s="8"/>
      <c r="F96" s="7"/>
      <c r="G96" s="8"/>
      <c r="H96" s="6"/>
      <c r="I96" s="6"/>
      <c r="J96" s="6"/>
      <c r="K96" s="7"/>
      <c r="L96" s="8"/>
      <c r="M96" s="7"/>
      <c r="N96" s="8"/>
      <c r="O96" s="6"/>
      <c r="P96" s="6"/>
      <c r="Q96" s="6"/>
      <c r="R96" s="7"/>
      <c r="S96" s="8"/>
      <c r="T96" s="7"/>
      <c r="U96" s="8"/>
      <c r="V96" s="6"/>
      <c r="W96" s="6"/>
      <c r="X96" s="6"/>
      <c r="Y96" s="7"/>
      <c r="Z96" s="8"/>
      <c r="AA96" s="7"/>
      <c r="AB96" s="8"/>
      <c r="AC96" s="8"/>
      <c r="AD96" s="8"/>
      <c r="AE96" s="8"/>
    </row>
    <row r="97" spans="1:31" x14ac:dyDescent="0.3">
      <c r="A97" s="6"/>
      <c r="B97" s="6"/>
      <c r="C97" s="6"/>
      <c r="D97" s="7"/>
      <c r="E97" s="8"/>
      <c r="F97" s="7"/>
      <c r="G97" s="8"/>
      <c r="H97" s="6"/>
      <c r="I97" s="6"/>
      <c r="J97" s="6"/>
      <c r="K97" s="7"/>
      <c r="L97" s="8"/>
      <c r="M97" s="7"/>
      <c r="N97" s="8"/>
      <c r="O97" s="6"/>
      <c r="P97" s="6"/>
      <c r="Q97" s="6"/>
      <c r="R97" s="7"/>
      <c r="S97" s="8"/>
      <c r="T97" s="7"/>
      <c r="U97" s="8"/>
      <c r="V97" s="6"/>
      <c r="W97" s="6"/>
      <c r="X97" s="6"/>
      <c r="Y97" s="7"/>
      <c r="Z97" s="8"/>
      <c r="AA97" s="7"/>
      <c r="AB97" s="8"/>
      <c r="AC97" s="8"/>
      <c r="AD97" s="8"/>
      <c r="AE97" s="8"/>
    </row>
    <row r="98" spans="1:31" x14ac:dyDescent="0.3">
      <c r="A98" s="6"/>
      <c r="B98" s="6"/>
      <c r="C98" s="6"/>
      <c r="D98" s="7"/>
      <c r="E98" s="8"/>
      <c r="F98" s="7"/>
      <c r="G98" s="8"/>
      <c r="H98" s="6"/>
      <c r="I98" s="6"/>
      <c r="J98" s="6"/>
      <c r="K98" s="7"/>
      <c r="L98" s="8"/>
      <c r="M98" s="7"/>
      <c r="N98" s="8"/>
      <c r="O98" s="6"/>
      <c r="P98" s="6"/>
      <c r="Q98" s="6"/>
      <c r="R98" s="7"/>
      <c r="S98" s="8"/>
      <c r="T98" s="7"/>
      <c r="U98" s="8"/>
      <c r="V98" s="6"/>
      <c r="W98" s="6"/>
      <c r="X98" s="6"/>
      <c r="Y98" s="7"/>
      <c r="Z98" s="8"/>
      <c r="AA98" s="7"/>
      <c r="AB98" s="8"/>
      <c r="AC98" s="8"/>
      <c r="AD98" s="8"/>
      <c r="AE98" s="8"/>
    </row>
    <row r="99" spans="1:31" x14ac:dyDescent="0.3">
      <c r="A99" s="6"/>
      <c r="B99" s="6"/>
      <c r="C99" s="6"/>
      <c r="D99" s="7"/>
      <c r="E99" s="8"/>
      <c r="F99" s="7"/>
      <c r="G99" s="8"/>
      <c r="H99" s="6"/>
      <c r="I99" s="6"/>
      <c r="J99" s="6"/>
      <c r="K99" s="7"/>
      <c r="L99" s="8"/>
      <c r="M99" s="7"/>
      <c r="N99" s="8"/>
      <c r="O99" s="6"/>
      <c r="P99" s="6"/>
      <c r="Q99" s="6"/>
      <c r="R99" s="7"/>
      <c r="S99" s="8"/>
      <c r="T99" s="7"/>
      <c r="U99" s="8"/>
      <c r="V99" s="6"/>
      <c r="W99" s="6"/>
      <c r="X99" s="6"/>
      <c r="Y99" s="7"/>
      <c r="Z99" s="8"/>
      <c r="AA99" s="7"/>
      <c r="AB99" s="8"/>
      <c r="AC99" s="8"/>
      <c r="AD99" s="8"/>
      <c r="AE99" s="8"/>
    </row>
    <row r="100" spans="1:31" x14ac:dyDescent="0.3">
      <c r="A100" s="6"/>
      <c r="B100" s="6"/>
      <c r="C100" s="6"/>
      <c r="D100" s="7"/>
      <c r="E100" s="8"/>
      <c r="F100" s="7"/>
      <c r="G100" s="8"/>
      <c r="H100" s="6"/>
      <c r="I100" s="6"/>
      <c r="J100" s="6"/>
      <c r="K100" s="7"/>
      <c r="L100" s="8"/>
      <c r="M100" s="7"/>
      <c r="N100" s="8"/>
      <c r="O100" s="6"/>
      <c r="P100" s="6"/>
      <c r="Q100" s="6"/>
      <c r="R100" s="7"/>
      <c r="S100" s="8"/>
      <c r="T100" s="7"/>
      <c r="U100" s="8"/>
      <c r="V100" s="6"/>
      <c r="W100" s="6"/>
      <c r="X100" s="6"/>
      <c r="Y100" s="7"/>
      <c r="Z100" s="8"/>
      <c r="AA100" s="7"/>
      <c r="AB100" s="8"/>
      <c r="AC100" s="8"/>
      <c r="AD100" s="8"/>
      <c r="AE100" s="8"/>
    </row>
    <row r="101" spans="1:31" x14ac:dyDescent="0.3">
      <c r="A101" s="6"/>
      <c r="B101" s="6"/>
      <c r="C101" s="6"/>
      <c r="D101" s="7"/>
      <c r="E101" s="8"/>
      <c r="F101" s="7"/>
      <c r="G101" s="8"/>
      <c r="H101" s="6"/>
      <c r="I101" s="6"/>
      <c r="J101" s="6"/>
      <c r="K101" s="7"/>
      <c r="L101" s="8"/>
      <c r="M101" s="7"/>
      <c r="N101" s="8"/>
      <c r="O101" s="6"/>
      <c r="P101" s="6"/>
      <c r="Q101" s="6"/>
      <c r="R101" s="7"/>
      <c r="S101" s="8"/>
      <c r="T101" s="7"/>
      <c r="U101" s="8"/>
      <c r="V101" s="6"/>
      <c r="W101" s="6"/>
      <c r="X101" s="6"/>
      <c r="Y101" s="7"/>
      <c r="Z101" s="8"/>
      <c r="AA101" s="7"/>
      <c r="AB101" s="8"/>
      <c r="AC101" s="8"/>
      <c r="AD101" s="8"/>
      <c r="AE101" s="8"/>
    </row>
    <row r="102" spans="1:31" x14ac:dyDescent="0.3">
      <c r="A102" s="6"/>
      <c r="B102" s="6"/>
      <c r="C102" s="6"/>
      <c r="D102" s="7"/>
      <c r="E102" s="8"/>
      <c r="F102" s="7"/>
      <c r="G102" s="8"/>
      <c r="H102" s="6"/>
      <c r="I102" s="6"/>
      <c r="J102" s="6"/>
      <c r="K102" s="7"/>
      <c r="L102" s="8"/>
      <c r="M102" s="7"/>
      <c r="N102" s="8"/>
      <c r="O102" s="6"/>
      <c r="P102" s="6"/>
      <c r="Q102" s="6"/>
      <c r="R102" s="7"/>
      <c r="S102" s="8"/>
      <c r="T102" s="7"/>
      <c r="U102" s="8"/>
      <c r="V102" s="6"/>
      <c r="W102" s="6"/>
      <c r="X102" s="6"/>
      <c r="Y102" s="7"/>
      <c r="Z102" s="8"/>
      <c r="AA102" s="7"/>
      <c r="AB102" s="8"/>
      <c r="AC102" s="8"/>
      <c r="AD102" s="8"/>
      <c r="AE102" s="8"/>
    </row>
    <row r="103" spans="1:31" x14ac:dyDescent="0.3">
      <c r="A103" s="6"/>
      <c r="B103" s="6"/>
      <c r="C103" s="6"/>
      <c r="D103" s="7"/>
      <c r="E103" s="8"/>
      <c r="F103" s="7"/>
      <c r="G103" s="8"/>
      <c r="H103" s="6"/>
      <c r="I103" s="6"/>
      <c r="J103" s="6"/>
      <c r="K103" s="7"/>
      <c r="L103" s="8"/>
      <c r="M103" s="7"/>
      <c r="N103" s="8"/>
      <c r="O103" s="6"/>
      <c r="P103" s="6"/>
      <c r="Q103" s="6"/>
      <c r="R103" s="7"/>
      <c r="S103" s="8"/>
      <c r="T103" s="7"/>
      <c r="U103" s="8"/>
      <c r="V103" s="6"/>
      <c r="W103" s="6"/>
      <c r="X103" s="6"/>
      <c r="Y103" s="7"/>
      <c r="Z103" s="8"/>
      <c r="AA103" s="7"/>
      <c r="AB103" s="8"/>
      <c r="AC103" s="8"/>
      <c r="AD103" s="8"/>
      <c r="AE103" s="8"/>
    </row>
    <row r="104" spans="1:31" x14ac:dyDescent="0.3">
      <c r="A104" s="6"/>
      <c r="B104" s="6"/>
      <c r="C104" s="6"/>
      <c r="D104" s="7"/>
      <c r="E104" s="8"/>
      <c r="F104" s="7"/>
      <c r="G104" s="8"/>
      <c r="H104" s="6"/>
      <c r="I104" s="6"/>
      <c r="J104" s="6"/>
      <c r="K104" s="7"/>
      <c r="L104" s="8"/>
      <c r="M104" s="7"/>
      <c r="N104" s="8"/>
      <c r="O104" s="6"/>
      <c r="P104" s="6"/>
      <c r="Q104" s="6"/>
      <c r="R104" s="7"/>
      <c r="S104" s="8"/>
      <c r="T104" s="7"/>
      <c r="U104" s="8"/>
      <c r="V104" s="6"/>
      <c r="W104" s="6"/>
      <c r="X104" s="6"/>
      <c r="Y104" s="7"/>
      <c r="Z104" s="8"/>
      <c r="AA104" s="7"/>
      <c r="AB104" s="8"/>
      <c r="AC104" s="8"/>
      <c r="AD104" s="8"/>
      <c r="AE104" s="8"/>
    </row>
    <row r="105" spans="1:31" x14ac:dyDescent="0.3">
      <c r="A105" s="6"/>
      <c r="B105" s="6"/>
      <c r="C105" s="6"/>
      <c r="D105" s="7"/>
      <c r="E105" s="8"/>
      <c r="F105" s="7"/>
      <c r="G105" s="8"/>
      <c r="H105" s="6"/>
      <c r="I105" s="6"/>
      <c r="J105" s="6"/>
      <c r="K105" s="7"/>
      <c r="L105" s="8"/>
      <c r="M105" s="7"/>
      <c r="N105" s="8"/>
      <c r="O105" s="6"/>
      <c r="P105" s="6"/>
      <c r="Q105" s="6"/>
      <c r="R105" s="7"/>
      <c r="S105" s="8"/>
      <c r="T105" s="7"/>
      <c r="U105" s="8"/>
      <c r="V105" s="6"/>
      <c r="W105" s="6"/>
      <c r="X105" s="6"/>
      <c r="Y105" s="7"/>
      <c r="Z105" s="8"/>
      <c r="AA105" s="7"/>
      <c r="AB105" s="8"/>
      <c r="AC105" s="8"/>
      <c r="AD105" s="8"/>
      <c r="AE105" s="8"/>
    </row>
    <row r="106" spans="1:31" x14ac:dyDescent="0.3">
      <c r="A106" s="6"/>
      <c r="B106" s="6"/>
      <c r="C106" s="6"/>
      <c r="D106" s="7"/>
      <c r="E106" s="8"/>
      <c r="F106" s="7"/>
      <c r="G106" s="8"/>
      <c r="H106" s="6"/>
      <c r="I106" s="6"/>
      <c r="J106" s="6"/>
      <c r="K106" s="7"/>
      <c r="L106" s="8"/>
      <c r="M106" s="7"/>
      <c r="N106" s="8"/>
      <c r="O106" s="6"/>
      <c r="P106" s="6"/>
      <c r="Q106" s="6"/>
      <c r="R106" s="7"/>
      <c r="S106" s="8"/>
      <c r="T106" s="7"/>
      <c r="U106" s="8"/>
      <c r="V106" s="6"/>
      <c r="W106" s="6"/>
      <c r="X106" s="6"/>
      <c r="Y106" s="7"/>
      <c r="Z106" s="8"/>
      <c r="AA106" s="7"/>
      <c r="AB106" s="8"/>
      <c r="AC106" s="8"/>
      <c r="AD106" s="8"/>
      <c r="AE106" s="8"/>
    </row>
    <row r="107" spans="1:31" x14ac:dyDescent="0.3">
      <c r="A107" s="6"/>
      <c r="B107" s="6"/>
      <c r="C107" s="6"/>
      <c r="D107" s="7"/>
      <c r="E107" s="8"/>
      <c r="F107" s="7"/>
      <c r="G107" s="8"/>
      <c r="H107" s="6"/>
      <c r="I107" s="6"/>
      <c r="J107" s="6"/>
      <c r="K107" s="7"/>
      <c r="L107" s="8"/>
      <c r="M107" s="7"/>
      <c r="N107" s="8"/>
      <c r="O107" s="6"/>
      <c r="P107" s="6"/>
      <c r="Q107" s="6"/>
      <c r="R107" s="7"/>
      <c r="S107" s="8"/>
      <c r="T107" s="7"/>
      <c r="U107" s="8"/>
      <c r="V107" s="6"/>
      <c r="W107" s="6"/>
      <c r="X107" s="6"/>
      <c r="Y107" s="7"/>
      <c r="Z107" s="8"/>
      <c r="AA107" s="7"/>
      <c r="AB107" s="8"/>
      <c r="AC107" s="8"/>
      <c r="AD107" s="8"/>
      <c r="AE107" s="8"/>
    </row>
    <row r="108" spans="1:31" x14ac:dyDescent="0.3">
      <c r="A108" s="6"/>
      <c r="B108" s="6"/>
      <c r="C108" s="6"/>
      <c r="D108" s="7"/>
      <c r="E108" s="8"/>
      <c r="F108" s="7"/>
      <c r="G108" s="8"/>
      <c r="H108" s="6"/>
      <c r="I108" s="6"/>
      <c r="J108" s="6"/>
      <c r="K108" s="7"/>
      <c r="L108" s="8"/>
      <c r="M108" s="7"/>
      <c r="N108" s="8"/>
      <c r="O108" s="6"/>
      <c r="P108" s="6"/>
      <c r="Q108" s="6"/>
      <c r="R108" s="7"/>
      <c r="S108" s="8"/>
      <c r="T108" s="7"/>
      <c r="U108" s="8"/>
      <c r="V108" s="6"/>
      <c r="W108" s="6"/>
      <c r="X108" s="6"/>
      <c r="Y108" s="7"/>
      <c r="Z108" s="8"/>
      <c r="AA108" s="7"/>
      <c r="AB108" s="8"/>
      <c r="AC108" s="8"/>
      <c r="AD108" s="8"/>
      <c r="AE108" s="8"/>
    </row>
    <row r="109" spans="1:31" x14ac:dyDescent="0.3">
      <c r="A109" s="6"/>
      <c r="B109" s="6"/>
      <c r="C109" s="6"/>
      <c r="D109" s="7"/>
      <c r="E109" s="8"/>
      <c r="F109" s="7"/>
      <c r="G109" s="8"/>
      <c r="H109" s="6"/>
      <c r="I109" s="6"/>
      <c r="J109" s="6"/>
      <c r="K109" s="7"/>
      <c r="L109" s="8"/>
      <c r="M109" s="7"/>
      <c r="N109" s="8"/>
      <c r="O109" s="6"/>
      <c r="P109" s="6"/>
      <c r="Q109" s="6"/>
      <c r="R109" s="7"/>
      <c r="S109" s="8"/>
      <c r="T109" s="7"/>
      <c r="U109" s="8"/>
      <c r="V109" s="6"/>
      <c r="W109" s="6"/>
      <c r="X109" s="6"/>
      <c r="Y109" s="7"/>
      <c r="Z109" s="8"/>
      <c r="AA109" s="7"/>
      <c r="AB109" s="8"/>
      <c r="AC109" s="8"/>
      <c r="AD109" s="8"/>
      <c r="AE109" s="8"/>
    </row>
    <row r="110" spans="1:31" x14ac:dyDescent="0.3">
      <c r="A110" s="6"/>
      <c r="B110" s="6"/>
      <c r="C110" s="6"/>
      <c r="D110" s="7"/>
      <c r="E110" s="8"/>
      <c r="F110" s="7"/>
      <c r="G110" s="8"/>
      <c r="H110" s="6"/>
      <c r="I110" s="6"/>
      <c r="J110" s="6"/>
      <c r="K110" s="7"/>
      <c r="L110" s="8"/>
      <c r="M110" s="7"/>
      <c r="N110" s="8"/>
      <c r="O110" s="6"/>
      <c r="P110" s="6"/>
      <c r="Q110" s="6"/>
      <c r="R110" s="7"/>
      <c r="S110" s="8"/>
      <c r="T110" s="7"/>
      <c r="U110" s="8"/>
      <c r="V110" s="6"/>
      <c r="W110" s="6"/>
      <c r="X110" s="6"/>
      <c r="Y110" s="7"/>
      <c r="Z110" s="8"/>
      <c r="AA110" s="7"/>
      <c r="AB110" s="8"/>
      <c r="AC110" s="8"/>
      <c r="AD110" s="8"/>
      <c r="AE110" s="8"/>
    </row>
    <row r="111" spans="1:31" x14ac:dyDescent="0.3">
      <c r="A111" s="6"/>
      <c r="B111" s="6"/>
      <c r="C111" s="6"/>
      <c r="D111" s="7"/>
      <c r="E111" s="8"/>
      <c r="F111" s="7"/>
      <c r="G111" s="8"/>
      <c r="H111" s="6"/>
      <c r="I111" s="6"/>
      <c r="J111" s="6"/>
      <c r="K111" s="7"/>
      <c r="L111" s="8"/>
      <c r="M111" s="7"/>
      <c r="N111" s="8"/>
      <c r="O111" s="6"/>
      <c r="P111" s="6"/>
      <c r="Q111" s="6"/>
      <c r="R111" s="7"/>
      <c r="S111" s="8"/>
      <c r="T111" s="7"/>
      <c r="U111" s="8"/>
      <c r="V111" s="6"/>
      <c r="W111" s="6"/>
      <c r="X111" s="6"/>
      <c r="Y111" s="7"/>
      <c r="Z111" s="8"/>
      <c r="AA111" s="7"/>
      <c r="AB111" s="8"/>
      <c r="AC111" s="8"/>
      <c r="AD111" s="8"/>
      <c r="AE111" s="8"/>
    </row>
    <row r="112" spans="1:31" x14ac:dyDescent="0.3">
      <c r="A112" s="6"/>
      <c r="B112" s="6"/>
      <c r="C112" s="6"/>
      <c r="D112" s="7"/>
      <c r="E112" s="8"/>
      <c r="F112" s="7"/>
      <c r="G112" s="8"/>
      <c r="H112" s="6"/>
      <c r="I112" s="6"/>
      <c r="J112" s="6"/>
      <c r="K112" s="7"/>
      <c r="L112" s="8"/>
      <c r="M112" s="7"/>
      <c r="N112" s="8"/>
      <c r="O112" s="6"/>
      <c r="P112" s="6"/>
      <c r="Q112" s="6"/>
      <c r="R112" s="7"/>
      <c r="S112" s="8"/>
      <c r="T112" s="7"/>
      <c r="U112" s="8"/>
      <c r="V112" s="6"/>
      <c r="W112" s="6"/>
      <c r="X112" s="6"/>
      <c r="Y112" s="7"/>
      <c r="Z112" s="8"/>
      <c r="AA112" s="7"/>
      <c r="AB112" s="8"/>
      <c r="AC112" s="8"/>
      <c r="AD112" s="8"/>
      <c r="AE112" s="8"/>
    </row>
    <row r="113" spans="1:31" x14ac:dyDescent="0.3">
      <c r="A113" s="6"/>
      <c r="B113" s="6"/>
      <c r="C113" s="6"/>
      <c r="D113" s="7"/>
      <c r="E113" s="8"/>
      <c r="F113" s="7"/>
      <c r="G113" s="8"/>
      <c r="H113" s="6"/>
      <c r="I113" s="6"/>
      <c r="J113" s="6"/>
      <c r="K113" s="7"/>
      <c r="L113" s="8"/>
      <c r="M113" s="7"/>
      <c r="N113" s="8"/>
      <c r="O113" s="6"/>
      <c r="P113" s="6"/>
      <c r="Q113" s="6"/>
      <c r="R113" s="7"/>
      <c r="S113" s="8"/>
      <c r="T113" s="7"/>
      <c r="U113" s="8"/>
      <c r="V113" s="6"/>
      <c r="W113" s="6"/>
      <c r="X113" s="6"/>
      <c r="Y113" s="7"/>
      <c r="Z113" s="8"/>
      <c r="AA113" s="7"/>
      <c r="AB113" s="8"/>
      <c r="AC113" s="8"/>
      <c r="AD113" s="8"/>
      <c r="AE113" s="8"/>
    </row>
    <row r="114" spans="1:31" x14ac:dyDescent="0.3">
      <c r="A114" s="6"/>
      <c r="B114" s="6"/>
      <c r="C114" s="6"/>
      <c r="D114" s="7"/>
      <c r="E114" s="8"/>
      <c r="F114" s="7"/>
      <c r="G114" s="8"/>
      <c r="H114" s="6"/>
      <c r="I114" s="6"/>
      <c r="J114" s="6"/>
      <c r="K114" s="7"/>
      <c r="L114" s="8"/>
      <c r="M114" s="7"/>
      <c r="N114" s="8"/>
      <c r="O114" s="6"/>
      <c r="P114" s="6"/>
      <c r="Q114" s="6"/>
      <c r="R114" s="7"/>
      <c r="S114" s="8"/>
      <c r="T114" s="7"/>
      <c r="U114" s="8"/>
      <c r="V114" s="6"/>
      <c r="W114" s="6"/>
      <c r="X114" s="6"/>
      <c r="Y114" s="7"/>
      <c r="Z114" s="8"/>
      <c r="AA114" s="7"/>
      <c r="AB114" s="8"/>
      <c r="AC114" s="8"/>
      <c r="AD114" s="8"/>
      <c r="AE114" s="8"/>
    </row>
    <row r="115" spans="1:31" x14ac:dyDescent="0.3">
      <c r="A115" s="6"/>
      <c r="B115" s="6"/>
      <c r="C115" s="6"/>
      <c r="D115" s="7"/>
      <c r="E115" s="8"/>
      <c r="F115" s="7"/>
      <c r="G115" s="8"/>
      <c r="H115" s="6"/>
      <c r="I115" s="6"/>
      <c r="J115" s="6"/>
      <c r="K115" s="7"/>
      <c r="L115" s="8"/>
      <c r="M115" s="7"/>
      <c r="N115" s="8"/>
      <c r="O115" s="6"/>
      <c r="P115" s="6"/>
      <c r="Q115" s="6"/>
      <c r="R115" s="7"/>
      <c r="S115" s="8"/>
      <c r="T115" s="7"/>
      <c r="U115" s="8"/>
      <c r="V115" s="6"/>
      <c r="W115" s="6"/>
      <c r="X115" s="6"/>
      <c r="Y115" s="7"/>
      <c r="Z115" s="8"/>
      <c r="AA115" s="7"/>
      <c r="AB115" s="8"/>
      <c r="AC115" s="8"/>
      <c r="AD115" s="8"/>
      <c r="AE115" s="8"/>
    </row>
    <row r="116" spans="1:31" x14ac:dyDescent="0.3">
      <c r="A116" s="6"/>
      <c r="B116" s="6"/>
      <c r="C116" s="6"/>
      <c r="D116" s="7"/>
      <c r="E116" s="8"/>
      <c r="F116" s="7"/>
      <c r="G116" s="8"/>
      <c r="H116" s="6"/>
      <c r="I116" s="6"/>
      <c r="J116" s="6"/>
      <c r="K116" s="7"/>
      <c r="L116" s="8"/>
      <c r="M116" s="7"/>
      <c r="N116" s="8"/>
      <c r="O116" s="6"/>
      <c r="P116" s="6"/>
      <c r="Q116" s="6"/>
      <c r="R116" s="7"/>
      <c r="S116" s="8"/>
      <c r="T116" s="7"/>
      <c r="U116" s="8"/>
      <c r="V116" s="6"/>
      <c r="W116" s="6"/>
      <c r="X116" s="6"/>
      <c r="Y116" s="7"/>
      <c r="Z116" s="8"/>
      <c r="AA116" s="7"/>
      <c r="AB116" s="8"/>
      <c r="AC116" s="8"/>
      <c r="AD116" s="8"/>
      <c r="AE116" s="8"/>
    </row>
    <row r="117" spans="1:31" x14ac:dyDescent="0.3">
      <c r="A117" s="6"/>
      <c r="B117" s="6"/>
      <c r="C117" s="6"/>
      <c r="D117" s="7"/>
      <c r="E117" s="8"/>
      <c r="F117" s="7"/>
      <c r="G117" s="8"/>
      <c r="H117" s="6"/>
      <c r="I117" s="6"/>
      <c r="J117" s="6"/>
      <c r="K117" s="7"/>
      <c r="L117" s="8"/>
      <c r="M117" s="7"/>
      <c r="N117" s="8"/>
      <c r="O117" s="6"/>
      <c r="P117" s="6"/>
      <c r="Q117" s="6"/>
      <c r="R117" s="7"/>
      <c r="S117" s="8"/>
      <c r="T117" s="7"/>
      <c r="U117" s="8"/>
      <c r="V117" s="6"/>
      <c r="W117" s="6"/>
      <c r="X117" s="6"/>
      <c r="Y117" s="7"/>
      <c r="Z117" s="8"/>
      <c r="AA117" s="7"/>
      <c r="AB117" s="8"/>
      <c r="AC117" s="8"/>
      <c r="AD117" s="8"/>
      <c r="AE117" s="8"/>
    </row>
    <row r="118" spans="1:31" x14ac:dyDescent="0.3">
      <c r="A118" s="6"/>
      <c r="B118" s="6"/>
      <c r="C118" s="6"/>
      <c r="D118" s="7"/>
      <c r="E118" s="8"/>
      <c r="F118" s="7"/>
      <c r="G118" s="8"/>
      <c r="H118" s="6"/>
      <c r="I118" s="6"/>
      <c r="J118" s="6"/>
      <c r="K118" s="7"/>
      <c r="L118" s="8"/>
      <c r="M118" s="7"/>
      <c r="N118" s="8"/>
      <c r="O118" s="6"/>
      <c r="P118" s="6"/>
      <c r="Q118" s="6"/>
      <c r="R118" s="7"/>
      <c r="S118" s="8"/>
      <c r="T118" s="7"/>
      <c r="U118" s="8"/>
      <c r="V118" s="6"/>
      <c r="W118" s="6"/>
      <c r="X118" s="6"/>
      <c r="Y118" s="7"/>
      <c r="Z118" s="8"/>
      <c r="AA118" s="7"/>
      <c r="AB118" s="8"/>
      <c r="AC118" s="8"/>
      <c r="AD118" s="8"/>
      <c r="AE118" s="8"/>
    </row>
    <row r="119" spans="1:31" x14ac:dyDescent="0.3">
      <c r="A119" s="6"/>
      <c r="B119" s="6"/>
      <c r="C119" s="6"/>
      <c r="D119" s="7"/>
      <c r="E119" s="8"/>
      <c r="F119" s="7"/>
      <c r="G119" s="8"/>
      <c r="H119" s="6"/>
      <c r="I119" s="6"/>
      <c r="J119" s="6"/>
      <c r="K119" s="7"/>
      <c r="L119" s="8"/>
      <c r="M119" s="7"/>
      <c r="N119" s="8"/>
      <c r="O119" s="6"/>
      <c r="P119" s="6"/>
      <c r="Q119" s="6"/>
      <c r="R119" s="7"/>
      <c r="S119" s="8"/>
      <c r="T119" s="7"/>
      <c r="U119" s="8"/>
      <c r="V119" s="6"/>
      <c r="W119" s="6"/>
      <c r="X119" s="6"/>
      <c r="Y119" s="7"/>
      <c r="Z119" s="8"/>
      <c r="AA119" s="7"/>
      <c r="AB119" s="8"/>
      <c r="AC119" s="8"/>
      <c r="AD119" s="8"/>
      <c r="AE119" s="8"/>
    </row>
    <row r="120" spans="1:31" x14ac:dyDescent="0.3">
      <c r="A120" s="6"/>
      <c r="B120" s="6"/>
      <c r="C120" s="6"/>
      <c r="D120" s="7"/>
      <c r="E120" s="8"/>
      <c r="F120" s="7"/>
      <c r="G120" s="8"/>
      <c r="H120" s="6"/>
      <c r="I120" s="6"/>
      <c r="J120" s="6"/>
      <c r="K120" s="7"/>
      <c r="L120" s="8"/>
      <c r="M120" s="7"/>
      <c r="N120" s="8"/>
      <c r="O120" s="6"/>
      <c r="P120" s="6"/>
      <c r="Q120" s="6"/>
      <c r="R120" s="7"/>
      <c r="S120" s="8"/>
      <c r="T120" s="7"/>
      <c r="U120" s="8"/>
      <c r="V120" s="6"/>
      <c r="W120" s="6"/>
      <c r="X120" s="6"/>
      <c r="Y120" s="7"/>
      <c r="Z120" s="8"/>
      <c r="AA120" s="7"/>
      <c r="AB120" s="8"/>
      <c r="AC120" s="8"/>
      <c r="AD120" s="8"/>
      <c r="AE120" s="8"/>
    </row>
    <row r="121" spans="1:31" x14ac:dyDescent="0.3">
      <c r="A121" s="6"/>
      <c r="B121" s="6"/>
      <c r="C121" s="6"/>
      <c r="D121" s="7"/>
      <c r="E121" s="8"/>
      <c r="F121" s="7"/>
      <c r="G121" s="8"/>
      <c r="H121" s="6"/>
      <c r="I121" s="6"/>
      <c r="J121" s="6"/>
      <c r="K121" s="7"/>
      <c r="L121" s="8"/>
      <c r="M121" s="7"/>
      <c r="N121" s="8"/>
      <c r="O121" s="6"/>
      <c r="P121" s="6"/>
      <c r="Q121" s="6"/>
      <c r="R121" s="7"/>
      <c r="S121" s="8"/>
      <c r="T121" s="7"/>
      <c r="U121" s="8"/>
      <c r="V121" s="6"/>
      <c r="W121" s="6"/>
      <c r="X121" s="6"/>
      <c r="Y121" s="7"/>
      <c r="Z121" s="8"/>
      <c r="AA121" s="7"/>
      <c r="AB121" s="8"/>
      <c r="AC121" s="8"/>
      <c r="AD121" s="8"/>
      <c r="AE121" s="8"/>
    </row>
    <row r="122" spans="1:31" x14ac:dyDescent="0.3">
      <c r="A122" s="6"/>
      <c r="B122" s="6"/>
      <c r="C122" s="6"/>
      <c r="D122" s="7"/>
      <c r="E122" s="8"/>
      <c r="F122" s="7"/>
      <c r="G122" s="8"/>
      <c r="H122" s="6"/>
      <c r="I122" s="6"/>
      <c r="J122" s="6"/>
      <c r="K122" s="7"/>
      <c r="L122" s="8"/>
      <c r="M122" s="7"/>
      <c r="N122" s="8"/>
      <c r="O122" s="6"/>
      <c r="P122" s="6"/>
      <c r="Q122" s="6"/>
      <c r="R122" s="7"/>
      <c r="S122" s="8"/>
      <c r="T122" s="7"/>
      <c r="U122" s="8"/>
      <c r="V122" s="6"/>
      <c r="W122" s="6"/>
      <c r="X122" s="6"/>
      <c r="Y122" s="7"/>
      <c r="Z122" s="8"/>
      <c r="AA122" s="7"/>
      <c r="AB122" s="8"/>
      <c r="AC122" s="8"/>
      <c r="AD122" s="8"/>
      <c r="AE122" s="8"/>
    </row>
    <row r="123" spans="1:31" x14ac:dyDescent="0.3">
      <c r="A123" s="6"/>
      <c r="B123" s="6"/>
      <c r="C123" s="6"/>
      <c r="D123" s="7"/>
      <c r="E123" s="8"/>
      <c r="F123" s="7"/>
      <c r="G123" s="8"/>
      <c r="H123" s="6"/>
      <c r="I123" s="6"/>
      <c r="J123" s="6"/>
      <c r="K123" s="7"/>
      <c r="L123" s="8"/>
      <c r="M123" s="7"/>
      <c r="N123" s="8"/>
      <c r="O123" s="6"/>
      <c r="P123" s="6"/>
      <c r="Q123" s="6"/>
      <c r="R123" s="7"/>
      <c r="S123" s="8"/>
      <c r="T123" s="7"/>
      <c r="U123" s="8"/>
      <c r="V123" s="6"/>
      <c r="W123" s="6"/>
      <c r="X123" s="6"/>
      <c r="Y123" s="7"/>
      <c r="Z123" s="8"/>
      <c r="AA123" s="7"/>
      <c r="AB123" s="8"/>
      <c r="AC123" s="8"/>
      <c r="AD123" s="8"/>
      <c r="AE123" s="8"/>
    </row>
    <row r="124" spans="1:31" x14ac:dyDescent="0.3">
      <c r="A124" s="6"/>
      <c r="B124" s="6"/>
      <c r="C124" s="6"/>
      <c r="D124" s="7"/>
      <c r="E124" s="8"/>
      <c r="F124" s="7"/>
      <c r="G124" s="8"/>
      <c r="H124" s="6"/>
      <c r="I124" s="6"/>
      <c r="J124" s="6"/>
      <c r="K124" s="7"/>
      <c r="L124" s="8"/>
      <c r="M124" s="7"/>
      <c r="N124" s="8"/>
      <c r="O124" s="6"/>
      <c r="P124" s="6"/>
      <c r="Q124" s="6"/>
      <c r="R124" s="7"/>
      <c r="S124" s="8"/>
      <c r="T124" s="7"/>
      <c r="U124" s="8"/>
      <c r="V124" s="6"/>
      <c r="W124" s="6"/>
      <c r="X124" s="6"/>
      <c r="Y124" s="7"/>
      <c r="Z124" s="8"/>
      <c r="AA124" s="7"/>
      <c r="AB124" s="8"/>
      <c r="AC124" s="8"/>
      <c r="AD124" s="8"/>
      <c r="AE124" s="8"/>
    </row>
    <row r="125" spans="1:31" x14ac:dyDescent="0.3">
      <c r="A125" s="6"/>
      <c r="B125" s="6"/>
      <c r="C125" s="6"/>
      <c r="D125" s="7"/>
      <c r="E125" s="8"/>
      <c r="F125" s="7"/>
      <c r="G125" s="8"/>
      <c r="H125" s="6"/>
      <c r="I125" s="6"/>
      <c r="J125" s="6"/>
      <c r="K125" s="7"/>
      <c r="L125" s="8"/>
      <c r="M125" s="7"/>
      <c r="N125" s="8"/>
      <c r="O125" s="6"/>
      <c r="P125" s="6"/>
      <c r="Q125" s="6"/>
      <c r="R125" s="7"/>
      <c r="S125" s="8"/>
      <c r="T125" s="7"/>
      <c r="U125" s="8"/>
      <c r="V125" s="6"/>
      <c r="W125" s="6"/>
      <c r="X125" s="6"/>
      <c r="Y125" s="7"/>
      <c r="Z125" s="8"/>
      <c r="AA125" s="7"/>
      <c r="AB125" s="8"/>
      <c r="AC125" s="8"/>
      <c r="AD125" s="8"/>
      <c r="AE125" s="8"/>
    </row>
    <row r="126" spans="1:31" x14ac:dyDescent="0.3">
      <c r="A126" s="6"/>
      <c r="B126" s="6"/>
      <c r="C126" s="6"/>
      <c r="D126" s="7"/>
      <c r="E126" s="8"/>
      <c r="F126" s="7"/>
      <c r="G126" s="8"/>
      <c r="H126" s="6"/>
      <c r="I126" s="6"/>
      <c r="J126" s="6"/>
      <c r="K126" s="7"/>
      <c r="L126" s="8"/>
      <c r="M126" s="7"/>
      <c r="N126" s="8"/>
      <c r="O126" s="6"/>
      <c r="P126" s="6"/>
      <c r="Q126" s="6"/>
      <c r="R126" s="7"/>
      <c r="S126" s="8"/>
      <c r="T126" s="7"/>
      <c r="U126" s="8"/>
      <c r="V126" s="6"/>
      <c r="W126" s="6"/>
      <c r="X126" s="6"/>
      <c r="Y126" s="7"/>
      <c r="Z126" s="8"/>
      <c r="AA126" s="7"/>
      <c r="AB126" s="8"/>
      <c r="AC126" s="8"/>
      <c r="AD126" s="8"/>
      <c r="AE126" s="8"/>
    </row>
    <row r="127" spans="1:31" x14ac:dyDescent="0.3">
      <c r="A127" s="6"/>
      <c r="B127" s="6"/>
      <c r="C127" s="6"/>
      <c r="D127" s="7"/>
      <c r="E127" s="8"/>
      <c r="F127" s="7"/>
      <c r="G127" s="8"/>
      <c r="H127" s="6"/>
      <c r="I127" s="6"/>
      <c r="J127" s="6"/>
      <c r="K127" s="7"/>
      <c r="L127" s="8"/>
      <c r="M127" s="7"/>
      <c r="N127" s="8"/>
      <c r="O127" s="6"/>
      <c r="P127" s="6"/>
      <c r="Q127" s="6"/>
      <c r="R127" s="7"/>
      <c r="S127" s="8"/>
      <c r="T127" s="7"/>
      <c r="U127" s="8"/>
      <c r="V127" s="6"/>
      <c r="W127" s="6"/>
      <c r="X127" s="6"/>
      <c r="Y127" s="7"/>
      <c r="Z127" s="8"/>
      <c r="AA127" s="7"/>
      <c r="AB127" s="8"/>
      <c r="AC127" s="8"/>
      <c r="AD127" s="8"/>
      <c r="AE127" s="8"/>
    </row>
    <row r="128" spans="1:31" x14ac:dyDescent="0.3">
      <c r="A128" s="6"/>
      <c r="B128" s="6"/>
      <c r="C128" s="6"/>
      <c r="D128" s="7"/>
      <c r="E128" s="8"/>
      <c r="F128" s="7"/>
      <c r="G128" s="8"/>
      <c r="H128" s="6"/>
      <c r="I128" s="6"/>
      <c r="J128" s="6"/>
      <c r="K128" s="7"/>
      <c r="L128" s="8"/>
      <c r="M128" s="7"/>
      <c r="N128" s="8"/>
      <c r="O128" s="6"/>
      <c r="P128" s="6"/>
      <c r="Q128" s="6"/>
      <c r="R128" s="7"/>
      <c r="S128" s="8"/>
      <c r="T128" s="7"/>
      <c r="U128" s="8"/>
      <c r="V128" s="6"/>
      <c r="W128" s="6"/>
      <c r="X128" s="6"/>
      <c r="Y128" s="7"/>
      <c r="Z128" s="8"/>
      <c r="AA128" s="7"/>
      <c r="AB128" s="8"/>
      <c r="AC128" s="8"/>
      <c r="AD128" s="8"/>
      <c r="AE128" s="8"/>
    </row>
    <row r="129" spans="1:31" x14ac:dyDescent="0.3">
      <c r="A129" s="6"/>
      <c r="B129" s="6"/>
      <c r="C129" s="6"/>
      <c r="D129" s="7"/>
      <c r="E129" s="8"/>
      <c r="F129" s="7"/>
      <c r="G129" s="8"/>
      <c r="H129" s="6"/>
      <c r="I129" s="6"/>
      <c r="J129" s="6"/>
      <c r="K129" s="7"/>
      <c r="L129" s="8"/>
      <c r="M129" s="7"/>
      <c r="N129" s="8"/>
      <c r="O129" s="6"/>
      <c r="P129" s="6"/>
      <c r="Q129" s="6"/>
      <c r="R129" s="7"/>
      <c r="S129" s="8"/>
      <c r="T129" s="7"/>
      <c r="U129" s="8"/>
      <c r="V129" s="6"/>
      <c r="W129" s="6"/>
      <c r="X129" s="6"/>
      <c r="Y129" s="7"/>
      <c r="Z129" s="8"/>
      <c r="AA129" s="7"/>
      <c r="AB129" s="8"/>
      <c r="AC129" s="8"/>
      <c r="AD129" s="8"/>
      <c r="AE129" s="8"/>
    </row>
    <row r="130" spans="1:31" x14ac:dyDescent="0.3">
      <c r="A130" s="6"/>
      <c r="B130" s="6"/>
      <c r="C130" s="6"/>
      <c r="D130" s="7"/>
      <c r="E130" s="8"/>
      <c r="F130" s="7"/>
      <c r="G130" s="8"/>
      <c r="H130" s="6"/>
      <c r="I130" s="6"/>
      <c r="J130" s="6"/>
      <c r="K130" s="7"/>
      <c r="L130" s="8"/>
      <c r="M130" s="7"/>
      <c r="N130" s="8"/>
      <c r="O130" s="6"/>
      <c r="P130" s="6"/>
      <c r="Q130" s="6"/>
      <c r="R130" s="7"/>
      <c r="S130" s="8"/>
      <c r="T130" s="7"/>
      <c r="U130" s="8"/>
      <c r="V130" s="6"/>
      <c r="W130" s="6"/>
      <c r="X130" s="6"/>
      <c r="Y130" s="7"/>
      <c r="Z130" s="8"/>
      <c r="AA130" s="7"/>
      <c r="AB130" s="8"/>
      <c r="AC130" s="8"/>
      <c r="AD130" s="8"/>
      <c r="AE130" s="8"/>
    </row>
    <row r="131" spans="1:31" x14ac:dyDescent="0.3">
      <c r="A131" s="6"/>
      <c r="B131" s="6"/>
      <c r="C131" s="6"/>
      <c r="D131" s="7"/>
      <c r="E131" s="8"/>
      <c r="F131" s="7"/>
      <c r="G131" s="8"/>
      <c r="H131" s="6"/>
      <c r="I131" s="6"/>
      <c r="J131" s="6"/>
      <c r="K131" s="7"/>
      <c r="L131" s="8"/>
      <c r="M131" s="7"/>
      <c r="N131" s="8"/>
      <c r="O131" s="6"/>
      <c r="P131" s="6"/>
      <c r="Q131" s="6"/>
      <c r="R131" s="7"/>
      <c r="S131" s="8"/>
      <c r="T131" s="7"/>
      <c r="U131" s="8"/>
      <c r="V131" s="6"/>
      <c r="W131" s="6"/>
      <c r="X131" s="6"/>
      <c r="Y131" s="7"/>
      <c r="Z131" s="8"/>
      <c r="AA131" s="7"/>
      <c r="AB131" s="8"/>
      <c r="AC131" s="8"/>
      <c r="AD131" s="8"/>
      <c r="AE131" s="8"/>
    </row>
    <row r="132" spans="1:31" x14ac:dyDescent="0.3">
      <c r="A132" s="6"/>
      <c r="B132" s="6"/>
      <c r="C132" s="6"/>
      <c r="D132" s="7"/>
      <c r="E132" s="8"/>
      <c r="F132" s="7"/>
      <c r="G132" s="8"/>
      <c r="H132" s="6"/>
      <c r="I132" s="6"/>
      <c r="J132" s="6"/>
      <c r="K132" s="7"/>
      <c r="L132" s="8"/>
      <c r="M132" s="7"/>
      <c r="N132" s="8"/>
      <c r="O132" s="6"/>
      <c r="P132" s="6"/>
      <c r="Q132" s="6"/>
      <c r="R132" s="7"/>
      <c r="S132" s="8"/>
      <c r="T132" s="7"/>
      <c r="U132" s="8"/>
      <c r="V132" s="6"/>
      <c r="W132" s="6"/>
      <c r="X132" s="6"/>
      <c r="Y132" s="7"/>
      <c r="Z132" s="8"/>
      <c r="AA132" s="7"/>
      <c r="AB132" s="8"/>
      <c r="AC132" s="8"/>
      <c r="AD132" s="8"/>
      <c r="AE132" s="8"/>
    </row>
    <row r="133" spans="1:31" x14ac:dyDescent="0.3">
      <c r="A133" s="6"/>
      <c r="B133" s="6"/>
      <c r="C133" s="6"/>
      <c r="D133" s="7"/>
      <c r="E133" s="8"/>
      <c r="F133" s="7"/>
      <c r="G133" s="8"/>
      <c r="H133" s="6"/>
      <c r="I133" s="6"/>
      <c r="J133" s="6"/>
      <c r="K133" s="7"/>
      <c r="L133" s="8"/>
      <c r="M133" s="7"/>
      <c r="N133" s="8"/>
      <c r="O133" s="6"/>
      <c r="P133" s="6"/>
      <c r="Q133" s="6"/>
      <c r="R133" s="7"/>
      <c r="S133" s="8"/>
      <c r="T133" s="7"/>
      <c r="U133" s="8"/>
      <c r="V133" s="6"/>
      <c r="W133" s="6"/>
      <c r="X133" s="6"/>
      <c r="Y133" s="7"/>
      <c r="Z133" s="8"/>
      <c r="AA133" s="7"/>
      <c r="AB133" s="8"/>
      <c r="AC133" s="8"/>
      <c r="AD133" s="8"/>
      <c r="AE133" s="8"/>
    </row>
    <row r="134" spans="1:31" x14ac:dyDescent="0.3">
      <c r="A134" s="6"/>
      <c r="B134" s="6"/>
      <c r="C134" s="6"/>
      <c r="D134" s="7"/>
      <c r="E134" s="8"/>
      <c r="F134" s="7"/>
      <c r="G134" s="8"/>
      <c r="H134" s="6"/>
      <c r="I134" s="6"/>
      <c r="J134" s="6"/>
      <c r="K134" s="7"/>
      <c r="L134" s="8"/>
      <c r="M134" s="7"/>
      <c r="N134" s="8"/>
      <c r="O134" s="6"/>
      <c r="P134" s="6"/>
      <c r="Q134" s="6"/>
      <c r="R134" s="7"/>
      <c r="S134" s="8"/>
      <c r="T134" s="7"/>
      <c r="U134" s="8"/>
      <c r="V134" s="6"/>
      <c r="W134" s="6"/>
      <c r="X134" s="6"/>
      <c r="Y134" s="7"/>
      <c r="Z134" s="8"/>
      <c r="AA134" s="7"/>
      <c r="AB134" s="8"/>
      <c r="AC134" s="8"/>
      <c r="AD134" s="8"/>
      <c r="AE134" s="8"/>
    </row>
    <row r="135" spans="1:31" x14ac:dyDescent="0.3">
      <c r="A135" s="6"/>
      <c r="B135" s="6"/>
      <c r="C135" s="6"/>
      <c r="D135" s="7"/>
      <c r="E135" s="8"/>
      <c r="F135" s="7"/>
      <c r="G135" s="8"/>
      <c r="H135" s="6"/>
      <c r="I135" s="6"/>
      <c r="J135" s="6"/>
      <c r="K135" s="7"/>
      <c r="L135" s="8"/>
      <c r="M135" s="7"/>
      <c r="N135" s="8"/>
      <c r="O135" s="6"/>
      <c r="P135" s="6"/>
      <c r="Q135" s="6"/>
      <c r="R135" s="7"/>
      <c r="S135" s="8"/>
      <c r="T135" s="7"/>
      <c r="U135" s="8"/>
      <c r="V135" s="6"/>
      <c r="W135" s="6"/>
      <c r="X135" s="6"/>
      <c r="Y135" s="7"/>
      <c r="Z135" s="8"/>
      <c r="AA135" s="7"/>
      <c r="AB135" s="8"/>
      <c r="AC135" s="8"/>
      <c r="AD135" s="8"/>
      <c r="AE135" s="8"/>
    </row>
    <row r="136" spans="1:31" x14ac:dyDescent="0.3">
      <c r="A136" s="6"/>
      <c r="B136" s="6"/>
      <c r="C136" s="6"/>
      <c r="D136" s="7"/>
      <c r="E136" s="8"/>
      <c r="F136" s="7"/>
      <c r="G136" s="8"/>
      <c r="H136" s="6"/>
      <c r="I136" s="6"/>
      <c r="J136" s="6"/>
      <c r="K136" s="7"/>
      <c r="L136" s="8"/>
      <c r="M136" s="7"/>
      <c r="N136" s="8"/>
      <c r="O136" s="6"/>
      <c r="P136" s="6"/>
      <c r="Q136" s="6"/>
      <c r="R136" s="7"/>
      <c r="S136" s="8"/>
      <c r="T136" s="7"/>
      <c r="U136" s="8"/>
      <c r="V136" s="6"/>
      <c r="W136" s="6"/>
      <c r="X136" s="6"/>
      <c r="Y136" s="7"/>
      <c r="Z136" s="8"/>
      <c r="AA136" s="7"/>
      <c r="AB136" s="8"/>
      <c r="AC136" s="8"/>
      <c r="AD136" s="8"/>
      <c r="AE136" s="8"/>
    </row>
    <row r="137" spans="1:31" x14ac:dyDescent="0.3">
      <c r="A137" s="6"/>
      <c r="B137" s="6"/>
      <c r="C137" s="6"/>
      <c r="D137" s="7"/>
      <c r="E137" s="8"/>
      <c r="F137" s="7"/>
      <c r="G137" s="8"/>
      <c r="H137" s="6"/>
      <c r="I137" s="6"/>
      <c r="J137" s="6"/>
      <c r="K137" s="7"/>
      <c r="L137" s="8"/>
      <c r="M137" s="7"/>
      <c r="N137" s="8"/>
      <c r="O137" s="6"/>
      <c r="P137" s="6"/>
      <c r="Q137" s="6"/>
      <c r="R137" s="7"/>
      <c r="S137" s="8"/>
      <c r="T137" s="7"/>
      <c r="U137" s="8"/>
      <c r="V137" s="6"/>
      <c r="W137" s="6"/>
      <c r="X137" s="6"/>
      <c r="Y137" s="7"/>
      <c r="Z137" s="8"/>
      <c r="AA137" s="7"/>
      <c r="AB137" s="8"/>
      <c r="AC137" s="8"/>
      <c r="AD137" s="8"/>
      <c r="AE137" s="8"/>
    </row>
    <row r="138" spans="1:31" x14ac:dyDescent="0.3">
      <c r="A138" s="6"/>
      <c r="B138" s="6"/>
      <c r="C138" s="6"/>
      <c r="D138" s="7"/>
      <c r="E138" s="8"/>
      <c r="F138" s="7"/>
      <c r="G138" s="8"/>
      <c r="H138" s="6"/>
      <c r="I138" s="6"/>
      <c r="J138" s="6"/>
      <c r="K138" s="7"/>
      <c r="L138" s="8"/>
      <c r="M138" s="7"/>
      <c r="N138" s="8"/>
      <c r="O138" s="6"/>
      <c r="P138" s="6"/>
      <c r="Q138" s="6"/>
      <c r="R138" s="7"/>
      <c r="S138" s="8"/>
      <c r="T138" s="7"/>
      <c r="U138" s="8"/>
      <c r="V138" s="6"/>
      <c r="W138" s="6"/>
      <c r="X138" s="6"/>
      <c r="Y138" s="7"/>
      <c r="Z138" s="8"/>
      <c r="AA138" s="7"/>
      <c r="AB138" s="8"/>
      <c r="AC138" s="8"/>
      <c r="AD138" s="8"/>
      <c r="AE138" s="8"/>
    </row>
    <row r="139" spans="1:31" x14ac:dyDescent="0.3">
      <c r="A139" s="6"/>
      <c r="B139" s="6"/>
      <c r="C139" s="6"/>
      <c r="D139" s="7"/>
      <c r="E139" s="8"/>
      <c r="F139" s="7"/>
      <c r="G139" s="8"/>
      <c r="H139" s="6"/>
      <c r="I139" s="6"/>
      <c r="J139" s="6"/>
      <c r="K139" s="7"/>
      <c r="L139" s="8"/>
      <c r="M139" s="7"/>
      <c r="N139" s="8"/>
      <c r="O139" s="6"/>
      <c r="P139" s="6"/>
      <c r="Q139" s="6"/>
      <c r="R139" s="7"/>
      <c r="S139" s="8"/>
      <c r="T139" s="7"/>
      <c r="U139" s="8"/>
      <c r="V139" s="6"/>
      <c r="W139" s="6"/>
      <c r="X139" s="6"/>
      <c r="Y139" s="7"/>
      <c r="Z139" s="8"/>
      <c r="AA139" s="7"/>
      <c r="AB139" s="8"/>
      <c r="AC139" s="8"/>
      <c r="AD139" s="8"/>
      <c r="AE139" s="8"/>
    </row>
    <row r="140" spans="1:31" x14ac:dyDescent="0.3">
      <c r="A140" s="6"/>
      <c r="B140" s="6"/>
      <c r="C140" s="6"/>
      <c r="D140" s="7"/>
      <c r="E140" s="8"/>
      <c r="F140" s="7"/>
      <c r="G140" s="8"/>
      <c r="H140" s="6"/>
      <c r="I140" s="6"/>
      <c r="J140" s="6"/>
      <c r="K140" s="7"/>
      <c r="L140" s="8"/>
      <c r="M140" s="7"/>
      <c r="N140" s="8"/>
      <c r="O140" s="6"/>
      <c r="P140" s="6"/>
      <c r="Q140" s="6"/>
      <c r="R140" s="7"/>
      <c r="S140" s="8"/>
      <c r="T140" s="7"/>
      <c r="U140" s="8"/>
      <c r="V140" s="6"/>
      <c r="W140" s="6"/>
      <c r="X140" s="6"/>
      <c r="Y140" s="7"/>
      <c r="Z140" s="8"/>
      <c r="AA140" s="7"/>
      <c r="AB140" s="8"/>
      <c r="AC140" s="8"/>
      <c r="AD140" s="8"/>
      <c r="AE140" s="8"/>
    </row>
    <row r="141" spans="1:31" x14ac:dyDescent="0.3">
      <c r="A141" s="6"/>
      <c r="B141" s="6"/>
      <c r="C141" s="6"/>
      <c r="D141" s="7"/>
      <c r="E141" s="8"/>
      <c r="F141" s="7"/>
      <c r="G141" s="8"/>
      <c r="H141" s="6"/>
      <c r="I141" s="6"/>
      <c r="J141" s="6"/>
      <c r="K141" s="7"/>
      <c r="L141" s="8"/>
      <c r="M141" s="7"/>
      <c r="N141" s="8"/>
      <c r="O141" s="6"/>
      <c r="P141" s="6"/>
      <c r="Q141" s="6"/>
      <c r="R141" s="7"/>
      <c r="S141" s="8"/>
      <c r="T141" s="7"/>
      <c r="U141" s="8"/>
      <c r="V141" s="6"/>
      <c r="W141" s="6"/>
      <c r="X141" s="6"/>
      <c r="Y141" s="7"/>
      <c r="Z141" s="8"/>
      <c r="AA141" s="7"/>
      <c r="AB141" s="8"/>
      <c r="AC141" s="8"/>
      <c r="AD141" s="8"/>
      <c r="AE141" s="8"/>
    </row>
    <row r="142" spans="1:31" x14ac:dyDescent="0.3">
      <c r="A142" s="6"/>
      <c r="B142" s="6"/>
      <c r="C142" s="6"/>
      <c r="D142" s="7"/>
      <c r="E142" s="8"/>
      <c r="F142" s="7"/>
      <c r="G142" s="8"/>
      <c r="H142" s="6"/>
      <c r="I142" s="6"/>
      <c r="J142" s="6"/>
      <c r="K142" s="7"/>
      <c r="L142" s="8"/>
      <c r="M142" s="7"/>
      <c r="N142" s="8"/>
      <c r="O142" s="6"/>
      <c r="P142" s="6"/>
      <c r="Q142" s="6"/>
      <c r="R142" s="7"/>
      <c r="S142" s="8"/>
      <c r="T142" s="7"/>
      <c r="U142" s="8"/>
      <c r="V142" s="6"/>
      <c r="W142" s="6"/>
      <c r="X142" s="6"/>
      <c r="Y142" s="7"/>
      <c r="Z142" s="8"/>
      <c r="AA142" s="7"/>
      <c r="AB142" s="8"/>
      <c r="AC142" s="8"/>
      <c r="AD142" s="8"/>
      <c r="AE142" s="8"/>
    </row>
    <row r="143" spans="1:31" x14ac:dyDescent="0.3">
      <c r="A143" s="6"/>
      <c r="B143" s="6"/>
      <c r="C143" s="6"/>
      <c r="D143" s="7"/>
      <c r="E143" s="8"/>
      <c r="F143" s="7"/>
      <c r="G143" s="8"/>
      <c r="H143" s="6"/>
      <c r="I143" s="6"/>
      <c r="J143" s="6"/>
      <c r="K143" s="7"/>
      <c r="L143" s="8"/>
      <c r="M143" s="7"/>
      <c r="N143" s="8"/>
      <c r="O143" s="6"/>
      <c r="P143" s="6"/>
      <c r="Q143" s="6"/>
      <c r="R143" s="7"/>
      <c r="S143" s="8"/>
      <c r="T143" s="7"/>
      <c r="U143" s="8"/>
      <c r="V143" s="6"/>
      <c r="W143" s="6"/>
      <c r="X143" s="6"/>
      <c r="Y143" s="7"/>
      <c r="Z143" s="8"/>
      <c r="AA143" s="7"/>
      <c r="AB143" s="8"/>
      <c r="AC143" s="8"/>
      <c r="AD143" s="8"/>
      <c r="AE143" s="8"/>
    </row>
    <row r="144" spans="1:31" x14ac:dyDescent="0.3">
      <c r="A144" s="6"/>
      <c r="B144" s="6"/>
      <c r="C144" s="6"/>
      <c r="D144" s="7"/>
      <c r="E144" s="8"/>
      <c r="F144" s="7"/>
      <c r="G144" s="8"/>
      <c r="H144" s="6"/>
      <c r="I144" s="6"/>
      <c r="J144" s="6"/>
      <c r="K144" s="7"/>
      <c r="L144" s="8"/>
      <c r="M144" s="7"/>
      <c r="N144" s="8"/>
      <c r="O144" s="6"/>
      <c r="P144" s="6"/>
      <c r="Q144" s="6"/>
      <c r="R144" s="7"/>
      <c r="S144" s="8"/>
      <c r="T144" s="7"/>
      <c r="U144" s="8"/>
      <c r="V144" s="6"/>
      <c r="W144" s="6"/>
      <c r="X144" s="6"/>
      <c r="Y144" s="7"/>
      <c r="Z144" s="8"/>
      <c r="AA144" s="7"/>
      <c r="AB144" s="8"/>
      <c r="AC144" s="8"/>
      <c r="AD144" s="8"/>
      <c r="AE144" s="8"/>
    </row>
    <row r="145" spans="1:31" x14ac:dyDescent="0.3">
      <c r="A145" s="6"/>
      <c r="B145" s="6"/>
      <c r="C145" s="6"/>
      <c r="D145" s="7"/>
      <c r="E145" s="8"/>
      <c r="F145" s="7"/>
      <c r="G145" s="8"/>
      <c r="H145" s="6"/>
      <c r="I145" s="6"/>
      <c r="J145" s="6"/>
      <c r="K145" s="7"/>
      <c r="L145" s="8"/>
      <c r="M145" s="7"/>
      <c r="N145" s="8"/>
      <c r="O145" s="6"/>
      <c r="P145" s="6"/>
      <c r="Q145" s="6"/>
      <c r="R145" s="7"/>
      <c r="S145" s="8"/>
      <c r="T145" s="7"/>
      <c r="U145" s="8"/>
      <c r="V145" s="6"/>
      <c r="W145" s="6"/>
      <c r="X145" s="6"/>
      <c r="Y145" s="7"/>
      <c r="Z145" s="8"/>
      <c r="AA145" s="7"/>
      <c r="AB145" s="8"/>
      <c r="AC145" s="8"/>
      <c r="AD145" s="8"/>
      <c r="AE145" s="8"/>
    </row>
    <row r="146" spans="1:31" x14ac:dyDescent="0.3">
      <c r="A146" s="6"/>
      <c r="B146" s="6"/>
      <c r="C146" s="6"/>
      <c r="D146" s="7"/>
      <c r="E146" s="8"/>
      <c r="F146" s="7"/>
      <c r="G146" s="8"/>
      <c r="H146" s="6"/>
      <c r="I146" s="6"/>
      <c r="J146" s="6"/>
      <c r="K146" s="7"/>
      <c r="L146" s="8"/>
      <c r="M146" s="7"/>
      <c r="N146" s="8"/>
      <c r="O146" s="6"/>
      <c r="P146" s="6"/>
      <c r="Q146" s="6"/>
      <c r="R146" s="7"/>
      <c r="S146" s="8"/>
      <c r="T146" s="7"/>
      <c r="U146" s="8"/>
      <c r="V146" s="6"/>
      <c r="W146" s="6"/>
      <c r="X146" s="6"/>
      <c r="Y146" s="7"/>
      <c r="Z146" s="8"/>
      <c r="AA146" s="7"/>
      <c r="AB146" s="8"/>
      <c r="AC146" s="8"/>
      <c r="AD146" s="8"/>
      <c r="AE146" s="8"/>
    </row>
    <row r="147" spans="1:31" x14ac:dyDescent="0.3">
      <c r="A147" s="6"/>
      <c r="B147" s="6"/>
      <c r="C147" s="6"/>
      <c r="D147" s="7"/>
      <c r="E147" s="8"/>
      <c r="F147" s="7"/>
      <c r="G147" s="8"/>
      <c r="H147" s="6"/>
      <c r="I147" s="6"/>
      <c r="J147" s="6"/>
      <c r="K147" s="7"/>
      <c r="L147" s="8"/>
      <c r="M147" s="7"/>
      <c r="N147" s="8"/>
      <c r="O147" s="6"/>
      <c r="P147" s="6"/>
      <c r="Q147" s="6"/>
      <c r="R147" s="7"/>
      <c r="S147" s="8"/>
      <c r="T147" s="7"/>
      <c r="U147" s="8"/>
      <c r="V147" s="6"/>
      <c r="W147" s="6"/>
      <c r="X147" s="6"/>
      <c r="Y147" s="7"/>
      <c r="Z147" s="8"/>
      <c r="AA147" s="7"/>
      <c r="AB147" s="8"/>
      <c r="AC147" s="8"/>
      <c r="AD147" s="8"/>
      <c r="AE147" s="8"/>
    </row>
    <row r="148" spans="1:31" x14ac:dyDescent="0.3">
      <c r="A148" s="6"/>
      <c r="B148" s="6"/>
      <c r="C148" s="6"/>
      <c r="D148" s="7"/>
      <c r="E148" s="8"/>
      <c r="F148" s="7"/>
      <c r="G148" s="8"/>
      <c r="H148" s="6"/>
      <c r="I148" s="6"/>
      <c r="J148" s="6"/>
      <c r="K148" s="7"/>
      <c r="L148" s="8"/>
      <c r="M148" s="7"/>
      <c r="N148" s="8"/>
      <c r="O148" s="6"/>
      <c r="P148" s="6"/>
      <c r="Q148" s="6"/>
      <c r="R148" s="7"/>
      <c r="S148" s="8"/>
      <c r="T148" s="7"/>
      <c r="U148" s="8"/>
      <c r="V148" s="6"/>
      <c r="W148" s="6"/>
      <c r="X148" s="6"/>
      <c r="Y148" s="7"/>
      <c r="Z148" s="8"/>
      <c r="AA148" s="7"/>
      <c r="AB148" s="8"/>
      <c r="AC148" s="8"/>
      <c r="AD148" s="8"/>
      <c r="AE148" s="8"/>
    </row>
    <row r="149" spans="1:31" x14ac:dyDescent="0.3">
      <c r="A149" s="6"/>
      <c r="B149" s="6"/>
      <c r="C149" s="6"/>
      <c r="D149" s="7"/>
      <c r="E149" s="8"/>
      <c r="F149" s="7"/>
      <c r="G149" s="8"/>
      <c r="H149" s="6"/>
      <c r="I149" s="6"/>
      <c r="J149" s="6"/>
      <c r="K149" s="7"/>
      <c r="L149" s="8"/>
      <c r="M149" s="7"/>
      <c r="N149" s="8"/>
      <c r="O149" s="6"/>
      <c r="P149" s="6"/>
      <c r="Q149" s="6"/>
      <c r="R149" s="7"/>
      <c r="S149" s="8"/>
      <c r="T149" s="7"/>
      <c r="U149" s="8"/>
      <c r="V149" s="6"/>
      <c r="W149" s="6"/>
      <c r="X149" s="6"/>
      <c r="Y149" s="7"/>
      <c r="Z149" s="8"/>
      <c r="AA149" s="7"/>
      <c r="AB149" s="8"/>
      <c r="AC149" s="8"/>
      <c r="AD149" s="8"/>
      <c r="AE149" s="8"/>
    </row>
    <row r="150" spans="1:31" x14ac:dyDescent="0.3">
      <c r="A150" s="6"/>
      <c r="B150" s="6"/>
      <c r="C150" s="6"/>
      <c r="D150" s="7"/>
      <c r="E150" s="8"/>
      <c r="F150" s="7"/>
      <c r="G150" s="8"/>
      <c r="H150" s="6"/>
      <c r="I150" s="6"/>
      <c r="J150" s="6"/>
      <c r="K150" s="7"/>
      <c r="L150" s="8"/>
      <c r="M150" s="7"/>
      <c r="N150" s="8"/>
      <c r="O150" s="6"/>
      <c r="P150" s="6"/>
      <c r="Q150" s="6"/>
      <c r="R150" s="7"/>
      <c r="S150" s="8"/>
      <c r="T150" s="7"/>
      <c r="U150" s="8"/>
      <c r="V150" s="6"/>
      <c r="W150" s="6"/>
      <c r="X150" s="6"/>
      <c r="Y150" s="7"/>
      <c r="Z150" s="8"/>
      <c r="AA150" s="7"/>
      <c r="AB150" s="8"/>
      <c r="AC150" s="8"/>
      <c r="AD150" s="8"/>
      <c r="AE150" s="8"/>
    </row>
    <row r="151" spans="1:31" x14ac:dyDescent="0.3">
      <c r="A151" s="6"/>
      <c r="B151" s="6"/>
      <c r="C151" s="6"/>
      <c r="D151" s="7"/>
      <c r="E151" s="8"/>
      <c r="F151" s="7"/>
      <c r="G151" s="8"/>
      <c r="H151" s="6"/>
      <c r="I151" s="6"/>
      <c r="J151" s="6"/>
      <c r="K151" s="7"/>
      <c r="L151" s="8"/>
      <c r="M151" s="7"/>
      <c r="N151" s="8"/>
      <c r="O151" s="6"/>
      <c r="P151" s="6"/>
      <c r="Q151" s="6"/>
      <c r="R151" s="7"/>
      <c r="S151" s="8"/>
      <c r="T151" s="7"/>
      <c r="U151" s="8"/>
      <c r="V151" s="6"/>
      <c r="W151" s="6"/>
      <c r="X151" s="6"/>
      <c r="Y151" s="7"/>
      <c r="Z151" s="8"/>
      <c r="AA151" s="7"/>
      <c r="AB151" s="8"/>
      <c r="AC151" s="8"/>
      <c r="AD151" s="8"/>
      <c r="AE151" s="8"/>
    </row>
    <row r="152" spans="1:31" x14ac:dyDescent="0.3">
      <c r="A152" s="6"/>
      <c r="B152" s="6"/>
      <c r="C152" s="6"/>
      <c r="D152" s="7"/>
      <c r="E152" s="8"/>
      <c r="F152" s="7"/>
      <c r="G152" s="8"/>
      <c r="H152" s="6"/>
      <c r="I152" s="6"/>
      <c r="J152" s="6"/>
      <c r="K152" s="7"/>
      <c r="L152" s="8"/>
      <c r="M152" s="7"/>
      <c r="N152" s="8"/>
      <c r="O152" s="6"/>
      <c r="P152" s="6"/>
      <c r="Q152" s="6"/>
      <c r="R152" s="7"/>
      <c r="S152" s="8"/>
      <c r="T152" s="7"/>
      <c r="U152" s="8"/>
      <c r="V152" s="6"/>
      <c r="W152" s="6"/>
      <c r="X152" s="6"/>
      <c r="Y152" s="7"/>
      <c r="Z152" s="8"/>
      <c r="AA152" s="7"/>
      <c r="AB152" s="8"/>
      <c r="AC152" s="8"/>
      <c r="AD152" s="8"/>
      <c r="AE152" s="8"/>
    </row>
    <row r="153" spans="1:31" x14ac:dyDescent="0.3">
      <c r="A153" s="6"/>
      <c r="B153" s="6"/>
      <c r="C153" s="6"/>
      <c r="D153" s="7"/>
      <c r="E153" s="8"/>
      <c r="F153" s="7"/>
      <c r="G153" s="8"/>
      <c r="H153" s="6"/>
      <c r="I153" s="6"/>
      <c r="J153" s="6"/>
      <c r="K153" s="7"/>
      <c r="L153" s="8"/>
      <c r="M153" s="7"/>
      <c r="N153" s="8"/>
      <c r="O153" s="6"/>
      <c r="P153" s="6"/>
      <c r="Q153" s="6"/>
      <c r="R153" s="7"/>
      <c r="S153" s="8"/>
      <c r="T153" s="7"/>
      <c r="U153" s="8"/>
      <c r="V153" s="6"/>
      <c r="W153" s="6"/>
      <c r="X153" s="6"/>
      <c r="Y153" s="7"/>
      <c r="Z153" s="8"/>
      <c r="AA153" s="7"/>
      <c r="AB153" s="8"/>
      <c r="AC153" s="8"/>
      <c r="AD153" s="8"/>
      <c r="AE153" s="8"/>
    </row>
    <row r="154" spans="1:31" x14ac:dyDescent="0.3">
      <c r="A154" s="6"/>
      <c r="B154" s="6"/>
      <c r="C154" s="6"/>
      <c r="D154" s="7"/>
      <c r="E154" s="8"/>
      <c r="F154" s="7"/>
      <c r="G154" s="8"/>
      <c r="H154" s="6"/>
      <c r="I154" s="6"/>
      <c r="J154" s="6"/>
      <c r="K154" s="7"/>
      <c r="L154" s="8"/>
      <c r="M154" s="7"/>
      <c r="N154" s="8"/>
      <c r="O154" s="6"/>
      <c r="P154" s="6"/>
      <c r="Q154" s="6"/>
      <c r="R154" s="7"/>
      <c r="S154" s="8"/>
      <c r="T154" s="7"/>
      <c r="U154" s="8"/>
      <c r="V154" s="6"/>
      <c r="W154" s="6"/>
      <c r="X154" s="6"/>
      <c r="Y154" s="7"/>
      <c r="Z154" s="8"/>
      <c r="AA154" s="7"/>
      <c r="AB154" s="8"/>
      <c r="AC154" s="8"/>
      <c r="AD154" s="8"/>
      <c r="AE154" s="8"/>
    </row>
    <row r="155" spans="1:31" x14ac:dyDescent="0.3">
      <c r="A155" s="6"/>
      <c r="B155" s="6"/>
      <c r="C155" s="6"/>
      <c r="D155" s="7"/>
      <c r="E155" s="8"/>
      <c r="F155" s="7"/>
      <c r="G155" s="8"/>
      <c r="H155" s="6"/>
      <c r="I155" s="6"/>
      <c r="J155" s="6"/>
      <c r="K155" s="7"/>
      <c r="L155" s="8"/>
      <c r="M155" s="7"/>
      <c r="N155" s="8"/>
      <c r="O155" s="6"/>
      <c r="P155" s="6"/>
      <c r="Q155" s="6"/>
      <c r="R155" s="7"/>
      <c r="S155" s="8"/>
      <c r="T155" s="7"/>
      <c r="U155" s="8"/>
      <c r="V155" s="6"/>
      <c r="W155" s="6"/>
      <c r="X155" s="6"/>
      <c r="Y155" s="7"/>
      <c r="Z155" s="8"/>
      <c r="AA155" s="7"/>
      <c r="AB155" s="8"/>
      <c r="AC155" s="8"/>
      <c r="AD155" s="8"/>
      <c r="AE155" s="8"/>
    </row>
    <row r="156" spans="1:31" x14ac:dyDescent="0.3">
      <c r="A156" s="6"/>
      <c r="B156" s="6"/>
      <c r="C156" s="6"/>
      <c r="D156" s="7"/>
      <c r="E156" s="8"/>
      <c r="F156" s="7"/>
      <c r="G156" s="8"/>
      <c r="H156" s="6"/>
      <c r="I156" s="6"/>
      <c r="J156" s="6"/>
      <c r="K156" s="7"/>
      <c r="L156" s="8"/>
      <c r="M156" s="7"/>
      <c r="N156" s="8"/>
      <c r="O156" s="6"/>
      <c r="P156" s="6"/>
      <c r="Q156" s="6"/>
      <c r="R156" s="7"/>
      <c r="S156" s="8"/>
      <c r="T156" s="7"/>
      <c r="U156" s="8"/>
      <c r="V156" s="6"/>
      <c r="W156" s="6"/>
      <c r="X156" s="6"/>
      <c r="Y156" s="7"/>
      <c r="Z156" s="8"/>
      <c r="AA156" s="7"/>
      <c r="AB156" s="8"/>
      <c r="AC156" s="8"/>
      <c r="AD156" s="8"/>
      <c r="AE156" s="8"/>
    </row>
    <row r="157" spans="1:31" x14ac:dyDescent="0.3">
      <c r="A157" s="6"/>
      <c r="B157" s="6"/>
      <c r="C157" s="6"/>
      <c r="D157" s="7"/>
      <c r="E157" s="8"/>
      <c r="F157" s="7"/>
      <c r="G157" s="8"/>
      <c r="H157" s="6"/>
      <c r="I157" s="6"/>
      <c r="J157" s="6"/>
      <c r="K157" s="7"/>
      <c r="L157" s="8"/>
      <c r="M157" s="7"/>
      <c r="N157" s="8"/>
      <c r="O157" s="6"/>
      <c r="P157" s="6"/>
      <c r="Q157" s="6"/>
      <c r="R157" s="7"/>
      <c r="S157" s="8"/>
      <c r="T157" s="7"/>
      <c r="U157" s="8"/>
      <c r="V157" s="6"/>
      <c r="W157" s="6"/>
      <c r="X157" s="6"/>
      <c r="Y157" s="7"/>
      <c r="Z157" s="8"/>
      <c r="AA157" s="7"/>
      <c r="AB157" s="8"/>
      <c r="AC157" s="8"/>
      <c r="AD157" s="8"/>
      <c r="AE157" s="8"/>
    </row>
    <row r="158" spans="1:31" x14ac:dyDescent="0.3">
      <c r="A158" s="6"/>
      <c r="B158" s="6"/>
      <c r="C158" s="6"/>
      <c r="D158" s="7"/>
      <c r="E158" s="8"/>
      <c r="F158" s="7"/>
      <c r="G158" s="8"/>
      <c r="H158" s="6"/>
      <c r="I158" s="6"/>
      <c r="J158" s="6"/>
      <c r="K158" s="7"/>
      <c r="L158" s="8"/>
      <c r="M158" s="7"/>
      <c r="N158" s="8"/>
      <c r="O158" s="6"/>
      <c r="P158" s="6"/>
      <c r="Q158" s="6"/>
      <c r="R158" s="7"/>
      <c r="S158" s="8"/>
      <c r="T158" s="7"/>
      <c r="U158" s="8"/>
      <c r="V158" s="6"/>
      <c r="W158" s="6"/>
      <c r="X158" s="6"/>
      <c r="Y158" s="7"/>
      <c r="Z158" s="8"/>
      <c r="AA158" s="7"/>
      <c r="AB158" s="8"/>
      <c r="AC158" s="8"/>
      <c r="AD158" s="8"/>
      <c r="AE158" s="8"/>
    </row>
    <row r="159" spans="1:31" x14ac:dyDescent="0.3">
      <c r="A159" s="6"/>
      <c r="B159" s="6"/>
      <c r="C159" s="6"/>
      <c r="D159" s="7"/>
      <c r="E159" s="8"/>
      <c r="F159" s="7"/>
      <c r="G159" s="8"/>
      <c r="H159" s="6"/>
      <c r="I159" s="6"/>
      <c r="J159" s="6"/>
      <c r="K159" s="7"/>
      <c r="L159" s="8"/>
      <c r="M159" s="7"/>
      <c r="N159" s="8"/>
      <c r="O159" s="6"/>
      <c r="P159" s="6"/>
      <c r="Q159" s="6"/>
      <c r="R159" s="7"/>
      <c r="S159" s="8"/>
      <c r="T159" s="7"/>
      <c r="U159" s="8"/>
      <c r="V159" s="6"/>
      <c r="W159" s="6"/>
      <c r="X159" s="6"/>
      <c r="Y159" s="7"/>
      <c r="Z159" s="8"/>
      <c r="AA159" s="7"/>
      <c r="AB159" s="8"/>
      <c r="AC159" s="8"/>
      <c r="AD159" s="8"/>
      <c r="AE159" s="8"/>
    </row>
    <row r="160" spans="1:31" x14ac:dyDescent="0.3">
      <c r="A160" s="6"/>
      <c r="B160" s="6"/>
      <c r="C160" s="6"/>
      <c r="D160" s="7"/>
      <c r="E160" s="8"/>
      <c r="F160" s="7"/>
      <c r="G160" s="8"/>
      <c r="H160" s="6"/>
      <c r="I160" s="6"/>
      <c r="J160" s="6"/>
      <c r="K160" s="7"/>
      <c r="L160" s="8"/>
      <c r="M160" s="7"/>
      <c r="N160" s="8"/>
      <c r="O160" s="6"/>
      <c r="P160" s="6"/>
      <c r="Q160" s="6"/>
      <c r="R160" s="7"/>
      <c r="S160" s="8"/>
      <c r="T160" s="7"/>
      <c r="U160" s="8"/>
      <c r="V160" s="6"/>
      <c r="W160" s="6"/>
      <c r="X160" s="6"/>
      <c r="Y160" s="7"/>
      <c r="Z160" s="8"/>
      <c r="AA160" s="7"/>
      <c r="AB160" s="8"/>
      <c r="AC160" s="8"/>
      <c r="AD160" s="8"/>
      <c r="AE160" s="8"/>
    </row>
    <row r="161" spans="1:31" x14ac:dyDescent="0.3">
      <c r="A161" s="6"/>
      <c r="B161" s="6"/>
      <c r="C161" s="6"/>
      <c r="D161" s="7"/>
      <c r="E161" s="8"/>
      <c r="F161" s="7"/>
      <c r="G161" s="8"/>
      <c r="H161" s="6"/>
      <c r="I161" s="6"/>
      <c r="J161" s="6"/>
      <c r="K161" s="7"/>
      <c r="L161" s="8"/>
      <c r="M161" s="7"/>
      <c r="N161" s="8"/>
      <c r="O161" s="6"/>
      <c r="P161" s="6"/>
      <c r="Q161" s="6"/>
      <c r="R161" s="7"/>
      <c r="S161" s="8"/>
      <c r="T161" s="7"/>
      <c r="U161" s="8"/>
      <c r="V161" s="6"/>
      <c r="W161" s="6"/>
      <c r="X161" s="6"/>
      <c r="Y161" s="7"/>
      <c r="Z161" s="8"/>
      <c r="AA161" s="7"/>
      <c r="AB161" s="8"/>
      <c r="AC161" s="8"/>
      <c r="AD161" s="8"/>
      <c r="AE161" s="8"/>
    </row>
    <row r="162" spans="1:31" x14ac:dyDescent="0.3">
      <c r="A162" s="6"/>
      <c r="B162" s="6"/>
      <c r="C162" s="6"/>
      <c r="D162" s="7"/>
      <c r="E162" s="8"/>
      <c r="F162" s="7"/>
      <c r="G162" s="8"/>
      <c r="H162" s="6"/>
      <c r="I162" s="6"/>
      <c r="J162" s="6"/>
      <c r="K162" s="7"/>
      <c r="L162" s="8"/>
      <c r="M162" s="7"/>
      <c r="N162" s="8"/>
      <c r="O162" s="6"/>
      <c r="P162" s="6"/>
      <c r="Q162" s="6"/>
      <c r="R162" s="7"/>
      <c r="S162" s="8"/>
      <c r="T162" s="7"/>
      <c r="U162" s="8"/>
      <c r="V162" s="6"/>
      <c r="W162" s="6"/>
      <c r="X162" s="6"/>
      <c r="Y162" s="7"/>
      <c r="Z162" s="8"/>
      <c r="AA162" s="7"/>
      <c r="AB162" s="8"/>
      <c r="AC162" s="8"/>
      <c r="AD162" s="8"/>
      <c r="AE162" s="8"/>
    </row>
    <row r="163" spans="1:31" x14ac:dyDescent="0.3">
      <c r="A163" s="6"/>
      <c r="B163" s="6"/>
      <c r="C163" s="6"/>
      <c r="D163" s="7"/>
      <c r="E163" s="8"/>
      <c r="F163" s="7"/>
      <c r="G163" s="8"/>
      <c r="H163" s="6"/>
      <c r="I163" s="6"/>
      <c r="J163" s="6"/>
      <c r="K163" s="7"/>
      <c r="L163" s="8"/>
      <c r="M163" s="7"/>
      <c r="N163" s="8"/>
      <c r="O163" s="6"/>
      <c r="P163" s="6"/>
      <c r="Q163" s="6"/>
      <c r="R163" s="7"/>
      <c r="S163" s="8"/>
      <c r="T163" s="7"/>
      <c r="U163" s="8"/>
      <c r="V163" s="6"/>
      <c r="W163" s="6"/>
      <c r="X163" s="6"/>
      <c r="Y163" s="7"/>
      <c r="Z163" s="8"/>
      <c r="AA163" s="7"/>
      <c r="AB163" s="8"/>
      <c r="AC163" s="8"/>
      <c r="AD163" s="8"/>
      <c r="AE163" s="8"/>
    </row>
    <row r="164" spans="1:31" x14ac:dyDescent="0.3">
      <c r="A164" s="6"/>
      <c r="B164" s="6"/>
      <c r="C164" s="6"/>
      <c r="D164" s="7"/>
      <c r="E164" s="8"/>
      <c r="F164" s="7"/>
      <c r="G164" s="8"/>
      <c r="H164" s="6"/>
      <c r="I164" s="6"/>
      <c r="J164" s="6"/>
      <c r="K164" s="7"/>
      <c r="L164" s="8"/>
      <c r="M164" s="7"/>
      <c r="N164" s="8"/>
      <c r="O164" s="6"/>
      <c r="P164" s="6"/>
      <c r="Q164" s="6"/>
      <c r="R164" s="7"/>
      <c r="S164" s="8"/>
      <c r="T164" s="7"/>
      <c r="U164" s="8"/>
      <c r="V164" s="6"/>
      <c r="W164" s="6"/>
      <c r="X164" s="6"/>
      <c r="Y164" s="7"/>
      <c r="Z164" s="8"/>
      <c r="AA164" s="7"/>
      <c r="AB164" s="8"/>
      <c r="AC164" s="8"/>
      <c r="AD164" s="8"/>
      <c r="AE164" s="8"/>
    </row>
    <row r="165" spans="1:31" x14ac:dyDescent="0.3">
      <c r="A165" s="6"/>
      <c r="B165" s="6"/>
      <c r="C165" s="6"/>
      <c r="D165" s="7"/>
      <c r="E165" s="8"/>
      <c r="F165" s="7"/>
      <c r="G165" s="8"/>
      <c r="H165" s="6"/>
      <c r="I165" s="6"/>
      <c r="J165" s="6"/>
      <c r="K165" s="7"/>
      <c r="L165" s="8"/>
      <c r="M165" s="7"/>
      <c r="N165" s="8"/>
      <c r="O165" s="6"/>
      <c r="P165" s="6"/>
      <c r="Q165" s="6"/>
      <c r="R165" s="7"/>
      <c r="S165" s="8"/>
      <c r="T165" s="7"/>
      <c r="U165" s="8"/>
      <c r="V165" s="6"/>
      <c r="W165" s="6"/>
      <c r="X165" s="6"/>
      <c r="Y165" s="7"/>
      <c r="Z165" s="8"/>
      <c r="AA165" s="7"/>
      <c r="AB165" s="8"/>
      <c r="AC165" s="8"/>
      <c r="AD165" s="8"/>
      <c r="AE165" s="8"/>
    </row>
    <row r="166" spans="1:31" x14ac:dyDescent="0.3">
      <c r="A166" s="6"/>
      <c r="B166" s="6"/>
      <c r="C166" s="6"/>
      <c r="D166" s="7"/>
      <c r="E166" s="8"/>
      <c r="F166" s="7"/>
      <c r="G166" s="8"/>
      <c r="H166" s="6"/>
      <c r="I166" s="6"/>
      <c r="J166" s="6"/>
      <c r="K166" s="7"/>
      <c r="L166" s="8"/>
      <c r="M166" s="7"/>
      <c r="N166" s="8"/>
      <c r="O166" s="6"/>
      <c r="P166" s="6"/>
      <c r="Q166" s="6"/>
      <c r="R166" s="7"/>
      <c r="S166" s="8"/>
      <c r="T166" s="7"/>
      <c r="U166" s="8"/>
      <c r="V166" s="6"/>
      <c r="W166" s="6"/>
      <c r="X166" s="6"/>
      <c r="Y166" s="7"/>
      <c r="Z166" s="8"/>
      <c r="AA166" s="7"/>
      <c r="AB166" s="8"/>
      <c r="AC166" s="8"/>
      <c r="AD166" s="8"/>
      <c r="AE166" s="8"/>
    </row>
    <row r="167" spans="1:31" x14ac:dyDescent="0.3">
      <c r="A167" s="6"/>
      <c r="B167" s="6"/>
      <c r="C167" s="6"/>
      <c r="D167" s="7"/>
      <c r="E167" s="8"/>
      <c r="F167" s="7"/>
      <c r="G167" s="8"/>
      <c r="H167" s="6"/>
      <c r="I167" s="6"/>
      <c r="J167" s="6"/>
      <c r="K167" s="7"/>
      <c r="L167" s="8"/>
      <c r="M167" s="7"/>
      <c r="N167" s="8"/>
      <c r="O167" s="6"/>
      <c r="P167" s="6"/>
      <c r="Q167" s="6"/>
      <c r="R167" s="7"/>
      <c r="S167" s="8"/>
      <c r="T167" s="7"/>
      <c r="U167" s="8"/>
      <c r="V167" s="6"/>
      <c r="W167" s="6"/>
      <c r="X167" s="6"/>
      <c r="Y167" s="7"/>
      <c r="Z167" s="8"/>
      <c r="AA167" s="7"/>
      <c r="AB167" s="8"/>
      <c r="AC167" s="8"/>
      <c r="AD167" s="8"/>
      <c r="AE167" s="8"/>
    </row>
    <row r="168" spans="1:31" x14ac:dyDescent="0.3">
      <c r="A168" s="6"/>
      <c r="B168" s="6"/>
      <c r="C168" s="6"/>
      <c r="D168" s="7"/>
      <c r="E168" s="8"/>
      <c r="F168" s="7"/>
      <c r="G168" s="8"/>
      <c r="H168" s="6"/>
      <c r="I168" s="6"/>
      <c r="J168" s="6"/>
      <c r="K168" s="7"/>
      <c r="L168" s="8"/>
      <c r="M168" s="7"/>
      <c r="N168" s="8"/>
      <c r="O168" s="6"/>
      <c r="P168" s="6"/>
      <c r="Q168" s="6"/>
      <c r="R168" s="7"/>
      <c r="S168" s="8"/>
      <c r="T168" s="7"/>
      <c r="U168" s="8"/>
      <c r="V168" s="6"/>
      <c r="W168" s="6"/>
      <c r="X168" s="6"/>
      <c r="Y168" s="7"/>
      <c r="Z168" s="8"/>
      <c r="AA168" s="7"/>
      <c r="AB168" s="8"/>
      <c r="AC168" s="8"/>
      <c r="AD168" s="8"/>
      <c r="AE168" s="8"/>
    </row>
    <row r="169" spans="1:31" x14ac:dyDescent="0.3">
      <c r="A169" s="6"/>
      <c r="B169" s="6"/>
      <c r="C169" s="6"/>
      <c r="D169" s="7"/>
      <c r="E169" s="8"/>
      <c r="F169" s="7"/>
      <c r="G169" s="8"/>
      <c r="H169" s="6"/>
      <c r="I169" s="6"/>
      <c r="J169" s="6"/>
      <c r="K169" s="7"/>
      <c r="L169" s="8"/>
      <c r="M169" s="7"/>
      <c r="N169" s="8"/>
      <c r="O169" s="6"/>
      <c r="P169" s="6"/>
      <c r="Q169" s="6"/>
      <c r="R169" s="7"/>
      <c r="S169" s="8"/>
      <c r="T169" s="7"/>
      <c r="U169" s="8"/>
      <c r="V169" s="6"/>
      <c r="W169" s="6"/>
      <c r="X169" s="6"/>
      <c r="Y169" s="7"/>
      <c r="Z169" s="8"/>
      <c r="AA169" s="7"/>
      <c r="AB169" s="8"/>
      <c r="AC169" s="8"/>
      <c r="AD169" s="8"/>
      <c r="AE169" s="8"/>
    </row>
    <row r="170" spans="1:31" x14ac:dyDescent="0.3">
      <c r="A170" s="6"/>
      <c r="B170" s="6"/>
      <c r="C170" s="6"/>
      <c r="D170" s="7"/>
      <c r="E170" s="8"/>
      <c r="F170" s="7"/>
      <c r="G170" s="8"/>
      <c r="H170" s="6"/>
      <c r="I170" s="6"/>
      <c r="J170" s="6"/>
      <c r="K170" s="7"/>
      <c r="L170" s="8"/>
      <c r="M170" s="7"/>
      <c r="N170" s="8"/>
      <c r="O170" s="6"/>
      <c r="P170" s="6"/>
      <c r="Q170" s="6"/>
      <c r="R170" s="7"/>
      <c r="S170" s="8"/>
      <c r="T170" s="7"/>
      <c r="U170" s="8"/>
      <c r="V170" s="6"/>
      <c r="W170" s="6"/>
      <c r="X170" s="6"/>
      <c r="Y170" s="7"/>
      <c r="Z170" s="8"/>
      <c r="AA170" s="7"/>
      <c r="AB170" s="8"/>
      <c r="AC170" s="8"/>
      <c r="AD170" s="8"/>
      <c r="AE170" s="8"/>
    </row>
    <row r="171" spans="1:31" x14ac:dyDescent="0.3">
      <c r="A171" s="6"/>
      <c r="B171" s="6"/>
      <c r="C171" s="6"/>
      <c r="D171" s="7"/>
      <c r="E171" s="8"/>
      <c r="F171" s="7"/>
      <c r="G171" s="8"/>
      <c r="H171" s="6"/>
      <c r="I171" s="6"/>
      <c r="J171" s="6"/>
      <c r="K171" s="7"/>
      <c r="L171" s="8"/>
      <c r="M171" s="7"/>
      <c r="N171" s="8"/>
      <c r="O171" s="6"/>
      <c r="P171" s="6"/>
      <c r="Q171" s="6"/>
      <c r="R171" s="7"/>
      <c r="S171" s="8"/>
      <c r="T171" s="7"/>
      <c r="U171" s="8"/>
      <c r="V171" s="6"/>
      <c r="W171" s="6"/>
      <c r="X171" s="6"/>
      <c r="Y171" s="7"/>
      <c r="Z171" s="8"/>
      <c r="AA171" s="7"/>
      <c r="AB171" s="8"/>
      <c r="AC171" s="8"/>
      <c r="AD171" s="8"/>
      <c r="AE171" s="8"/>
    </row>
    <row r="172" spans="1:31" x14ac:dyDescent="0.3">
      <c r="A172" s="6"/>
      <c r="B172" s="6"/>
      <c r="C172" s="6"/>
      <c r="D172" s="7"/>
      <c r="E172" s="8"/>
      <c r="F172" s="7"/>
      <c r="G172" s="8"/>
      <c r="H172" s="6"/>
      <c r="I172" s="6"/>
      <c r="J172" s="6"/>
      <c r="K172" s="7"/>
      <c r="L172" s="8"/>
      <c r="M172" s="7"/>
      <c r="N172" s="8"/>
      <c r="O172" s="6"/>
      <c r="P172" s="6"/>
      <c r="Q172" s="6"/>
      <c r="R172" s="7"/>
      <c r="S172" s="8"/>
      <c r="T172" s="7"/>
      <c r="U172" s="8"/>
      <c r="V172" s="6"/>
      <c r="W172" s="6"/>
      <c r="X172" s="6"/>
      <c r="Y172" s="7"/>
      <c r="Z172" s="8"/>
      <c r="AA172" s="7"/>
      <c r="AB172" s="8"/>
      <c r="AC172" s="8"/>
      <c r="AD172" s="8"/>
      <c r="AE172" s="8"/>
    </row>
    <row r="173" spans="1:31" x14ac:dyDescent="0.3">
      <c r="A173" s="6"/>
      <c r="B173" s="6"/>
      <c r="C173" s="6"/>
      <c r="D173" s="7"/>
      <c r="E173" s="8"/>
      <c r="F173" s="7"/>
      <c r="G173" s="8"/>
      <c r="H173" s="6"/>
      <c r="I173" s="6"/>
      <c r="J173" s="6"/>
      <c r="K173" s="7"/>
      <c r="L173" s="8"/>
      <c r="M173" s="7"/>
      <c r="N173" s="8"/>
      <c r="O173" s="6"/>
      <c r="P173" s="6"/>
      <c r="Q173" s="6"/>
      <c r="R173" s="7"/>
      <c r="S173" s="8"/>
      <c r="T173" s="7"/>
      <c r="U173" s="8"/>
      <c r="V173" s="6"/>
      <c r="W173" s="6"/>
      <c r="X173" s="6"/>
      <c r="Y173" s="7"/>
      <c r="Z173" s="8"/>
      <c r="AA173" s="7"/>
      <c r="AB173" s="8"/>
      <c r="AC173" s="8"/>
      <c r="AD173" s="8"/>
      <c r="AE173" s="8"/>
    </row>
    <row r="174" spans="1:31" x14ac:dyDescent="0.3">
      <c r="A174" s="6"/>
      <c r="B174" s="6"/>
      <c r="C174" s="6"/>
      <c r="D174" s="7"/>
      <c r="E174" s="8"/>
      <c r="F174" s="7"/>
      <c r="G174" s="8"/>
      <c r="H174" s="6"/>
      <c r="I174" s="6"/>
      <c r="J174" s="6"/>
      <c r="K174" s="7"/>
      <c r="L174" s="8"/>
      <c r="M174" s="7"/>
      <c r="N174" s="8"/>
      <c r="O174" s="6"/>
      <c r="P174" s="6"/>
      <c r="Q174" s="6"/>
      <c r="R174" s="7"/>
      <c r="S174" s="8"/>
      <c r="T174" s="7"/>
      <c r="U174" s="8"/>
      <c r="V174" s="6"/>
      <c r="W174" s="6"/>
      <c r="X174" s="6"/>
      <c r="Y174" s="7"/>
      <c r="Z174" s="8"/>
      <c r="AA174" s="7"/>
      <c r="AB174" s="8"/>
      <c r="AC174" s="8"/>
      <c r="AD174" s="8"/>
      <c r="AE174" s="8"/>
    </row>
    <row r="175" spans="1:31" x14ac:dyDescent="0.3">
      <c r="A175" s="6"/>
      <c r="B175" s="6"/>
      <c r="C175" s="6"/>
      <c r="D175" s="7"/>
      <c r="E175" s="8"/>
      <c r="F175" s="7"/>
      <c r="G175" s="8"/>
      <c r="H175" s="6"/>
      <c r="I175" s="6"/>
      <c r="J175" s="6"/>
      <c r="K175" s="7"/>
      <c r="L175" s="8"/>
      <c r="M175" s="7"/>
      <c r="N175" s="8"/>
      <c r="O175" s="6"/>
      <c r="P175" s="6"/>
      <c r="Q175" s="6"/>
      <c r="R175" s="7"/>
      <c r="S175" s="8"/>
      <c r="T175" s="7"/>
      <c r="U175" s="8"/>
      <c r="V175" s="6"/>
      <c r="W175" s="6"/>
      <c r="X175" s="6"/>
      <c r="Y175" s="7"/>
      <c r="Z175" s="8"/>
      <c r="AA175" s="7"/>
      <c r="AB175" s="8"/>
      <c r="AC175" s="8"/>
      <c r="AD175" s="8"/>
      <c r="AE175" s="8"/>
    </row>
    <row r="176" spans="1:31" x14ac:dyDescent="0.3">
      <c r="A176" s="6"/>
      <c r="B176" s="6"/>
      <c r="C176" s="6"/>
      <c r="D176" s="7"/>
      <c r="E176" s="8"/>
      <c r="F176" s="7"/>
      <c r="G176" s="8"/>
      <c r="H176" s="6"/>
      <c r="I176" s="6"/>
      <c r="J176" s="6"/>
      <c r="K176" s="7"/>
      <c r="L176" s="8"/>
      <c r="M176" s="7"/>
      <c r="N176" s="8"/>
      <c r="O176" s="6"/>
      <c r="P176" s="6"/>
      <c r="Q176" s="6"/>
      <c r="R176" s="7"/>
      <c r="S176" s="8"/>
      <c r="T176" s="7"/>
      <c r="U176" s="8"/>
      <c r="V176" s="6"/>
      <c r="W176" s="6"/>
      <c r="X176" s="6"/>
      <c r="Y176" s="7"/>
      <c r="Z176" s="8"/>
      <c r="AA176" s="7"/>
      <c r="AB176" s="8"/>
      <c r="AC176" s="8"/>
      <c r="AD176" s="8"/>
      <c r="AE176" s="8"/>
    </row>
    <row r="177" spans="1:31" x14ac:dyDescent="0.3">
      <c r="A177" s="6"/>
      <c r="B177" s="6"/>
      <c r="C177" s="6"/>
      <c r="D177" s="7"/>
      <c r="E177" s="8"/>
      <c r="F177" s="7"/>
      <c r="G177" s="8"/>
      <c r="H177" s="6"/>
      <c r="I177" s="6"/>
      <c r="J177" s="6"/>
      <c r="K177" s="7"/>
      <c r="L177" s="8"/>
      <c r="M177" s="7"/>
      <c r="N177" s="8"/>
      <c r="O177" s="6"/>
      <c r="P177" s="6"/>
      <c r="Q177" s="6"/>
      <c r="R177" s="7"/>
      <c r="S177" s="8"/>
      <c r="T177" s="7"/>
      <c r="U177" s="8"/>
      <c r="V177" s="6"/>
      <c r="W177" s="6"/>
      <c r="X177" s="6"/>
      <c r="Y177" s="7"/>
      <c r="Z177" s="8"/>
      <c r="AA177" s="7"/>
      <c r="AB177" s="8"/>
      <c r="AC177" s="8"/>
      <c r="AD177" s="8"/>
      <c r="AE177" s="8"/>
    </row>
    <row r="178" spans="1:31" x14ac:dyDescent="0.3">
      <c r="AE178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4AA8-8A31-4F25-8431-BAB7EB29F3BC}">
  <sheetPr>
    <tabColor rgb="FFFFFF00"/>
  </sheetPr>
  <dimension ref="A1:AG26"/>
  <sheetViews>
    <sheetView workbookViewId="0">
      <selection activeCell="B18" sqref="B17:B18"/>
    </sheetView>
  </sheetViews>
  <sheetFormatPr defaultRowHeight="14.4" x14ac:dyDescent="0.3"/>
  <cols>
    <col min="1" max="1" width="7.21875" bestFit="1" customWidth="1"/>
    <col min="2" max="3" width="80.88671875" bestFit="1" customWidth="1"/>
    <col min="4" max="4" width="9" bestFit="1" customWidth="1"/>
    <col min="5" max="5" width="15.6640625" bestFit="1" customWidth="1"/>
    <col min="6" max="6" width="27.21875" bestFit="1" customWidth="1"/>
    <col min="7" max="7" width="23.44140625" bestFit="1" customWidth="1"/>
    <col min="8" max="8" width="21.109375" bestFit="1" customWidth="1"/>
    <col min="9" max="9" width="24.109375" bestFit="1" customWidth="1"/>
    <col min="10" max="10" width="24.21875" bestFit="1" customWidth="1"/>
    <col min="11" max="11" width="21.88671875" bestFit="1" customWidth="1"/>
    <col min="12" max="12" width="22" bestFit="1" customWidth="1"/>
    <col min="13" max="13" width="27.21875" bestFit="1" customWidth="1"/>
    <col min="14" max="14" width="23.44140625" bestFit="1" customWidth="1"/>
    <col min="15" max="15" width="21.109375" bestFit="1" customWidth="1"/>
    <col min="16" max="16" width="24.109375" bestFit="1" customWidth="1"/>
    <col min="17" max="17" width="24.21875" bestFit="1" customWidth="1"/>
    <col min="18" max="18" width="21.88671875" bestFit="1" customWidth="1"/>
    <col min="19" max="19" width="22" bestFit="1" customWidth="1"/>
    <col min="20" max="20" width="23.88671875" bestFit="1" customWidth="1"/>
    <col min="21" max="21" width="20.109375" bestFit="1" customWidth="1"/>
    <col min="22" max="22" width="17.88671875" bestFit="1" customWidth="1"/>
    <col min="23" max="23" width="20.77734375" bestFit="1" customWidth="1"/>
    <col min="24" max="24" width="20.88671875" bestFit="1" customWidth="1"/>
    <col min="25" max="25" width="18.5546875" bestFit="1" customWidth="1"/>
    <col min="26" max="26" width="18.6640625" bestFit="1" customWidth="1"/>
    <col min="27" max="27" width="23.88671875" bestFit="1" customWidth="1"/>
    <col min="28" max="28" width="20.109375" bestFit="1" customWidth="1"/>
    <col min="29" max="29" width="17.88671875" bestFit="1" customWidth="1"/>
    <col min="30" max="30" width="20.77734375" bestFit="1" customWidth="1"/>
    <col min="31" max="31" width="20.88671875" bestFit="1" customWidth="1"/>
    <col min="32" max="32" width="18.5546875" bestFit="1" customWidth="1"/>
    <col min="33" max="33" width="18.6640625" bestFit="1" customWidth="1"/>
    <col min="34" max="34" width="16.44140625" bestFit="1" customWidth="1"/>
    <col min="35" max="35" width="16.33203125" bestFit="1" customWidth="1"/>
    <col min="36" max="37" width="16.44140625" customWidth="1"/>
    <col min="38" max="39" width="15.33203125" bestFit="1" customWidth="1"/>
    <col min="40" max="40" width="12.109375" bestFit="1" customWidth="1"/>
    <col min="41" max="41" width="11.6640625" bestFit="1" customWidth="1"/>
    <col min="42" max="42" width="9.21875" bestFit="1" customWidth="1"/>
    <col min="43" max="43" width="5" bestFit="1" customWidth="1"/>
    <col min="44" max="44" width="8.6640625" bestFit="1" customWidth="1"/>
    <col min="45" max="45" width="25" bestFit="1" customWidth="1"/>
    <col min="46" max="46" width="21.21875" bestFit="1" customWidth="1"/>
    <col min="47" max="47" width="18.88671875" bestFit="1" customWidth="1"/>
    <col min="48" max="48" width="21.88671875" bestFit="1" customWidth="1"/>
    <col min="49" max="49" width="22" bestFit="1" customWidth="1"/>
    <col min="50" max="50" width="19.6640625" bestFit="1" customWidth="1"/>
    <col min="51" max="51" width="19.77734375" bestFit="1" customWidth="1"/>
    <col min="52" max="52" width="25" bestFit="1" customWidth="1"/>
    <col min="53" max="53" width="21.21875" bestFit="1" customWidth="1"/>
    <col min="54" max="54" width="18.88671875" bestFit="1" customWidth="1"/>
    <col min="55" max="55" width="21.88671875" bestFit="1" customWidth="1"/>
    <col min="56" max="56" width="22" bestFit="1" customWidth="1"/>
    <col min="57" max="57" width="19.6640625" bestFit="1" customWidth="1"/>
    <col min="58" max="58" width="19.77734375" bestFit="1" customWidth="1"/>
    <col min="59" max="59" width="21.6640625" bestFit="1" customWidth="1"/>
    <col min="60" max="60" width="17.88671875" bestFit="1" customWidth="1"/>
    <col min="61" max="61" width="15.6640625" bestFit="1" customWidth="1"/>
    <col min="62" max="62" width="18.5546875" bestFit="1" customWidth="1"/>
    <col min="63" max="63" width="18.6640625" bestFit="1" customWidth="1"/>
    <col min="64" max="64" width="16.33203125" bestFit="1" customWidth="1"/>
    <col min="65" max="65" width="16.44140625" bestFit="1" customWidth="1"/>
    <col min="66" max="66" width="21.6640625" bestFit="1" customWidth="1"/>
    <col min="67" max="67" width="17.88671875" bestFit="1" customWidth="1"/>
    <col min="68" max="68" width="15.6640625" bestFit="1" customWidth="1"/>
    <col min="69" max="69" width="18.5546875" bestFit="1" customWidth="1"/>
    <col min="70" max="70" width="18.6640625" bestFit="1" customWidth="1"/>
    <col min="71" max="71" width="16.33203125" bestFit="1" customWidth="1"/>
    <col min="72" max="72" width="16.44140625" customWidth="1"/>
    <col min="73" max="73" width="10.6640625" bestFit="1" customWidth="1"/>
    <col min="74" max="74" width="17.44140625" bestFit="1" customWidth="1"/>
    <col min="75" max="78" width="10.6640625" bestFit="1" customWidth="1"/>
    <col min="79" max="79" width="12" bestFit="1" customWidth="1"/>
    <col min="80" max="80" width="11.5546875" bestFit="1" customWidth="1"/>
    <col min="81" max="81" width="12" bestFit="1" customWidth="1"/>
    <col min="82" max="83" width="11.6640625" bestFit="1" customWidth="1"/>
    <col min="84" max="84" width="19.21875" bestFit="1" customWidth="1"/>
    <col min="85" max="85" width="14" bestFit="1" customWidth="1"/>
    <col min="86" max="87" width="11.6640625" bestFit="1" customWidth="1"/>
    <col min="88" max="89" width="12" bestFit="1" customWidth="1"/>
    <col min="90" max="90" width="19.109375" bestFit="1" customWidth="1"/>
    <col min="91" max="92" width="11.6640625" bestFit="1" customWidth="1"/>
    <col min="93" max="93" width="12" bestFit="1" customWidth="1"/>
    <col min="94" max="95" width="11.6640625" bestFit="1" customWidth="1"/>
    <col min="96" max="96" width="12" bestFit="1" customWidth="1"/>
    <col min="97" max="98" width="11.6640625" bestFit="1" customWidth="1"/>
    <col min="99" max="99" width="11.88671875" bestFit="1" customWidth="1"/>
    <col min="100" max="100" width="34.33203125" bestFit="1" customWidth="1"/>
    <col min="101" max="101" width="11.6640625" bestFit="1" customWidth="1"/>
    <col min="102" max="103" width="12" bestFit="1" customWidth="1"/>
    <col min="104" max="105" width="11.6640625" bestFit="1" customWidth="1"/>
  </cols>
  <sheetData>
    <row r="1" spans="1:33" x14ac:dyDescent="0.3">
      <c r="A1" s="6" t="s">
        <v>147</v>
      </c>
      <c r="B1" s="6" t="s">
        <v>1278</v>
      </c>
      <c r="C1" s="6" t="s">
        <v>1224</v>
      </c>
      <c r="D1" s="6" t="s">
        <v>1215</v>
      </c>
      <c r="E1" s="6" t="s">
        <v>1223</v>
      </c>
      <c r="F1" s="6" t="s">
        <v>105</v>
      </c>
      <c r="G1" s="6" t="s">
        <v>106</v>
      </c>
      <c r="H1" s="6" t="s">
        <v>107</v>
      </c>
      <c r="I1" s="6" t="s">
        <v>108</v>
      </c>
      <c r="J1" s="6" t="s">
        <v>109</v>
      </c>
      <c r="K1" s="6" t="s">
        <v>110</v>
      </c>
      <c r="L1" s="6" t="s">
        <v>111</v>
      </c>
      <c r="M1" s="6" t="s">
        <v>112</v>
      </c>
      <c r="N1" s="6" t="s">
        <v>113</v>
      </c>
      <c r="O1" s="6" t="s">
        <v>114</v>
      </c>
      <c r="P1" s="6" t="s">
        <v>115</v>
      </c>
      <c r="Q1" s="6" t="s">
        <v>116</v>
      </c>
      <c r="R1" s="6" t="s">
        <v>117</v>
      </c>
      <c r="S1" s="6" t="s">
        <v>118</v>
      </c>
      <c r="T1" s="6" t="s">
        <v>119</v>
      </c>
      <c r="U1" s="6" t="s">
        <v>120</v>
      </c>
      <c r="V1" s="6" t="s">
        <v>121</v>
      </c>
      <c r="W1" s="6" t="s">
        <v>122</v>
      </c>
      <c r="X1" s="6" t="s">
        <v>123</v>
      </c>
      <c r="Y1" s="6" t="s">
        <v>124</v>
      </c>
      <c r="Z1" s="6" t="s">
        <v>125</v>
      </c>
      <c r="AA1" s="6" t="s">
        <v>126</v>
      </c>
      <c r="AB1" s="6" t="s">
        <v>127</v>
      </c>
      <c r="AC1" s="6" t="s">
        <v>128</v>
      </c>
      <c r="AD1" s="6" t="s">
        <v>129</v>
      </c>
      <c r="AE1" s="6" t="s">
        <v>130</v>
      </c>
      <c r="AF1" s="6" t="s">
        <v>131</v>
      </c>
      <c r="AG1" s="6" t="s">
        <v>132</v>
      </c>
    </row>
    <row r="2" spans="1:33" x14ac:dyDescent="0.3">
      <c r="A2" s="6">
        <v>1</v>
      </c>
      <c r="B2" s="12" t="str">
        <f>_xlfn.XLOOKUP(actual_flights_B2B[[#This Row],[UniqueID]],flights[unique_id],flights[unique_id])</f>
        <v>SV020New YorkJeddah5/17/202611:00 AM5/18/20265:40 AMSV1424JeddahMadina5/18/20268:20 AM5/18/20269:25 AMSV021JeddahNew York5/31/20263:05 AM5/31/20269:00 AM</v>
      </c>
      <c r="C2" s="6" t="s">
        <v>148</v>
      </c>
      <c r="D2" s="6" t="s">
        <v>1190</v>
      </c>
      <c r="E2" s="6">
        <v>99</v>
      </c>
      <c r="F2" s="6" t="s">
        <v>57</v>
      </c>
      <c r="G2" s="6" t="s">
        <v>1279</v>
      </c>
      <c r="H2" s="6" t="s">
        <v>1280</v>
      </c>
      <c r="I2" s="6" t="s">
        <v>1225</v>
      </c>
      <c r="J2" s="6" t="s">
        <v>1216</v>
      </c>
      <c r="K2" s="6" t="s">
        <v>1226</v>
      </c>
      <c r="L2" s="6" t="s">
        <v>1227</v>
      </c>
      <c r="M2" s="6" t="s">
        <v>133</v>
      </c>
      <c r="N2" s="6" t="s">
        <v>1280</v>
      </c>
      <c r="O2" s="6" t="s">
        <v>1281</v>
      </c>
      <c r="P2" s="6" t="s">
        <v>1226</v>
      </c>
      <c r="Q2" s="6" t="s">
        <v>1228</v>
      </c>
      <c r="R2" s="6" t="s">
        <v>1226</v>
      </c>
      <c r="S2" s="6" t="s">
        <v>1229</v>
      </c>
      <c r="T2" s="6"/>
      <c r="U2" s="6"/>
      <c r="V2" s="6"/>
      <c r="W2" s="6"/>
      <c r="X2" s="6"/>
      <c r="Y2" s="6"/>
      <c r="Z2" s="6"/>
      <c r="AA2" s="6" t="s">
        <v>60</v>
      </c>
      <c r="AB2" s="6" t="s">
        <v>1280</v>
      </c>
      <c r="AC2" s="6" t="s">
        <v>1279</v>
      </c>
      <c r="AD2" s="6" t="s">
        <v>1230</v>
      </c>
      <c r="AE2" s="6" t="s">
        <v>1231</v>
      </c>
      <c r="AF2" s="6" t="s">
        <v>1230</v>
      </c>
      <c r="AG2" s="6" t="s">
        <v>1232</v>
      </c>
    </row>
    <row r="3" spans="1:33" x14ac:dyDescent="0.3">
      <c r="A3" s="6">
        <v>6</v>
      </c>
      <c r="B3" s="12" t="str">
        <f>_xlfn.XLOOKUP(actual_flights_B2B[[#This Row],[UniqueID]],flights[unique_id],flights[unique_id])</f>
        <v>SV020New YorkJeddah5/20/202611:00 AM5/21/20265:40 AMSV1431MadinaJeddah6/2/202610:20 PM6/2/202611:30 PMSV021JeddahNew York6/3/20263:05 AM6/3/20269:00 AM</v>
      </c>
      <c r="C3" s="6" t="s">
        <v>164</v>
      </c>
      <c r="D3" s="6" t="s">
        <v>1191</v>
      </c>
      <c r="E3" s="6">
        <v>51</v>
      </c>
      <c r="F3" s="6" t="s">
        <v>57</v>
      </c>
      <c r="G3" s="6" t="s">
        <v>1279</v>
      </c>
      <c r="H3" s="6" t="s">
        <v>1280</v>
      </c>
      <c r="I3" s="6" t="s">
        <v>1233</v>
      </c>
      <c r="J3" s="6" t="s">
        <v>1216</v>
      </c>
      <c r="K3" s="6" t="s">
        <v>1234</v>
      </c>
      <c r="L3" s="6" t="s">
        <v>1227</v>
      </c>
      <c r="M3" s="6"/>
      <c r="N3" s="6"/>
      <c r="O3" s="6"/>
      <c r="P3" s="6"/>
      <c r="Q3" s="6"/>
      <c r="R3" s="6"/>
      <c r="S3" s="6"/>
      <c r="T3" s="6" t="s">
        <v>76</v>
      </c>
      <c r="U3" s="6" t="s">
        <v>1281</v>
      </c>
      <c r="V3" s="6" t="s">
        <v>1280</v>
      </c>
      <c r="W3" s="6" t="s">
        <v>1235</v>
      </c>
      <c r="X3" s="6" t="s">
        <v>1217</v>
      </c>
      <c r="Y3" s="6" t="s">
        <v>1235</v>
      </c>
      <c r="Z3" s="6" t="s">
        <v>1218</v>
      </c>
      <c r="AA3" s="6" t="s">
        <v>60</v>
      </c>
      <c r="AB3" s="6" t="s">
        <v>1280</v>
      </c>
      <c r="AC3" s="6" t="s">
        <v>1279</v>
      </c>
      <c r="AD3" s="6" t="s">
        <v>1236</v>
      </c>
      <c r="AE3" s="6" t="s">
        <v>1231</v>
      </c>
      <c r="AF3" s="6" t="s">
        <v>1236</v>
      </c>
      <c r="AG3" s="6" t="s">
        <v>1232</v>
      </c>
    </row>
    <row r="4" spans="1:33" x14ac:dyDescent="0.3">
      <c r="A4" s="6">
        <v>8</v>
      </c>
      <c r="B4" s="12" t="str">
        <f>_xlfn.XLOOKUP(actual_flights_B2B[[#This Row],[UniqueID]],flights[unique_id],flights[unique_id])</f>
        <v>SV020New YorkJeddah5/20/202611:00 AM5/21/20265:40 AMSV1431MadinaJeddah6/2/202610:20 PM6/2/202611:30 PMSV021JeddahNew York6/3/20263:05 AM6/3/20269:00 AM</v>
      </c>
      <c r="C4" s="6" t="s">
        <v>164</v>
      </c>
      <c r="D4" s="6" t="s">
        <v>1192</v>
      </c>
      <c r="E4" s="6">
        <v>81</v>
      </c>
      <c r="F4" s="6" t="s">
        <v>57</v>
      </c>
      <c r="G4" s="6" t="s">
        <v>1279</v>
      </c>
      <c r="H4" s="6" t="s">
        <v>1280</v>
      </c>
      <c r="I4" s="6" t="s">
        <v>1233</v>
      </c>
      <c r="J4" s="6" t="s">
        <v>1216</v>
      </c>
      <c r="K4" s="6" t="s">
        <v>1234</v>
      </c>
      <c r="L4" s="6" t="s">
        <v>1227</v>
      </c>
      <c r="M4" s="6"/>
      <c r="N4" s="6"/>
      <c r="O4" s="6"/>
      <c r="P4" s="6"/>
      <c r="Q4" s="6"/>
      <c r="R4" s="6"/>
      <c r="S4" s="6"/>
      <c r="T4" s="6" t="s">
        <v>76</v>
      </c>
      <c r="U4" s="6" t="s">
        <v>1281</v>
      </c>
      <c r="V4" s="6" t="s">
        <v>1280</v>
      </c>
      <c r="W4" s="6" t="s">
        <v>1235</v>
      </c>
      <c r="X4" s="6" t="s">
        <v>1217</v>
      </c>
      <c r="Y4" s="6" t="s">
        <v>1235</v>
      </c>
      <c r="Z4" s="6" t="s">
        <v>1218</v>
      </c>
      <c r="AA4" s="6" t="s">
        <v>60</v>
      </c>
      <c r="AB4" s="6" t="s">
        <v>1280</v>
      </c>
      <c r="AC4" s="6" t="s">
        <v>1279</v>
      </c>
      <c r="AD4" s="6" t="s">
        <v>1236</v>
      </c>
      <c r="AE4" s="6" t="s">
        <v>1231</v>
      </c>
      <c r="AF4" s="6" t="s">
        <v>1236</v>
      </c>
      <c r="AG4" s="6" t="s">
        <v>1232</v>
      </c>
    </row>
    <row r="5" spans="1:33" x14ac:dyDescent="0.3">
      <c r="A5" s="6">
        <v>9</v>
      </c>
      <c r="B5" s="12" t="str">
        <f>_xlfn.XLOOKUP(actual_flights_B2B[[#This Row],[UniqueID]],flights[unique_id],flights[unique_id])</f>
        <v>SV036WashingtonJeddah5/17/20266:50 PM5/18/20261:55 PMSV1428JeddahMadina5/18/20264:40 PM5/18/20265:45 PMSV035JeddahWashington5/30/20268:25 AM5/30/20263:45 PM</v>
      </c>
      <c r="C5" s="6" t="s">
        <v>157</v>
      </c>
      <c r="D5" s="6" t="s">
        <v>1193</v>
      </c>
      <c r="E5" s="6">
        <v>50</v>
      </c>
      <c r="F5" s="6" t="s">
        <v>61</v>
      </c>
      <c r="G5" s="6" t="s">
        <v>1282</v>
      </c>
      <c r="H5" s="6" t="s">
        <v>1280</v>
      </c>
      <c r="I5" s="6" t="s">
        <v>1225</v>
      </c>
      <c r="J5" s="6" t="s">
        <v>1237</v>
      </c>
      <c r="K5" s="6" t="s">
        <v>1226</v>
      </c>
      <c r="L5" s="6" t="s">
        <v>1238</v>
      </c>
      <c r="M5" s="6" t="s">
        <v>134</v>
      </c>
      <c r="N5" s="6" t="s">
        <v>1280</v>
      </c>
      <c r="O5" s="6" t="s">
        <v>1281</v>
      </c>
      <c r="P5" s="6" t="s">
        <v>1226</v>
      </c>
      <c r="Q5" s="6" t="s">
        <v>1239</v>
      </c>
      <c r="R5" s="6" t="s">
        <v>1226</v>
      </c>
      <c r="S5" s="6" t="s">
        <v>1240</v>
      </c>
      <c r="T5" s="6"/>
      <c r="U5" s="6"/>
      <c r="V5" s="6"/>
      <c r="W5" s="6"/>
      <c r="X5" s="6"/>
      <c r="Y5" s="6"/>
      <c r="Z5" s="6"/>
      <c r="AA5" s="6" t="s">
        <v>63</v>
      </c>
      <c r="AB5" s="6" t="s">
        <v>1280</v>
      </c>
      <c r="AC5" s="6" t="s">
        <v>1282</v>
      </c>
      <c r="AD5" s="6" t="s">
        <v>1241</v>
      </c>
      <c r="AE5" s="6" t="s">
        <v>1273</v>
      </c>
      <c r="AF5" s="6" t="s">
        <v>1241</v>
      </c>
      <c r="AG5" s="6" t="s">
        <v>1242</v>
      </c>
    </row>
    <row r="6" spans="1:33" x14ac:dyDescent="0.3">
      <c r="A6" s="6">
        <v>10</v>
      </c>
      <c r="B6" s="12" t="str">
        <f>_xlfn.XLOOKUP(actual_flights_B2B[[#This Row],[UniqueID]],flights[unique_id],flights[unique_id])</f>
        <v>SV038WashingtonRiyadh5/18/20266:50 PM5/19/20262:30 PMSV1465RiyadhMadina5/19/20267:30 PM5/19/20269:05 PMSV035JeddahWashington5/31/20269:25 AM5/31/20263:45 PM</v>
      </c>
      <c r="C6" s="6" t="s">
        <v>155</v>
      </c>
      <c r="D6" s="6" t="s">
        <v>1194</v>
      </c>
      <c r="E6" s="6">
        <v>50</v>
      </c>
      <c r="F6" s="6" t="s">
        <v>64</v>
      </c>
      <c r="G6" s="6" t="s">
        <v>1282</v>
      </c>
      <c r="H6" s="6" t="s">
        <v>1283</v>
      </c>
      <c r="I6" s="6" t="s">
        <v>1226</v>
      </c>
      <c r="J6" s="6" t="s">
        <v>1237</v>
      </c>
      <c r="K6" s="6" t="s">
        <v>1243</v>
      </c>
      <c r="L6" s="6" t="s">
        <v>1244</v>
      </c>
      <c r="M6" s="6" t="s">
        <v>137</v>
      </c>
      <c r="N6" s="6" t="s">
        <v>1283</v>
      </c>
      <c r="O6" s="6" t="s">
        <v>1281</v>
      </c>
      <c r="P6" s="6" t="s">
        <v>1243</v>
      </c>
      <c r="Q6" s="6" t="s">
        <v>1245</v>
      </c>
      <c r="R6" s="6" t="s">
        <v>1243</v>
      </c>
      <c r="S6" s="6" t="s">
        <v>1246</v>
      </c>
      <c r="T6" s="6"/>
      <c r="U6" s="6"/>
      <c r="V6" s="6"/>
      <c r="W6" s="6"/>
      <c r="X6" s="6"/>
      <c r="Y6" s="6"/>
      <c r="Z6" s="6"/>
      <c r="AA6" s="6" t="s">
        <v>63</v>
      </c>
      <c r="AB6" s="6" t="s">
        <v>1280</v>
      </c>
      <c r="AC6" s="6" t="s">
        <v>1282</v>
      </c>
      <c r="AD6" s="6" t="s">
        <v>1230</v>
      </c>
      <c r="AE6" s="6" t="s">
        <v>1229</v>
      </c>
      <c r="AF6" s="6" t="s">
        <v>1230</v>
      </c>
      <c r="AG6" s="6" t="s">
        <v>1242</v>
      </c>
    </row>
    <row r="7" spans="1:33" x14ac:dyDescent="0.3">
      <c r="A7" s="6">
        <v>11</v>
      </c>
      <c r="B7" s="12" t="str">
        <f>_xlfn.XLOOKUP(actual_flights_B2B[[#This Row],[UniqueID]],flights[unique_id],flights[unique_id])</f>
        <v>SV038WashingtonRiyadh5/20/20266:50 PM5/21/20262:30 PMSV1471RiyadhMadina5/21/20264:55 PM5/21/20266:30 PMSV1016JeddahRiyadh6/1/20265:00 AM6/1/20266:50 AMSV037RiyadhWashington6/1/20268:50 AM6/1/20263:45 PM</v>
      </c>
      <c r="C7" s="6" t="s">
        <v>161</v>
      </c>
      <c r="D7" s="6" t="s">
        <v>1195</v>
      </c>
      <c r="E7" s="6">
        <v>99</v>
      </c>
      <c r="F7" s="6" t="s">
        <v>64</v>
      </c>
      <c r="G7" s="6" t="s">
        <v>1282</v>
      </c>
      <c r="H7" s="6" t="s">
        <v>1283</v>
      </c>
      <c r="I7" s="6" t="s">
        <v>1233</v>
      </c>
      <c r="J7" s="6" t="s">
        <v>1237</v>
      </c>
      <c r="K7" s="6" t="s">
        <v>1234</v>
      </c>
      <c r="L7" s="6" t="s">
        <v>1244</v>
      </c>
      <c r="M7" s="6" t="s">
        <v>138</v>
      </c>
      <c r="N7" s="6" t="s">
        <v>1283</v>
      </c>
      <c r="O7" s="6" t="s">
        <v>1281</v>
      </c>
      <c r="P7" s="6" t="s">
        <v>1234</v>
      </c>
      <c r="Q7" s="6" t="s">
        <v>1247</v>
      </c>
      <c r="R7" s="6" t="s">
        <v>1234</v>
      </c>
      <c r="S7" s="6" t="s">
        <v>1248</v>
      </c>
      <c r="T7" s="6" t="s">
        <v>75</v>
      </c>
      <c r="U7" s="6" t="s">
        <v>1280</v>
      </c>
      <c r="V7" s="6" t="s">
        <v>1283</v>
      </c>
      <c r="W7" s="6" t="s">
        <v>1249</v>
      </c>
      <c r="X7" s="6" t="s">
        <v>1250</v>
      </c>
      <c r="Y7" s="6" t="s">
        <v>1249</v>
      </c>
      <c r="Z7" s="6" t="s">
        <v>1251</v>
      </c>
      <c r="AA7" s="6" t="s">
        <v>139</v>
      </c>
      <c r="AB7" s="6" t="s">
        <v>1283</v>
      </c>
      <c r="AC7" s="6" t="s">
        <v>1282</v>
      </c>
      <c r="AD7" s="6" t="s">
        <v>1249</v>
      </c>
      <c r="AE7" s="6" t="s">
        <v>1252</v>
      </c>
      <c r="AF7" s="6" t="s">
        <v>1249</v>
      </c>
      <c r="AG7" s="6" t="s">
        <v>1242</v>
      </c>
    </row>
    <row r="8" spans="1:33" x14ac:dyDescent="0.3">
      <c r="A8" s="6">
        <v>12</v>
      </c>
      <c r="B8" s="13" t="e">
        <f>_xlfn.XLOOKUP(actual_flights_B2B[[#This Row],[UniqueID]],flights[unique_id],flights[unique_id])</f>
        <v>#N/A</v>
      </c>
      <c r="C8" s="6" t="s">
        <v>1274</v>
      </c>
      <c r="D8" s="6" t="s">
        <v>1196</v>
      </c>
      <c r="E8" s="6">
        <v>50</v>
      </c>
      <c r="F8" s="6" t="s">
        <v>61</v>
      </c>
      <c r="G8" s="6" t="s">
        <v>1282</v>
      </c>
      <c r="H8" s="6" t="s">
        <v>1280</v>
      </c>
      <c r="I8" s="6" t="s">
        <v>1234</v>
      </c>
      <c r="J8" s="6" t="s">
        <v>1237</v>
      </c>
      <c r="K8" s="6" t="s">
        <v>1253</v>
      </c>
      <c r="L8" s="6" t="s">
        <v>1238</v>
      </c>
      <c r="M8" s="6"/>
      <c r="N8" s="6"/>
      <c r="O8" s="6"/>
      <c r="P8" s="6"/>
      <c r="Q8" s="6"/>
      <c r="R8" s="6"/>
      <c r="S8" s="6"/>
      <c r="T8" s="6" t="s">
        <v>72</v>
      </c>
      <c r="U8" s="6" t="s">
        <v>1281</v>
      </c>
      <c r="V8" s="6" t="s">
        <v>1280</v>
      </c>
      <c r="W8" s="6" t="s">
        <v>1241</v>
      </c>
      <c r="X8" s="6" t="s">
        <v>1254</v>
      </c>
      <c r="Y8" s="6" t="s">
        <v>1241</v>
      </c>
      <c r="Z8" s="6" t="s">
        <v>1255</v>
      </c>
      <c r="AA8" s="6" t="s">
        <v>63</v>
      </c>
      <c r="AB8" s="6" t="s">
        <v>1280</v>
      </c>
      <c r="AC8" s="6" t="s">
        <v>1282</v>
      </c>
      <c r="AD8" s="6" t="s">
        <v>1241</v>
      </c>
      <c r="AE8" s="6" t="s">
        <v>1229</v>
      </c>
      <c r="AF8" s="6" t="s">
        <v>1241</v>
      </c>
      <c r="AG8" s="6" t="s">
        <v>1242</v>
      </c>
    </row>
    <row r="9" spans="1:33" x14ac:dyDescent="0.3">
      <c r="A9" s="6">
        <v>13</v>
      </c>
      <c r="B9" s="12" t="str">
        <f>_xlfn.XLOOKUP(actual_flights_B2B[[#This Row],[UniqueID]],flights[unique_id],flights[unique_id])</f>
        <v>SV036WashingtonJeddah5/17/20266:50 PM5/18/20261:55 PMSV035JeddahWashington5/30/20269:25 AM5/30/20263:45 PM</v>
      </c>
      <c r="C9" s="6" t="s">
        <v>156</v>
      </c>
      <c r="D9" s="6" t="s">
        <v>1197</v>
      </c>
      <c r="E9" s="6">
        <v>99</v>
      </c>
      <c r="F9" s="6" t="s">
        <v>61</v>
      </c>
      <c r="G9" s="6" t="s">
        <v>1282</v>
      </c>
      <c r="H9" s="6" t="s">
        <v>1280</v>
      </c>
      <c r="I9" s="6" t="s">
        <v>1225</v>
      </c>
      <c r="J9" s="6" t="s">
        <v>1237</v>
      </c>
      <c r="K9" s="6" t="s">
        <v>1226</v>
      </c>
      <c r="L9" s="6" t="s">
        <v>1238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63</v>
      </c>
      <c r="AB9" s="6" t="s">
        <v>1280</v>
      </c>
      <c r="AC9" s="6" t="s">
        <v>1282</v>
      </c>
      <c r="AD9" s="6" t="s">
        <v>1241</v>
      </c>
      <c r="AE9" s="6" t="s">
        <v>1229</v>
      </c>
      <c r="AF9" s="6" t="s">
        <v>1241</v>
      </c>
      <c r="AG9" s="6" t="s">
        <v>1242</v>
      </c>
    </row>
    <row r="10" spans="1:33" x14ac:dyDescent="0.3">
      <c r="A10" s="6">
        <v>14</v>
      </c>
      <c r="B10" s="12" t="str">
        <f>_xlfn.XLOOKUP(actual_flights_B2B[[#This Row],[UniqueID]],flights[unique_id],flights[unique_id])</f>
        <v>SV038WashingtonRiyadh5/18/20266:50 PM5/19/20262:30 PMSV1465RiyadhMadina5/19/20267:30 PM5/19/20269:05 PMSV035JeddahWashington5/31/20269:25 AM5/31/20263:45 PM</v>
      </c>
      <c r="C10" s="6" t="s">
        <v>155</v>
      </c>
      <c r="D10" s="6" t="s">
        <v>1198</v>
      </c>
      <c r="E10" s="6">
        <v>34</v>
      </c>
      <c r="F10" s="6" t="s">
        <v>64</v>
      </c>
      <c r="G10" s="6" t="s">
        <v>1282</v>
      </c>
      <c r="H10" s="6" t="s">
        <v>1283</v>
      </c>
      <c r="I10" s="6" t="s">
        <v>1226</v>
      </c>
      <c r="J10" s="6" t="s">
        <v>1237</v>
      </c>
      <c r="K10" s="6" t="s">
        <v>1243</v>
      </c>
      <c r="L10" s="6" t="s">
        <v>1244</v>
      </c>
      <c r="M10" s="6" t="s">
        <v>137</v>
      </c>
      <c r="N10" s="6" t="s">
        <v>1283</v>
      </c>
      <c r="O10" s="6" t="s">
        <v>1281</v>
      </c>
      <c r="P10" s="6" t="s">
        <v>1243</v>
      </c>
      <c r="Q10" s="6" t="s">
        <v>1245</v>
      </c>
      <c r="R10" s="6" t="s">
        <v>1243</v>
      </c>
      <c r="S10" s="6" t="s">
        <v>1246</v>
      </c>
      <c r="T10" s="6"/>
      <c r="U10" s="6"/>
      <c r="V10" s="6"/>
      <c r="W10" s="6"/>
      <c r="X10" s="6"/>
      <c r="Y10" s="6"/>
      <c r="Z10" s="6"/>
      <c r="AA10" s="6" t="s">
        <v>63</v>
      </c>
      <c r="AB10" s="6" t="s">
        <v>1280</v>
      </c>
      <c r="AC10" s="6" t="s">
        <v>1282</v>
      </c>
      <c r="AD10" s="6" t="s">
        <v>1230</v>
      </c>
      <c r="AE10" s="6" t="s">
        <v>1229</v>
      </c>
      <c r="AF10" s="6" t="s">
        <v>1230</v>
      </c>
      <c r="AG10" s="6" t="s">
        <v>1242</v>
      </c>
    </row>
    <row r="11" spans="1:33" x14ac:dyDescent="0.3">
      <c r="A11" s="6">
        <v>15</v>
      </c>
      <c r="B11" s="12" t="str">
        <f>_xlfn.XLOOKUP(actual_flights_B2B[[#This Row],[UniqueID]],flights[unique_id],flights[unique_id])</f>
        <v>SV036WashingtonJeddah5/17/20266:50 PM5/18/20261:55 PMSV035JeddahWashington5/30/20269:25 AM5/30/20263:45 PM</v>
      </c>
      <c r="C11" s="6" t="s">
        <v>156</v>
      </c>
      <c r="D11" s="6" t="s">
        <v>1199</v>
      </c>
      <c r="E11" s="6">
        <v>44</v>
      </c>
      <c r="F11" s="6" t="s">
        <v>61</v>
      </c>
      <c r="G11" s="6" t="s">
        <v>1282</v>
      </c>
      <c r="H11" s="6" t="s">
        <v>1280</v>
      </c>
      <c r="I11" s="6" t="s">
        <v>1225</v>
      </c>
      <c r="J11" s="6" t="s">
        <v>1237</v>
      </c>
      <c r="K11" s="6" t="s">
        <v>1226</v>
      </c>
      <c r="L11" s="6" t="s">
        <v>1238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 t="s">
        <v>63</v>
      </c>
      <c r="AB11" s="6" t="s">
        <v>1280</v>
      </c>
      <c r="AC11" s="6" t="s">
        <v>1282</v>
      </c>
      <c r="AD11" s="6" t="s">
        <v>1241</v>
      </c>
      <c r="AE11" s="6" t="s">
        <v>1229</v>
      </c>
      <c r="AF11" s="6" t="s">
        <v>1241</v>
      </c>
      <c r="AG11" s="6" t="s">
        <v>1242</v>
      </c>
    </row>
    <row r="12" spans="1:33" x14ac:dyDescent="0.3">
      <c r="A12" s="6">
        <v>19</v>
      </c>
      <c r="B12" s="14" t="e">
        <f>_xlfn.XLOOKUP(actual_flights_B2B[[#This Row],[UniqueID]],flights[unique_id],flights[unique_id])</f>
        <v>#N/A</v>
      </c>
      <c r="C12" s="6" t="s">
        <v>1287</v>
      </c>
      <c r="D12" s="6" t="s">
        <v>1200</v>
      </c>
      <c r="E12" s="6">
        <v>99</v>
      </c>
      <c r="F12" s="6" t="s">
        <v>69</v>
      </c>
      <c r="G12" s="6" t="s">
        <v>1284</v>
      </c>
      <c r="H12" s="6" t="s">
        <v>1280</v>
      </c>
      <c r="I12" s="6" t="s">
        <v>1234</v>
      </c>
      <c r="J12" s="6" t="s">
        <v>1256</v>
      </c>
      <c r="K12" s="6" t="s">
        <v>1253</v>
      </c>
      <c r="L12" s="6" t="s">
        <v>1217</v>
      </c>
      <c r="M12" s="6"/>
      <c r="N12" s="6"/>
      <c r="O12" s="6"/>
      <c r="P12" s="6"/>
      <c r="Q12" s="6"/>
      <c r="R12" s="6"/>
      <c r="S12" s="6"/>
      <c r="T12" s="6" t="s">
        <v>72</v>
      </c>
      <c r="U12" s="6" t="s">
        <v>1281</v>
      </c>
      <c r="V12" s="6" t="s">
        <v>1280</v>
      </c>
      <c r="W12" s="6" t="s">
        <v>1257</v>
      </c>
      <c r="X12" s="6" t="s">
        <v>1254</v>
      </c>
      <c r="Y12" s="6" t="s">
        <v>1257</v>
      </c>
      <c r="Z12" s="6" t="s">
        <v>1255</v>
      </c>
      <c r="AA12" s="6" t="s">
        <v>71</v>
      </c>
      <c r="AB12" s="6" t="s">
        <v>1280</v>
      </c>
      <c r="AC12" s="6" t="s">
        <v>1284</v>
      </c>
      <c r="AD12" s="6" t="s">
        <v>1257</v>
      </c>
      <c r="AE12" s="6" t="s">
        <v>1258</v>
      </c>
      <c r="AF12" s="6" t="s">
        <v>1257</v>
      </c>
      <c r="AG12" s="6" t="s">
        <v>1259</v>
      </c>
    </row>
    <row r="13" spans="1:33" x14ac:dyDescent="0.3">
      <c r="A13" s="6">
        <v>20</v>
      </c>
      <c r="B13" s="14" t="e">
        <f>_xlfn.XLOOKUP(actual_flights_B2B[[#This Row],[UniqueID]],flights[unique_id],flights[unique_id])</f>
        <v>#N/A</v>
      </c>
      <c r="C13" s="6" t="s">
        <v>1288</v>
      </c>
      <c r="D13" s="6" t="s">
        <v>1201</v>
      </c>
      <c r="E13" s="6">
        <v>51</v>
      </c>
      <c r="F13" s="6" t="s">
        <v>69</v>
      </c>
      <c r="G13" s="6" t="s">
        <v>1284</v>
      </c>
      <c r="H13" s="6" t="s">
        <v>1280</v>
      </c>
      <c r="I13" s="6" t="s">
        <v>1234</v>
      </c>
      <c r="J13" s="6" t="s">
        <v>1256</v>
      </c>
      <c r="K13" s="6" t="s">
        <v>1253</v>
      </c>
      <c r="L13" s="6" t="s">
        <v>1217</v>
      </c>
      <c r="M13" s="6"/>
      <c r="N13" s="6"/>
      <c r="O13" s="6"/>
      <c r="P13" s="6"/>
      <c r="Q13" s="6"/>
      <c r="R13" s="6"/>
      <c r="S13" s="6"/>
      <c r="T13" s="6" t="s">
        <v>73</v>
      </c>
      <c r="U13" s="6" t="s">
        <v>1281</v>
      </c>
      <c r="V13" s="6" t="s">
        <v>1280</v>
      </c>
      <c r="W13" s="6" t="s">
        <v>1257</v>
      </c>
      <c r="X13" s="6" t="s">
        <v>1260</v>
      </c>
      <c r="Y13" s="6" t="s">
        <v>1257</v>
      </c>
      <c r="Z13" s="6" t="s">
        <v>1261</v>
      </c>
      <c r="AA13" s="6" t="s">
        <v>71</v>
      </c>
      <c r="AB13" s="6" t="s">
        <v>1280</v>
      </c>
      <c r="AC13" s="6" t="s">
        <v>1284</v>
      </c>
      <c r="AD13" s="6" t="s">
        <v>1257</v>
      </c>
      <c r="AE13" s="6" t="s">
        <v>1258</v>
      </c>
      <c r="AF13" s="6" t="s">
        <v>1257</v>
      </c>
      <c r="AG13" s="6" t="s">
        <v>1259</v>
      </c>
    </row>
    <row r="14" spans="1:33" x14ac:dyDescent="0.3">
      <c r="A14" s="6">
        <v>21</v>
      </c>
      <c r="B14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4" s="6" t="s">
        <v>151</v>
      </c>
      <c r="D14" s="6" t="s">
        <v>1202</v>
      </c>
      <c r="E14" s="6">
        <v>50</v>
      </c>
      <c r="F14" s="6" t="s">
        <v>69</v>
      </c>
      <c r="G14" s="6" t="s">
        <v>1284</v>
      </c>
      <c r="H14" s="6" t="s">
        <v>1280</v>
      </c>
      <c r="I14" s="6" t="s">
        <v>1262</v>
      </c>
      <c r="J14" s="6" t="s">
        <v>1256</v>
      </c>
      <c r="K14" s="6" t="s">
        <v>1225</v>
      </c>
      <c r="L14" s="6" t="s">
        <v>1217</v>
      </c>
      <c r="M14" s="6" t="s">
        <v>136</v>
      </c>
      <c r="N14" s="6" t="s">
        <v>1280</v>
      </c>
      <c r="O14" s="6" t="s">
        <v>1281</v>
      </c>
      <c r="P14" s="6" t="s">
        <v>1226</v>
      </c>
      <c r="Q14" s="6" t="s">
        <v>1263</v>
      </c>
      <c r="R14" s="6" t="s">
        <v>1226</v>
      </c>
      <c r="S14" s="6" t="s">
        <v>1264</v>
      </c>
      <c r="T14" s="6"/>
      <c r="U14" s="6"/>
      <c r="V14" s="6"/>
      <c r="W14" s="6"/>
      <c r="X14" s="6"/>
      <c r="Y14" s="6"/>
      <c r="Z14" s="6"/>
      <c r="AA14" s="6" t="s">
        <v>71</v>
      </c>
      <c r="AB14" s="6" t="s">
        <v>1280</v>
      </c>
      <c r="AC14" s="6" t="s">
        <v>1284</v>
      </c>
      <c r="AD14" s="6" t="s">
        <v>1241</v>
      </c>
      <c r="AE14" s="6" t="s">
        <v>1258</v>
      </c>
      <c r="AF14" s="6" t="s">
        <v>1241</v>
      </c>
      <c r="AG14" s="6" t="s">
        <v>1259</v>
      </c>
    </row>
    <row r="15" spans="1:33" x14ac:dyDescent="0.3">
      <c r="A15" s="6">
        <v>22</v>
      </c>
      <c r="B15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5" s="6" t="s">
        <v>151</v>
      </c>
      <c r="D15" s="6" t="s">
        <v>1203</v>
      </c>
      <c r="E15" s="6">
        <v>50</v>
      </c>
      <c r="F15" s="6" t="s">
        <v>69</v>
      </c>
      <c r="G15" s="6" t="s">
        <v>1284</v>
      </c>
      <c r="H15" s="6" t="s">
        <v>1280</v>
      </c>
      <c r="I15" s="6" t="s">
        <v>1262</v>
      </c>
      <c r="J15" s="6" t="s">
        <v>1256</v>
      </c>
      <c r="K15" s="6" t="s">
        <v>1225</v>
      </c>
      <c r="L15" s="6" t="s">
        <v>1217</v>
      </c>
      <c r="M15" s="6" t="s">
        <v>136</v>
      </c>
      <c r="N15" s="6" t="s">
        <v>1280</v>
      </c>
      <c r="O15" s="6" t="s">
        <v>1281</v>
      </c>
      <c r="P15" s="6" t="s">
        <v>1226</v>
      </c>
      <c r="Q15" s="6" t="s">
        <v>1263</v>
      </c>
      <c r="R15" s="6" t="s">
        <v>1226</v>
      </c>
      <c r="S15" s="6" t="s">
        <v>1264</v>
      </c>
      <c r="T15" s="6"/>
      <c r="U15" s="6"/>
      <c r="V15" s="6"/>
      <c r="W15" s="6"/>
      <c r="X15" s="6"/>
      <c r="Y15" s="6"/>
      <c r="Z15" s="6"/>
      <c r="AA15" s="6" t="s">
        <v>71</v>
      </c>
      <c r="AB15" s="6" t="s">
        <v>1280</v>
      </c>
      <c r="AC15" s="6" t="s">
        <v>1284</v>
      </c>
      <c r="AD15" s="6" t="s">
        <v>1241</v>
      </c>
      <c r="AE15" s="6" t="s">
        <v>1258</v>
      </c>
      <c r="AF15" s="6" t="s">
        <v>1241</v>
      </c>
      <c r="AG15" s="6" t="s">
        <v>1259</v>
      </c>
    </row>
    <row r="16" spans="1:33" x14ac:dyDescent="0.3">
      <c r="A16" s="6">
        <v>23</v>
      </c>
      <c r="B16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6" s="6" t="s">
        <v>151</v>
      </c>
      <c r="D16" s="6" t="s">
        <v>1204</v>
      </c>
      <c r="E16" s="6">
        <v>50</v>
      </c>
      <c r="F16" s="6" t="s">
        <v>69</v>
      </c>
      <c r="G16" s="6" t="s">
        <v>1284</v>
      </c>
      <c r="H16" s="6" t="s">
        <v>1280</v>
      </c>
      <c r="I16" s="6" t="s">
        <v>1262</v>
      </c>
      <c r="J16" s="6" t="s">
        <v>1256</v>
      </c>
      <c r="K16" s="6" t="s">
        <v>1225</v>
      </c>
      <c r="L16" s="6" t="s">
        <v>1217</v>
      </c>
      <c r="M16" s="6" t="s">
        <v>136</v>
      </c>
      <c r="N16" s="6" t="s">
        <v>1280</v>
      </c>
      <c r="O16" s="6" t="s">
        <v>1281</v>
      </c>
      <c r="P16" s="6" t="s">
        <v>1226</v>
      </c>
      <c r="Q16" s="6" t="s">
        <v>1263</v>
      </c>
      <c r="R16" s="6" t="s">
        <v>1226</v>
      </c>
      <c r="S16" s="6" t="s">
        <v>1264</v>
      </c>
      <c r="T16" s="6"/>
      <c r="U16" s="6"/>
      <c r="V16" s="6"/>
      <c r="W16" s="6"/>
      <c r="X16" s="6"/>
      <c r="Y16" s="6"/>
      <c r="Z16" s="6"/>
      <c r="AA16" s="6" t="s">
        <v>71</v>
      </c>
      <c r="AB16" s="6" t="s">
        <v>1280</v>
      </c>
      <c r="AC16" s="6" t="s">
        <v>1284</v>
      </c>
      <c r="AD16" s="6" t="s">
        <v>1241</v>
      </c>
      <c r="AE16" s="6" t="s">
        <v>1258</v>
      </c>
      <c r="AF16" s="6" t="s">
        <v>1241</v>
      </c>
      <c r="AG16" s="6" t="s">
        <v>1259</v>
      </c>
    </row>
    <row r="17" spans="1:33" x14ac:dyDescent="0.3">
      <c r="A17" s="6">
        <v>24</v>
      </c>
      <c r="B17" s="13" t="e">
        <f>_xlfn.XLOOKUP(actual_flights_B2B[[#This Row],[UniqueID]],flights[unique_id],flights[unique_id])</f>
        <v>#N/A</v>
      </c>
      <c r="C17" s="6" t="s">
        <v>1272</v>
      </c>
      <c r="D17" s="6" t="s">
        <v>1205</v>
      </c>
      <c r="E17" s="6">
        <v>50</v>
      </c>
      <c r="F17" s="6" t="s">
        <v>1219</v>
      </c>
      <c r="G17" s="6" t="s">
        <v>1285</v>
      </c>
      <c r="H17" s="6" t="s">
        <v>1280</v>
      </c>
      <c r="I17" s="6" t="s">
        <v>1233</v>
      </c>
      <c r="J17" s="6" t="s">
        <v>1265</v>
      </c>
      <c r="K17" s="6" t="s">
        <v>1233</v>
      </c>
      <c r="L17" s="6" t="s">
        <v>1220</v>
      </c>
      <c r="M17" s="6" t="s">
        <v>136</v>
      </c>
      <c r="N17" s="6" t="s">
        <v>1280</v>
      </c>
      <c r="O17" s="6" t="s">
        <v>1281</v>
      </c>
      <c r="P17" s="6" t="s">
        <v>1234</v>
      </c>
      <c r="Q17" s="6" t="s">
        <v>1263</v>
      </c>
      <c r="R17" s="6" t="s">
        <v>1234</v>
      </c>
      <c r="S17" s="6" t="s">
        <v>1264</v>
      </c>
      <c r="T17" s="6"/>
      <c r="U17" s="6"/>
      <c r="V17" s="6"/>
      <c r="W17" s="6"/>
      <c r="X17" s="6"/>
      <c r="Y17" s="6"/>
      <c r="Z17" s="6"/>
      <c r="AA17" s="6" t="s">
        <v>1221</v>
      </c>
      <c r="AB17" s="6" t="s">
        <v>1280</v>
      </c>
      <c r="AC17" s="6" t="s">
        <v>1285</v>
      </c>
      <c r="AD17" s="6" t="s">
        <v>1241</v>
      </c>
      <c r="AE17" s="6" t="s">
        <v>1266</v>
      </c>
      <c r="AF17" s="6" t="s">
        <v>1241</v>
      </c>
      <c r="AG17" s="6" t="s">
        <v>1222</v>
      </c>
    </row>
    <row r="18" spans="1:33" x14ac:dyDescent="0.3">
      <c r="A18" s="6">
        <v>25</v>
      </c>
      <c r="B18" s="13" t="e">
        <f>_xlfn.XLOOKUP(actual_flights_B2B[[#This Row],[UniqueID]],flights[unique_id],flights[unique_id])</f>
        <v>#N/A</v>
      </c>
      <c r="C18" s="6" t="s">
        <v>1272</v>
      </c>
      <c r="D18" s="6" t="s">
        <v>1206</v>
      </c>
      <c r="E18" s="6">
        <v>50</v>
      </c>
      <c r="F18" s="6" t="s">
        <v>1219</v>
      </c>
      <c r="G18" s="6" t="s">
        <v>1285</v>
      </c>
      <c r="H18" s="6" t="s">
        <v>1280</v>
      </c>
      <c r="I18" s="6" t="s">
        <v>1233</v>
      </c>
      <c r="J18" s="6" t="s">
        <v>1265</v>
      </c>
      <c r="K18" s="6" t="s">
        <v>1233</v>
      </c>
      <c r="L18" s="6" t="s">
        <v>1220</v>
      </c>
      <c r="M18" s="6" t="s">
        <v>136</v>
      </c>
      <c r="N18" s="6" t="s">
        <v>1280</v>
      </c>
      <c r="O18" s="6" t="s">
        <v>1281</v>
      </c>
      <c r="P18" s="6" t="s">
        <v>1234</v>
      </c>
      <c r="Q18" s="6" t="s">
        <v>1263</v>
      </c>
      <c r="R18" s="6" t="s">
        <v>1234</v>
      </c>
      <c r="S18" s="6" t="s">
        <v>1264</v>
      </c>
      <c r="T18" s="6"/>
      <c r="U18" s="6"/>
      <c r="V18" s="6"/>
      <c r="W18" s="6"/>
      <c r="X18" s="6"/>
      <c r="Y18" s="6"/>
      <c r="Z18" s="6"/>
      <c r="AA18" s="6" t="s">
        <v>1221</v>
      </c>
      <c r="AB18" s="6" t="s">
        <v>1280</v>
      </c>
      <c r="AC18" s="6" t="s">
        <v>1285</v>
      </c>
      <c r="AD18" s="6" t="s">
        <v>1241</v>
      </c>
      <c r="AE18" s="6" t="s">
        <v>1266</v>
      </c>
      <c r="AF18" s="6" t="s">
        <v>1241</v>
      </c>
      <c r="AG18" s="6" t="s">
        <v>1222</v>
      </c>
    </row>
    <row r="19" spans="1:33" x14ac:dyDescent="0.3">
      <c r="A19" s="6">
        <v>28</v>
      </c>
      <c r="B19" s="12" t="str">
        <f>_xlfn.XLOOKUP(actual_flights_B2B[[#This Row],[UniqueID]],flights[unique_id],flights[unique_id])</f>
        <v>SV062TorontoJeddah5/17/20267:00 PM5/18/20261:55 PMSV1430JeddahMadina5/18/20268:20 PM5/18/20269:25 PMSV061JeddahToronto5/30/20269:15 AM5/30/20263:25 PM</v>
      </c>
      <c r="C19" s="6" t="s">
        <v>150</v>
      </c>
      <c r="D19" s="6" t="s">
        <v>1207</v>
      </c>
      <c r="E19" s="6">
        <v>50</v>
      </c>
      <c r="F19" s="6" t="s">
        <v>66</v>
      </c>
      <c r="G19" s="6" t="s">
        <v>1286</v>
      </c>
      <c r="H19" s="6" t="s">
        <v>1280</v>
      </c>
      <c r="I19" s="6" t="s">
        <v>1225</v>
      </c>
      <c r="J19" s="6" t="s">
        <v>1267</v>
      </c>
      <c r="K19" s="6" t="s">
        <v>1226</v>
      </c>
      <c r="L19" s="6" t="s">
        <v>1238</v>
      </c>
      <c r="M19" s="6" t="s">
        <v>135</v>
      </c>
      <c r="N19" s="6" t="s">
        <v>1280</v>
      </c>
      <c r="O19" s="6" t="s">
        <v>1281</v>
      </c>
      <c r="P19" s="6" t="s">
        <v>1226</v>
      </c>
      <c r="Q19" s="6" t="s">
        <v>1268</v>
      </c>
      <c r="R19" s="6" t="s">
        <v>1226</v>
      </c>
      <c r="S19" s="6" t="s">
        <v>1269</v>
      </c>
      <c r="T19" s="6"/>
      <c r="U19" s="6"/>
      <c r="V19" s="6"/>
      <c r="W19" s="6"/>
      <c r="X19" s="6"/>
      <c r="Y19" s="6"/>
      <c r="Z19" s="6"/>
      <c r="AA19" s="6" t="s">
        <v>68</v>
      </c>
      <c r="AB19" s="6" t="s">
        <v>1280</v>
      </c>
      <c r="AC19" s="6" t="s">
        <v>1286</v>
      </c>
      <c r="AD19" s="6" t="s">
        <v>1241</v>
      </c>
      <c r="AE19" s="6" t="s">
        <v>1270</v>
      </c>
      <c r="AF19" s="6" t="s">
        <v>1241</v>
      </c>
      <c r="AG19" s="6" t="s">
        <v>1271</v>
      </c>
    </row>
    <row r="20" spans="1:33" x14ac:dyDescent="0.3">
      <c r="A20" s="6">
        <v>29</v>
      </c>
      <c r="B20" s="12" t="str">
        <f>_xlfn.XLOOKUP(actual_flights_B2B[[#This Row],[UniqueID]],flights[unique_id],flights[unique_id])</f>
        <v>SV062TorontoJeddah5/17/20267:00 PM5/18/20261:55 PMSV1430JeddahMadina5/18/20268:20 PM5/18/20269:25 PMSV061JeddahToronto5/30/20269:15 AM5/30/20263:25 PM</v>
      </c>
      <c r="C20" s="6" t="s">
        <v>150</v>
      </c>
      <c r="D20" s="6" t="s">
        <v>1208</v>
      </c>
      <c r="E20" s="6">
        <v>50</v>
      </c>
      <c r="F20" s="6" t="s">
        <v>66</v>
      </c>
      <c r="G20" s="6" t="s">
        <v>1286</v>
      </c>
      <c r="H20" s="6" t="s">
        <v>1280</v>
      </c>
      <c r="I20" s="6" t="s">
        <v>1225</v>
      </c>
      <c r="J20" s="6" t="s">
        <v>1267</v>
      </c>
      <c r="K20" s="6" t="s">
        <v>1226</v>
      </c>
      <c r="L20" s="6" t="s">
        <v>1238</v>
      </c>
      <c r="M20" s="6" t="s">
        <v>135</v>
      </c>
      <c r="N20" s="6" t="s">
        <v>1280</v>
      </c>
      <c r="O20" s="6" t="s">
        <v>1281</v>
      </c>
      <c r="P20" s="6" t="s">
        <v>1226</v>
      </c>
      <c r="Q20" s="6" t="s">
        <v>1268</v>
      </c>
      <c r="R20" s="6" t="s">
        <v>1226</v>
      </c>
      <c r="S20" s="6" t="s">
        <v>1269</v>
      </c>
      <c r="T20" s="6"/>
      <c r="U20" s="6"/>
      <c r="V20" s="6"/>
      <c r="W20" s="6"/>
      <c r="X20" s="6"/>
      <c r="Y20" s="6"/>
      <c r="Z20" s="6"/>
      <c r="AA20" s="6" t="s">
        <v>68</v>
      </c>
      <c r="AB20" s="6" t="s">
        <v>1280</v>
      </c>
      <c r="AC20" s="6" t="s">
        <v>1286</v>
      </c>
      <c r="AD20" s="6" t="s">
        <v>1241</v>
      </c>
      <c r="AE20" s="6" t="s">
        <v>1270</v>
      </c>
      <c r="AF20" s="6" t="s">
        <v>1241</v>
      </c>
      <c r="AG20" s="6" t="s">
        <v>1271</v>
      </c>
    </row>
    <row r="21" spans="1:33" x14ac:dyDescent="0.3">
      <c r="A21" s="6">
        <v>30</v>
      </c>
      <c r="B21" s="12" t="str">
        <f>_xlfn.XLOOKUP(actual_flights_B2B[[#This Row],[UniqueID]],flights[unique_id],flights[unique_id])</f>
        <v>SV062TorontoJeddah5/17/20267:00 PM5/18/20261:55 PMSV1428JeddahMadina5/18/20264:40 PM5/18/20265:45 PMSV061JeddahToronto5/30/20269:15 AM5/30/20263:25 PM</v>
      </c>
      <c r="C21" s="6" t="s">
        <v>153</v>
      </c>
      <c r="D21" s="6" t="s">
        <v>1209</v>
      </c>
      <c r="E21" s="6">
        <v>50</v>
      </c>
      <c r="F21" s="6" t="s">
        <v>66</v>
      </c>
      <c r="G21" s="6" t="s">
        <v>1286</v>
      </c>
      <c r="H21" s="6" t="s">
        <v>1280</v>
      </c>
      <c r="I21" s="6" t="s">
        <v>1225</v>
      </c>
      <c r="J21" s="6" t="s">
        <v>1267</v>
      </c>
      <c r="K21" s="6" t="s">
        <v>1226</v>
      </c>
      <c r="L21" s="6" t="s">
        <v>1238</v>
      </c>
      <c r="M21" s="6" t="s">
        <v>134</v>
      </c>
      <c r="N21" s="6" t="s">
        <v>1280</v>
      </c>
      <c r="O21" s="6" t="s">
        <v>1281</v>
      </c>
      <c r="P21" s="6" t="s">
        <v>1226</v>
      </c>
      <c r="Q21" s="6" t="s">
        <v>1239</v>
      </c>
      <c r="R21" s="6" t="s">
        <v>1226</v>
      </c>
      <c r="S21" s="6" t="s">
        <v>1240</v>
      </c>
      <c r="T21" s="6"/>
      <c r="U21" s="6"/>
      <c r="V21" s="6"/>
      <c r="W21" s="6"/>
      <c r="X21" s="6"/>
      <c r="Y21" s="6"/>
      <c r="Z21" s="6"/>
      <c r="AA21" s="6" t="s">
        <v>68</v>
      </c>
      <c r="AB21" s="6" t="s">
        <v>1280</v>
      </c>
      <c r="AC21" s="6" t="s">
        <v>1286</v>
      </c>
      <c r="AD21" s="6" t="s">
        <v>1241</v>
      </c>
      <c r="AE21" s="6" t="s">
        <v>1270</v>
      </c>
      <c r="AF21" s="6" t="s">
        <v>1241</v>
      </c>
      <c r="AG21" s="6" t="s">
        <v>1271</v>
      </c>
    </row>
    <row r="22" spans="1:33" x14ac:dyDescent="0.3">
      <c r="A22" s="6">
        <v>31</v>
      </c>
      <c r="B22" s="12" t="str">
        <f>_xlfn.XLOOKUP(actual_flights_B2B[[#This Row],[UniqueID]],flights[unique_id],flights[unique_id])</f>
        <v>SV062TorontoJeddah5/19/20267:00 PM5/20/20261:55 PMSV1428JeddahMadina5/20/20264:40 PM5/20/20265:45 PMSV061JeddahToronto5/31/20269:15 AM5/31/20263:25 PM</v>
      </c>
      <c r="C22" s="6" t="s">
        <v>154</v>
      </c>
      <c r="D22" s="6" t="s">
        <v>1210</v>
      </c>
      <c r="E22" s="6">
        <v>50</v>
      </c>
      <c r="F22" s="6" t="s">
        <v>66</v>
      </c>
      <c r="G22" s="6" t="s">
        <v>1286</v>
      </c>
      <c r="H22" s="6" t="s">
        <v>1280</v>
      </c>
      <c r="I22" s="6" t="s">
        <v>1243</v>
      </c>
      <c r="J22" s="6" t="s">
        <v>1267</v>
      </c>
      <c r="K22" s="6" t="s">
        <v>1233</v>
      </c>
      <c r="L22" s="6" t="s">
        <v>1238</v>
      </c>
      <c r="M22" s="6" t="s">
        <v>134</v>
      </c>
      <c r="N22" s="6" t="s">
        <v>1280</v>
      </c>
      <c r="O22" s="6" t="s">
        <v>1281</v>
      </c>
      <c r="P22" s="6" t="s">
        <v>1233</v>
      </c>
      <c r="Q22" s="6" t="s">
        <v>1239</v>
      </c>
      <c r="R22" s="6" t="s">
        <v>1233</v>
      </c>
      <c r="S22" s="6" t="s">
        <v>1240</v>
      </c>
      <c r="T22" s="6"/>
      <c r="U22" s="6"/>
      <c r="V22" s="6"/>
      <c r="W22" s="6"/>
      <c r="X22" s="6"/>
      <c r="Y22" s="6"/>
      <c r="Z22" s="6"/>
      <c r="AA22" s="6" t="s">
        <v>68</v>
      </c>
      <c r="AB22" s="6" t="s">
        <v>1280</v>
      </c>
      <c r="AC22" s="6" t="s">
        <v>1286</v>
      </c>
      <c r="AD22" s="6" t="s">
        <v>1230</v>
      </c>
      <c r="AE22" s="6" t="s">
        <v>1270</v>
      </c>
      <c r="AF22" s="6" t="s">
        <v>1230</v>
      </c>
      <c r="AG22" s="6" t="s">
        <v>1271</v>
      </c>
    </row>
    <row r="23" spans="1:33" x14ac:dyDescent="0.3">
      <c r="A23" s="6">
        <v>32</v>
      </c>
      <c r="B23" s="12" t="str">
        <f>_xlfn.XLOOKUP(actual_flights_B2B[[#This Row],[UniqueID]],flights[unique_id],flights[unique_id])</f>
        <v>SV062TorontoJeddah5/19/20267:00 PM5/20/20261:55 PMSV1428JeddahMadina5/20/20264:40 PM5/20/20265:45 PMSV061JeddahToronto5/31/20269:15 AM5/31/20263:25 PM</v>
      </c>
      <c r="C23" s="6" t="s">
        <v>154</v>
      </c>
      <c r="D23" s="6" t="s">
        <v>1211</v>
      </c>
      <c r="E23" s="6">
        <v>50</v>
      </c>
      <c r="F23" s="6" t="s">
        <v>66</v>
      </c>
      <c r="G23" s="6" t="s">
        <v>1286</v>
      </c>
      <c r="H23" s="6" t="s">
        <v>1280</v>
      </c>
      <c r="I23" s="6" t="s">
        <v>1243</v>
      </c>
      <c r="J23" s="6" t="s">
        <v>1267</v>
      </c>
      <c r="K23" s="6" t="s">
        <v>1233</v>
      </c>
      <c r="L23" s="6" t="s">
        <v>1238</v>
      </c>
      <c r="M23" s="6" t="s">
        <v>134</v>
      </c>
      <c r="N23" s="6" t="s">
        <v>1280</v>
      </c>
      <c r="O23" s="6" t="s">
        <v>1281</v>
      </c>
      <c r="P23" s="6" t="s">
        <v>1233</v>
      </c>
      <c r="Q23" s="6" t="s">
        <v>1239</v>
      </c>
      <c r="R23" s="6" t="s">
        <v>1233</v>
      </c>
      <c r="S23" s="6" t="s">
        <v>1240</v>
      </c>
      <c r="T23" s="6"/>
      <c r="U23" s="6"/>
      <c r="V23" s="6"/>
      <c r="W23" s="6"/>
      <c r="X23" s="6"/>
      <c r="Y23" s="6"/>
      <c r="Z23" s="6"/>
      <c r="AA23" s="6" t="s">
        <v>68</v>
      </c>
      <c r="AB23" s="6" t="s">
        <v>1280</v>
      </c>
      <c r="AC23" s="6" t="s">
        <v>1286</v>
      </c>
      <c r="AD23" s="6" t="s">
        <v>1230</v>
      </c>
      <c r="AE23" s="6" t="s">
        <v>1270</v>
      </c>
      <c r="AF23" s="6" t="s">
        <v>1230</v>
      </c>
      <c r="AG23" s="6" t="s">
        <v>1271</v>
      </c>
    </row>
    <row r="24" spans="1:33" x14ac:dyDescent="0.3">
      <c r="A24" s="6">
        <v>33</v>
      </c>
      <c r="B24" s="12" t="str">
        <f>_xlfn.XLOOKUP(actual_flights_B2B[[#This Row],[UniqueID]],flights[unique_id],flights[unique_id])</f>
        <v>SV062TorontoJeddah5/21/20267:00 PM5/22/20261:55 PMSV1421MadinaJeddah6/4/20263:35 AM6/4/20264:45 AMSV061JeddahToronto6/4/20269:15 AM6/4/20263:25 PM</v>
      </c>
      <c r="C24" s="6" t="s">
        <v>159</v>
      </c>
      <c r="D24" s="6" t="s">
        <v>1212</v>
      </c>
      <c r="E24" s="6">
        <v>50</v>
      </c>
      <c r="F24" s="6" t="s">
        <v>66</v>
      </c>
      <c r="G24" s="6" t="s">
        <v>1286</v>
      </c>
      <c r="H24" s="6" t="s">
        <v>1280</v>
      </c>
      <c r="I24" s="6" t="s">
        <v>1234</v>
      </c>
      <c r="J24" s="6" t="s">
        <v>1267</v>
      </c>
      <c r="K24" s="6" t="s">
        <v>1253</v>
      </c>
      <c r="L24" s="6" t="s">
        <v>1238</v>
      </c>
      <c r="M24" s="6"/>
      <c r="N24" s="6"/>
      <c r="O24" s="6"/>
      <c r="P24" s="6"/>
      <c r="Q24" s="6"/>
      <c r="R24" s="6"/>
      <c r="S24" s="6"/>
      <c r="T24" s="6" t="s">
        <v>73</v>
      </c>
      <c r="U24" s="6" t="s">
        <v>1281</v>
      </c>
      <c r="V24" s="6" t="s">
        <v>1280</v>
      </c>
      <c r="W24" s="6" t="s">
        <v>1257</v>
      </c>
      <c r="X24" s="6" t="s">
        <v>1260</v>
      </c>
      <c r="Y24" s="6" t="s">
        <v>1257</v>
      </c>
      <c r="Z24" s="6" t="s">
        <v>1261</v>
      </c>
      <c r="AA24" s="6" t="s">
        <v>68</v>
      </c>
      <c r="AB24" s="6" t="s">
        <v>1280</v>
      </c>
      <c r="AC24" s="6" t="s">
        <v>1286</v>
      </c>
      <c r="AD24" s="6" t="s">
        <v>1257</v>
      </c>
      <c r="AE24" s="6" t="s">
        <v>1270</v>
      </c>
      <c r="AF24" s="6" t="s">
        <v>1257</v>
      </c>
      <c r="AG24" s="6" t="s">
        <v>1271</v>
      </c>
    </row>
    <row r="25" spans="1:33" x14ac:dyDescent="0.3">
      <c r="A25" s="6">
        <v>34</v>
      </c>
      <c r="B25" s="12" t="str">
        <f>_xlfn.XLOOKUP(actual_flights_B2B[[#This Row],[UniqueID]],flights[unique_id],flights[unique_id])</f>
        <v>SV062TorontoJeddah5/21/20267:00 PM5/22/20261:55 PMSV1421MadinaJeddah6/4/20263:35 AM6/4/20264:45 AMSV061JeddahToronto6/4/20269:15 AM6/4/20263:25 PM</v>
      </c>
      <c r="C25" s="6" t="s">
        <v>159</v>
      </c>
      <c r="D25" s="6" t="s">
        <v>1213</v>
      </c>
      <c r="E25" s="6">
        <v>50</v>
      </c>
      <c r="F25" s="6" t="s">
        <v>66</v>
      </c>
      <c r="G25" s="6" t="s">
        <v>1286</v>
      </c>
      <c r="H25" s="6" t="s">
        <v>1280</v>
      </c>
      <c r="I25" s="6" t="s">
        <v>1234</v>
      </c>
      <c r="J25" s="6" t="s">
        <v>1267</v>
      </c>
      <c r="K25" s="6" t="s">
        <v>1253</v>
      </c>
      <c r="L25" s="6" t="s">
        <v>1238</v>
      </c>
      <c r="M25" s="6"/>
      <c r="N25" s="6"/>
      <c r="O25" s="6"/>
      <c r="P25" s="6"/>
      <c r="Q25" s="6"/>
      <c r="R25" s="6"/>
      <c r="S25" s="6"/>
      <c r="T25" s="6" t="s">
        <v>73</v>
      </c>
      <c r="U25" s="6" t="s">
        <v>1281</v>
      </c>
      <c r="V25" s="6" t="s">
        <v>1280</v>
      </c>
      <c r="W25" s="6" t="s">
        <v>1257</v>
      </c>
      <c r="X25" s="6" t="s">
        <v>1260</v>
      </c>
      <c r="Y25" s="6" t="s">
        <v>1257</v>
      </c>
      <c r="Z25" s="6" t="s">
        <v>1261</v>
      </c>
      <c r="AA25" s="6" t="s">
        <v>68</v>
      </c>
      <c r="AB25" s="6" t="s">
        <v>1280</v>
      </c>
      <c r="AC25" s="6" t="s">
        <v>1286</v>
      </c>
      <c r="AD25" s="6" t="s">
        <v>1257</v>
      </c>
      <c r="AE25" s="6" t="s">
        <v>1270</v>
      </c>
      <c r="AF25" s="6" t="s">
        <v>1257</v>
      </c>
      <c r="AG25" s="6" t="s">
        <v>1271</v>
      </c>
    </row>
    <row r="26" spans="1:33" x14ac:dyDescent="0.3">
      <c r="A26" s="6">
        <v>35</v>
      </c>
      <c r="B26" s="12" t="str">
        <f>_xlfn.XLOOKUP(actual_flights_B2B[[#This Row],[UniqueID]],flights[unique_id],flights[unique_id])</f>
        <v>SV062TorontoJeddah5/21/20267:00 PM5/22/20261:55 PMSV1421MadinaJeddah6/4/20263:35 AM6/4/20264:45 AMSV061JeddahToronto6/4/20269:15 AM6/4/20263:25 PM</v>
      </c>
      <c r="C26" s="6" t="s">
        <v>159</v>
      </c>
      <c r="D26" s="6" t="s">
        <v>1214</v>
      </c>
      <c r="E26" s="6">
        <v>50</v>
      </c>
      <c r="F26" s="6" t="s">
        <v>66</v>
      </c>
      <c r="G26" s="6" t="s">
        <v>1286</v>
      </c>
      <c r="H26" s="6" t="s">
        <v>1280</v>
      </c>
      <c r="I26" s="6" t="s">
        <v>1234</v>
      </c>
      <c r="J26" s="6" t="s">
        <v>1267</v>
      </c>
      <c r="K26" s="6" t="s">
        <v>1253</v>
      </c>
      <c r="L26" s="6" t="s">
        <v>1238</v>
      </c>
      <c r="M26" s="6"/>
      <c r="N26" s="6"/>
      <c r="O26" s="6"/>
      <c r="P26" s="6"/>
      <c r="Q26" s="6"/>
      <c r="R26" s="6"/>
      <c r="S26" s="6"/>
      <c r="T26" s="6" t="s">
        <v>73</v>
      </c>
      <c r="U26" s="6" t="s">
        <v>1281</v>
      </c>
      <c r="V26" s="6" t="s">
        <v>1280</v>
      </c>
      <c r="W26" s="6" t="s">
        <v>1257</v>
      </c>
      <c r="X26" s="6" t="s">
        <v>1260</v>
      </c>
      <c r="Y26" s="6" t="s">
        <v>1257</v>
      </c>
      <c r="Z26" s="6" t="s">
        <v>1261</v>
      </c>
      <c r="AA26" s="6" t="s">
        <v>68</v>
      </c>
      <c r="AB26" s="6" t="s">
        <v>1280</v>
      </c>
      <c r="AC26" s="6" t="s">
        <v>1286</v>
      </c>
      <c r="AD26" s="6" t="s">
        <v>1257</v>
      </c>
      <c r="AE26" s="6" t="s">
        <v>1270</v>
      </c>
      <c r="AF26" s="6" t="s">
        <v>1257</v>
      </c>
      <c r="AG26" s="6" t="s">
        <v>1271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3E17-6E2A-4E81-9040-58CA6C75508D}">
  <sheetPr>
    <tabColor rgb="FFFFFF00"/>
  </sheetPr>
  <dimension ref="A1:L178"/>
  <sheetViews>
    <sheetView zoomScale="115" zoomScaleNormal="115" workbookViewId="0">
      <selection activeCell="I98" sqref="I98"/>
    </sheetView>
  </sheetViews>
  <sheetFormatPr defaultRowHeight="14.4" x14ac:dyDescent="0.3"/>
  <cols>
    <col min="1" max="1" width="10.5546875" bestFit="1" customWidth="1"/>
    <col min="2" max="2" width="14.88671875" bestFit="1" customWidth="1"/>
    <col min="3" max="3" width="8.5546875" bestFit="1" customWidth="1"/>
    <col min="4" max="4" width="18.109375" bestFit="1" customWidth="1"/>
    <col min="5" max="5" width="12" bestFit="1" customWidth="1"/>
    <col min="6" max="6" width="17" bestFit="1" customWidth="1"/>
    <col min="7" max="7" width="14.44140625" bestFit="1" customWidth="1"/>
    <col min="8" max="8" width="14.6640625" bestFit="1" customWidth="1"/>
    <col min="9" max="9" width="11.44140625" bestFit="1" customWidth="1"/>
    <col min="10" max="10" width="11.77734375" bestFit="1" customWidth="1"/>
    <col min="11" max="11" width="10.77734375" bestFit="1" customWidth="1"/>
    <col min="12" max="12" width="11.109375" customWidth="1"/>
    <col min="13" max="13" width="16.44140625" bestFit="1" customWidth="1"/>
    <col min="14" max="14" width="11.109375" bestFit="1" customWidth="1"/>
    <col min="15" max="15" width="16.44140625" bestFit="1" customWidth="1"/>
    <col min="16" max="16" width="13.33203125" bestFit="1" customWidth="1"/>
    <col min="17" max="17" width="12.21875" bestFit="1" customWidth="1"/>
    <col min="18" max="18" width="12.44140625" bestFit="1" customWidth="1"/>
    <col min="19" max="19" width="18" bestFit="1" customWidth="1"/>
    <col min="20" max="20" width="15.5546875" bestFit="1" customWidth="1"/>
    <col min="21" max="21" width="15.77734375" bestFit="1" customWidth="1"/>
    <col min="22" max="22" width="13" bestFit="1" customWidth="1"/>
    <col min="23" max="23" width="13.33203125" bestFit="1" customWidth="1"/>
    <col min="24" max="24" width="12.21875" bestFit="1" customWidth="1"/>
    <col min="25" max="25" width="12.44140625" bestFit="1" customWidth="1"/>
    <col min="26" max="26" width="18" bestFit="1" customWidth="1"/>
    <col min="27" max="27" width="15.5546875" bestFit="1" customWidth="1"/>
    <col min="28" max="28" width="15.77734375" bestFit="1" customWidth="1"/>
    <col min="29" max="29" width="13" bestFit="1" customWidth="1"/>
    <col min="30" max="30" width="13.33203125" bestFit="1" customWidth="1"/>
    <col min="31" max="31" width="12.21875" bestFit="1" customWidth="1"/>
    <col min="32" max="32" width="12.44140625" bestFit="1" customWidth="1"/>
    <col min="33" max="33" width="18" bestFit="1" customWidth="1"/>
    <col min="34" max="34" width="15.5546875" bestFit="1" customWidth="1"/>
    <col min="35" max="35" width="15.77734375" bestFit="1" customWidth="1"/>
    <col min="36" max="36" width="13" bestFit="1" customWidth="1"/>
    <col min="37" max="37" width="12.77734375" bestFit="1" customWidth="1"/>
    <col min="38" max="38" width="11.6640625" bestFit="1" customWidth="1"/>
    <col min="39" max="39" width="11.88671875" bestFit="1" customWidth="1"/>
    <col min="40" max="40" width="17.44140625" bestFit="1" customWidth="1"/>
    <col min="41" max="41" width="14.88671875" bestFit="1" customWidth="1"/>
    <col min="42" max="42" width="15.109375" bestFit="1" customWidth="1"/>
    <col min="43" max="43" width="12.44140625" bestFit="1" customWidth="1"/>
    <col min="44" max="44" width="12.77734375" bestFit="1" customWidth="1"/>
    <col min="45" max="45" width="11.6640625" bestFit="1" customWidth="1"/>
    <col min="46" max="46" width="11.88671875" bestFit="1" customWidth="1"/>
    <col min="47" max="47" width="17.44140625" bestFit="1" customWidth="1"/>
    <col min="48" max="48" width="14.88671875" bestFit="1" customWidth="1"/>
    <col min="49" max="49" width="15.109375" bestFit="1" customWidth="1"/>
    <col min="50" max="51" width="12.44140625" bestFit="1" customWidth="1"/>
    <col min="52" max="52" width="11.88671875" bestFit="1" customWidth="1"/>
    <col min="53" max="53" width="17.44140625" bestFit="1" customWidth="1"/>
    <col min="54" max="54" width="14.88671875" bestFit="1" customWidth="1"/>
    <col min="55" max="55" width="15.109375" bestFit="1" customWidth="1"/>
    <col min="56" max="56" width="12.44140625" bestFit="1" customWidth="1"/>
    <col min="57" max="57" width="9.88671875" bestFit="1" customWidth="1"/>
    <col min="58" max="58" width="29.6640625" bestFit="1" customWidth="1"/>
    <col min="59" max="60" width="10.6640625" bestFit="1" customWidth="1"/>
    <col min="61" max="61" width="17.33203125" bestFit="1" customWidth="1"/>
    <col min="62" max="62" width="11" bestFit="1" customWidth="1"/>
    <col min="63" max="63" width="16.77734375" bestFit="1" customWidth="1"/>
    <col min="64" max="64" width="11.5546875" bestFit="1" customWidth="1"/>
    <col min="65" max="65" width="10.6640625" bestFit="1" customWidth="1"/>
    <col min="66" max="66" width="15.21875" bestFit="1" customWidth="1"/>
    <col min="67" max="67" width="13.109375" bestFit="1" customWidth="1"/>
    <col min="68" max="68" width="13.21875" bestFit="1" customWidth="1"/>
    <col min="69" max="74" width="11.6640625" bestFit="1" customWidth="1"/>
    <col min="75" max="75" width="15.21875" bestFit="1" customWidth="1"/>
    <col min="76" max="76" width="13.109375" bestFit="1" customWidth="1"/>
    <col min="77" max="77" width="13.21875" bestFit="1" customWidth="1"/>
    <col min="78" max="82" width="11.6640625" bestFit="1" customWidth="1"/>
    <col min="83" max="83" width="12" bestFit="1" customWidth="1"/>
    <col min="84" max="84" width="15.21875" bestFit="1" customWidth="1"/>
    <col min="85" max="85" width="13.109375" bestFit="1" customWidth="1"/>
    <col min="86" max="86" width="13.21875" bestFit="1" customWidth="1"/>
    <col min="87" max="88" width="11.6640625" bestFit="1" customWidth="1"/>
    <col min="89" max="89" width="16.77734375" bestFit="1" customWidth="1"/>
    <col min="90" max="91" width="11.6640625" bestFit="1" customWidth="1"/>
    <col min="92" max="92" width="14.6640625" bestFit="1" customWidth="1"/>
    <col min="93" max="93" width="12.44140625" bestFit="1" customWidth="1"/>
    <col min="94" max="94" width="12.5546875" bestFit="1" customWidth="1"/>
    <col min="95" max="100" width="11.6640625" bestFit="1" customWidth="1"/>
    <col min="101" max="101" width="14.6640625" bestFit="1" customWidth="1"/>
    <col min="102" max="102" width="12.44140625" bestFit="1" customWidth="1"/>
    <col min="103" max="103" width="12.5546875" bestFit="1" customWidth="1"/>
    <col min="104" max="105" width="11.6640625" bestFit="1" customWidth="1"/>
    <col min="106" max="106" width="15.21875" bestFit="1" customWidth="1"/>
  </cols>
  <sheetData>
    <row r="1" spans="1:12" x14ac:dyDescent="0.3">
      <c r="A1" s="19" t="s">
        <v>1168</v>
      </c>
      <c r="B1" t="s">
        <v>1485</v>
      </c>
      <c r="C1" s="19" t="s">
        <v>1215</v>
      </c>
      <c r="D1" s="19" t="s">
        <v>1289</v>
      </c>
      <c r="E1" s="17" t="s">
        <v>1477</v>
      </c>
      <c r="F1" s="17" t="s">
        <v>1478</v>
      </c>
      <c r="G1" s="17" t="s">
        <v>1479</v>
      </c>
      <c r="H1" s="17" t="s">
        <v>1480</v>
      </c>
      <c r="I1" s="3" t="s">
        <v>1481</v>
      </c>
      <c r="J1" s="3" t="s">
        <v>1484</v>
      </c>
      <c r="K1" s="3" t="s">
        <v>1482</v>
      </c>
      <c r="L1" s="3" t="s">
        <v>1483</v>
      </c>
    </row>
    <row r="2" spans="1:12" x14ac:dyDescent="0.3">
      <c r="A2" s="1">
        <v>725686</v>
      </c>
      <c r="B2" t="s">
        <v>261</v>
      </c>
      <c r="C2" s="1" t="s">
        <v>1290</v>
      </c>
      <c r="D2" s="1" t="s">
        <v>268</v>
      </c>
      <c r="E2" s="1" t="s">
        <v>1291</v>
      </c>
      <c r="F2" s="1" t="s">
        <v>1281</v>
      </c>
      <c r="G2" s="4">
        <v>46164</v>
      </c>
      <c r="H2" s="5">
        <v>0.95833333333333337</v>
      </c>
      <c r="I2" s="1" t="s">
        <v>1292</v>
      </c>
      <c r="J2" s="16" t="s">
        <v>1280</v>
      </c>
      <c r="K2" s="4">
        <v>46173</v>
      </c>
      <c r="L2" s="5">
        <v>2.7777777777777776E-2</v>
      </c>
    </row>
    <row r="3" spans="1:12" x14ac:dyDescent="0.3">
      <c r="A3" s="1">
        <v>724252</v>
      </c>
      <c r="B3" t="s">
        <v>261</v>
      </c>
      <c r="C3" s="1" t="s">
        <v>1290</v>
      </c>
      <c r="D3" s="1" t="s">
        <v>268</v>
      </c>
      <c r="E3" s="1" t="s">
        <v>1291</v>
      </c>
      <c r="F3" s="1" t="s">
        <v>1281</v>
      </c>
      <c r="G3" s="4">
        <v>46164</v>
      </c>
      <c r="H3" s="5">
        <v>0.95833333333333337</v>
      </c>
      <c r="I3" s="1" t="s">
        <v>1292</v>
      </c>
      <c r="J3" s="16" t="s">
        <v>1280</v>
      </c>
      <c r="K3" s="4">
        <v>46173</v>
      </c>
      <c r="L3" s="5">
        <v>2.7777777777777776E-2</v>
      </c>
    </row>
    <row r="4" spans="1:12" x14ac:dyDescent="0.3">
      <c r="A4" s="1">
        <v>687565</v>
      </c>
      <c r="B4" t="s">
        <v>261</v>
      </c>
      <c r="C4" s="1" t="s">
        <v>1290</v>
      </c>
      <c r="D4" s="1" t="s">
        <v>268</v>
      </c>
      <c r="E4" s="1" t="s">
        <v>1291</v>
      </c>
      <c r="F4" s="1" t="s">
        <v>1281</v>
      </c>
      <c r="G4" s="4">
        <v>46164</v>
      </c>
      <c r="H4" s="5">
        <v>0.95833333333333337</v>
      </c>
      <c r="I4" s="1" t="s">
        <v>1292</v>
      </c>
      <c r="J4" s="16" t="s">
        <v>1280</v>
      </c>
      <c r="K4" s="4">
        <v>46173</v>
      </c>
      <c r="L4" s="5">
        <v>2.7777777777777776E-2</v>
      </c>
    </row>
    <row r="5" spans="1:12" x14ac:dyDescent="0.3">
      <c r="A5" s="1">
        <v>835875</v>
      </c>
      <c r="B5" t="s">
        <v>261</v>
      </c>
      <c r="C5" s="1" t="s">
        <v>1293</v>
      </c>
      <c r="D5" s="1" t="s">
        <v>505</v>
      </c>
      <c r="E5" s="1" t="s">
        <v>1294</v>
      </c>
      <c r="F5" s="1" t="s">
        <v>1281</v>
      </c>
      <c r="G5" s="4">
        <v>46163</v>
      </c>
      <c r="H5" s="5">
        <v>0.3888888888888889</v>
      </c>
      <c r="I5" s="1" t="s">
        <v>1295</v>
      </c>
      <c r="J5" s="16" t="s">
        <v>1280</v>
      </c>
      <c r="K5" s="4">
        <v>46179</v>
      </c>
      <c r="L5" s="5">
        <v>0.73263888888888884</v>
      </c>
    </row>
    <row r="6" spans="1:12" x14ac:dyDescent="0.3">
      <c r="A6" s="1">
        <v>721940</v>
      </c>
      <c r="B6" t="s">
        <v>261</v>
      </c>
      <c r="C6" s="1" t="s">
        <v>1293</v>
      </c>
      <c r="D6" s="1" t="s">
        <v>505</v>
      </c>
      <c r="E6" s="1" t="s">
        <v>1294</v>
      </c>
      <c r="F6" s="1" t="s">
        <v>1281</v>
      </c>
      <c r="G6" s="4">
        <v>46163</v>
      </c>
      <c r="H6" s="5">
        <v>0.3888888888888889</v>
      </c>
      <c r="I6" s="1" t="s">
        <v>1295</v>
      </c>
      <c r="J6" s="16" t="s">
        <v>1280</v>
      </c>
      <c r="K6" s="4">
        <v>46179</v>
      </c>
      <c r="L6" s="5">
        <v>0.73263888888888884</v>
      </c>
    </row>
    <row r="7" spans="1:12" x14ac:dyDescent="0.3">
      <c r="A7" s="1">
        <v>720552</v>
      </c>
      <c r="B7" t="s">
        <v>261</v>
      </c>
      <c r="C7" s="1" t="s">
        <v>1293</v>
      </c>
      <c r="D7" s="1" t="s">
        <v>505</v>
      </c>
      <c r="E7" s="1" t="s">
        <v>1294</v>
      </c>
      <c r="F7" s="1" t="s">
        <v>1281</v>
      </c>
      <c r="G7" s="4">
        <v>46163</v>
      </c>
      <c r="H7" s="5">
        <v>0.3888888888888889</v>
      </c>
      <c r="I7" s="1" t="s">
        <v>1295</v>
      </c>
      <c r="J7" s="16" t="s">
        <v>1280</v>
      </c>
      <c r="K7" s="4">
        <v>46179</v>
      </c>
      <c r="L7" s="5">
        <v>0.73263888888888884</v>
      </c>
    </row>
    <row r="8" spans="1:12" x14ac:dyDescent="0.3">
      <c r="A8" s="1">
        <v>622917</v>
      </c>
      <c r="B8" t="s">
        <v>261</v>
      </c>
      <c r="C8" s="1" t="s">
        <v>1296</v>
      </c>
      <c r="D8" s="1" t="s">
        <v>327</v>
      </c>
      <c r="E8" s="1" t="s">
        <v>1297</v>
      </c>
      <c r="F8" s="1" t="s">
        <v>1280</v>
      </c>
      <c r="G8" s="4">
        <v>46165</v>
      </c>
      <c r="H8" s="5">
        <v>0.54513888888888884</v>
      </c>
      <c r="I8" s="1" t="s">
        <v>1298</v>
      </c>
      <c r="J8" s="16" t="s">
        <v>1281</v>
      </c>
      <c r="K8" s="4">
        <v>46175</v>
      </c>
      <c r="L8" s="5">
        <v>0.21527777777777779</v>
      </c>
    </row>
    <row r="9" spans="1:12" x14ac:dyDescent="0.3">
      <c r="A9" s="1">
        <v>612174</v>
      </c>
      <c r="B9" t="s">
        <v>261</v>
      </c>
      <c r="C9" s="1" t="s">
        <v>1296</v>
      </c>
      <c r="D9" s="1" t="s">
        <v>327</v>
      </c>
      <c r="E9" s="1" t="s">
        <v>1297</v>
      </c>
      <c r="F9" s="1" t="s">
        <v>1280</v>
      </c>
      <c r="G9" s="4">
        <v>46165</v>
      </c>
      <c r="H9" s="5">
        <v>0.54513888888888884</v>
      </c>
      <c r="I9" s="1" t="s">
        <v>1298</v>
      </c>
      <c r="J9" s="16" t="s">
        <v>1281</v>
      </c>
      <c r="K9" s="4">
        <v>46175</v>
      </c>
      <c r="L9" s="5">
        <v>0.21527777777777779</v>
      </c>
    </row>
    <row r="10" spans="1:12" x14ac:dyDescent="0.3">
      <c r="A10" s="1">
        <v>553881</v>
      </c>
      <c r="B10" t="s">
        <v>261</v>
      </c>
      <c r="C10" s="1" t="s">
        <v>1299</v>
      </c>
      <c r="D10" s="1" t="s">
        <v>434</v>
      </c>
      <c r="E10" s="1" t="s">
        <v>1300</v>
      </c>
      <c r="F10" s="1" t="s">
        <v>1281</v>
      </c>
      <c r="G10" s="4">
        <v>46163</v>
      </c>
      <c r="H10" s="5">
        <v>0.35416666666666669</v>
      </c>
      <c r="I10" s="1" t="s">
        <v>1301</v>
      </c>
      <c r="J10" s="16" t="s">
        <v>1280</v>
      </c>
      <c r="K10" s="4">
        <v>46173</v>
      </c>
      <c r="L10" s="5">
        <v>0.31944444444444442</v>
      </c>
    </row>
    <row r="11" spans="1:12" x14ac:dyDescent="0.3">
      <c r="A11" s="1">
        <v>549432</v>
      </c>
      <c r="B11" t="s">
        <v>261</v>
      </c>
      <c r="C11" s="1" t="s">
        <v>1299</v>
      </c>
      <c r="D11" s="1" t="s">
        <v>434</v>
      </c>
      <c r="E11" s="1" t="s">
        <v>1300</v>
      </c>
      <c r="F11" s="1" t="s">
        <v>1281</v>
      </c>
      <c r="G11" s="4">
        <v>46163</v>
      </c>
      <c r="H11" s="5">
        <v>0.35416666666666669</v>
      </c>
      <c r="I11" s="1" t="s">
        <v>1301</v>
      </c>
      <c r="J11" s="16" t="s">
        <v>1280</v>
      </c>
      <c r="K11" s="4">
        <v>46173</v>
      </c>
      <c r="L11" s="5">
        <v>0.31944444444444442</v>
      </c>
    </row>
    <row r="12" spans="1:12" x14ac:dyDescent="0.3">
      <c r="A12" s="1">
        <v>216091</v>
      </c>
      <c r="B12" t="s">
        <v>261</v>
      </c>
      <c r="C12" s="1" t="s">
        <v>1302</v>
      </c>
      <c r="D12" s="1" t="s">
        <v>464</v>
      </c>
      <c r="E12" s="1" t="s">
        <v>1303</v>
      </c>
      <c r="F12" s="1" t="s">
        <v>1281</v>
      </c>
      <c r="G12" s="4">
        <v>46160</v>
      </c>
      <c r="H12" s="5">
        <v>0.94444444444444442</v>
      </c>
      <c r="I12" s="1" t="s">
        <v>1304</v>
      </c>
      <c r="J12" s="16" t="s">
        <v>1280</v>
      </c>
      <c r="K12" s="4">
        <v>46173</v>
      </c>
      <c r="L12" s="5">
        <v>0.24305555555555555</v>
      </c>
    </row>
    <row r="13" spans="1:12" x14ac:dyDescent="0.3">
      <c r="A13" s="1">
        <v>741671</v>
      </c>
      <c r="B13" t="s">
        <v>261</v>
      </c>
      <c r="C13" s="1" t="s">
        <v>1305</v>
      </c>
      <c r="D13" s="1" t="s">
        <v>263</v>
      </c>
      <c r="E13" s="1" t="s">
        <v>1308</v>
      </c>
      <c r="F13" s="1" t="s">
        <v>1281</v>
      </c>
      <c r="G13" s="4">
        <v>46160</v>
      </c>
      <c r="H13" s="5">
        <v>0.78472222222222221</v>
      </c>
      <c r="I13" s="1" t="s">
        <v>1309</v>
      </c>
      <c r="J13" s="16" t="s">
        <v>1280</v>
      </c>
      <c r="K13" s="4">
        <v>46173</v>
      </c>
      <c r="L13" s="5">
        <v>0.3125</v>
      </c>
    </row>
    <row r="14" spans="1:12" x14ac:dyDescent="0.3">
      <c r="A14" s="1">
        <v>741593</v>
      </c>
      <c r="B14" t="s">
        <v>261</v>
      </c>
      <c r="C14" s="1" t="s">
        <v>1305</v>
      </c>
      <c r="D14" s="1" t="s">
        <v>263</v>
      </c>
      <c r="E14" s="1" t="s">
        <v>1308</v>
      </c>
      <c r="F14" s="1" t="s">
        <v>1281</v>
      </c>
      <c r="G14" s="4">
        <v>46160</v>
      </c>
      <c r="H14" s="5">
        <v>0.78472222222222221</v>
      </c>
      <c r="I14" s="1" t="s">
        <v>1309</v>
      </c>
      <c r="J14" s="16" t="s">
        <v>1280</v>
      </c>
      <c r="K14" s="4">
        <v>46173</v>
      </c>
      <c r="L14" s="5">
        <v>0.3125</v>
      </c>
    </row>
    <row r="15" spans="1:12" x14ac:dyDescent="0.3">
      <c r="A15" s="1">
        <v>820035</v>
      </c>
      <c r="B15" t="s">
        <v>261</v>
      </c>
      <c r="C15" s="1" t="s">
        <v>1310</v>
      </c>
      <c r="D15" s="1" t="s">
        <v>492</v>
      </c>
      <c r="E15" s="1" t="s">
        <v>1311</v>
      </c>
      <c r="F15" s="1" t="s">
        <v>1281</v>
      </c>
      <c r="G15" s="4">
        <v>46163</v>
      </c>
      <c r="H15" s="5">
        <v>0.44097222222222221</v>
      </c>
      <c r="I15" s="1" t="s">
        <v>1312</v>
      </c>
      <c r="J15" s="16" t="s">
        <v>1280</v>
      </c>
      <c r="K15" s="4">
        <v>46179</v>
      </c>
      <c r="L15" s="5">
        <v>0.72222222222222221</v>
      </c>
    </row>
    <row r="16" spans="1:12" x14ac:dyDescent="0.3">
      <c r="A16" s="1">
        <v>820033</v>
      </c>
      <c r="B16" t="s">
        <v>261</v>
      </c>
      <c r="C16" s="1" t="s">
        <v>1310</v>
      </c>
      <c r="D16" s="1" t="s">
        <v>492</v>
      </c>
      <c r="E16" s="1" t="s">
        <v>1311</v>
      </c>
      <c r="F16" s="1" t="s">
        <v>1281</v>
      </c>
      <c r="G16" s="4">
        <v>46163</v>
      </c>
      <c r="H16" s="5">
        <v>0.44097222222222221</v>
      </c>
      <c r="I16" s="1" t="s">
        <v>1312</v>
      </c>
      <c r="J16" s="16" t="s">
        <v>1280</v>
      </c>
      <c r="K16" s="4">
        <v>46179</v>
      </c>
      <c r="L16" s="5">
        <v>0.72222222222222221</v>
      </c>
    </row>
    <row r="17" spans="1:12" x14ac:dyDescent="0.3">
      <c r="A17" s="1">
        <v>726343</v>
      </c>
      <c r="B17" t="s">
        <v>261</v>
      </c>
      <c r="C17" s="1" t="s">
        <v>1313</v>
      </c>
      <c r="D17" s="1" t="s">
        <v>513</v>
      </c>
      <c r="E17" s="1" t="s">
        <v>1314</v>
      </c>
      <c r="F17" s="1" t="s">
        <v>1280</v>
      </c>
      <c r="G17" s="4">
        <v>46163</v>
      </c>
      <c r="H17" s="5">
        <v>0.16319444444444445</v>
      </c>
      <c r="I17" s="1" t="s">
        <v>1315</v>
      </c>
      <c r="J17" s="16" t="s">
        <v>1280</v>
      </c>
      <c r="K17" s="4">
        <v>46173</v>
      </c>
      <c r="L17" s="5">
        <v>0.13194444444444445</v>
      </c>
    </row>
    <row r="18" spans="1:12" x14ac:dyDescent="0.3">
      <c r="A18" s="1">
        <v>726109</v>
      </c>
      <c r="B18" t="s">
        <v>261</v>
      </c>
      <c r="C18" s="1" t="s">
        <v>1313</v>
      </c>
      <c r="D18" s="1" t="s">
        <v>513</v>
      </c>
      <c r="E18" s="1" t="s">
        <v>1314</v>
      </c>
      <c r="F18" s="1" t="s">
        <v>1280</v>
      </c>
      <c r="G18" s="4">
        <v>46163</v>
      </c>
      <c r="H18" s="5">
        <v>0.16319444444444445</v>
      </c>
      <c r="I18" s="1" t="s">
        <v>1315</v>
      </c>
      <c r="J18" s="16" t="s">
        <v>1280</v>
      </c>
      <c r="K18" s="4">
        <v>46173</v>
      </c>
      <c r="L18" s="5">
        <v>0.13194444444444445</v>
      </c>
    </row>
    <row r="19" spans="1:12" x14ac:dyDescent="0.3">
      <c r="A19" s="1">
        <v>51461</v>
      </c>
      <c r="B19" t="s">
        <v>261</v>
      </c>
      <c r="C19" s="1" t="s">
        <v>1316</v>
      </c>
      <c r="D19" s="1" t="s">
        <v>533</v>
      </c>
      <c r="E19" s="1" t="s">
        <v>1317</v>
      </c>
      <c r="F19" s="1" t="s">
        <v>1281</v>
      </c>
      <c r="G19" s="4">
        <v>46160</v>
      </c>
      <c r="H19" s="5">
        <v>0.67361111111111116</v>
      </c>
      <c r="I19" s="1" t="s">
        <v>1318</v>
      </c>
      <c r="J19" s="16" t="s">
        <v>1280</v>
      </c>
      <c r="K19" s="4">
        <v>46173</v>
      </c>
      <c r="L19" s="5">
        <v>0.38194444444444442</v>
      </c>
    </row>
    <row r="20" spans="1:12" x14ac:dyDescent="0.3">
      <c r="A20" s="1">
        <v>24416</v>
      </c>
      <c r="B20" t="s">
        <v>261</v>
      </c>
      <c r="C20" s="1" t="s">
        <v>1319</v>
      </c>
      <c r="D20" s="1" t="s">
        <v>351</v>
      </c>
      <c r="E20" s="1" t="s">
        <v>1308</v>
      </c>
      <c r="F20" s="1" t="s">
        <v>1281</v>
      </c>
      <c r="G20" s="4">
        <v>46160</v>
      </c>
      <c r="H20" s="5">
        <v>0.78472222222222221</v>
      </c>
      <c r="I20" s="1" t="s">
        <v>1320</v>
      </c>
      <c r="J20" s="16" t="s">
        <v>1280</v>
      </c>
      <c r="K20" s="4">
        <v>46173</v>
      </c>
      <c r="L20" s="5">
        <v>0.29166666666666669</v>
      </c>
    </row>
    <row r="21" spans="1:12" x14ac:dyDescent="0.3">
      <c r="A21" s="1">
        <v>868390</v>
      </c>
      <c r="B21" t="s">
        <v>261</v>
      </c>
      <c r="C21" s="1" t="s">
        <v>1321</v>
      </c>
      <c r="D21" s="1" t="s">
        <v>538</v>
      </c>
      <c r="E21" s="1" t="s">
        <v>1322</v>
      </c>
      <c r="F21" s="1" t="s">
        <v>1280</v>
      </c>
      <c r="G21" s="4">
        <v>46163</v>
      </c>
      <c r="H21" s="5">
        <v>0.80902777777777779</v>
      </c>
      <c r="I21" s="1" t="s">
        <v>1323</v>
      </c>
      <c r="J21" s="16" t="s">
        <v>1280</v>
      </c>
      <c r="K21" s="4">
        <v>46175</v>
      </c>
      <c r="L21" s="5">
        <v>0.9375</v>
      </c>
    </row>
    <row r="22" spans="1:12" x14ac:dyDescent="0.3">
      <c r="A22" s="1">
        <v>670648</v>
      </c>
      <c r="B22" t="s">
        <v>261</v>
      </c>
      <c r="C22" s="1" t="s">
        <v>1321</v>
      </c>
      <c r="D22" s="1" t="s">
        <v>538</v>
      </c>
      <c r="E22" s="1" t="s">
        <v>1322</v>
      </c>
      <c r="F22" s="1" t="s">
        <v>1280</v>
      </c>
      <c r="G22" s="4">
        <v>46163</v>
      </c>
      <c r="H22" s="5">
        <v>0.80902777777777779</v>
      </c>
      <c r="I22" s="1" t="s">
        <v>1323</v>
      </c>
      <c r="J22" s="16" t="s">
        <v>1280</v>
      </c>
      <c r="K22" s="4">
        <v>46175</v>
      </c>
      <c r="L22" s="5">
        <v>0.9375</v>
      </c>
    </row>
    <row r="23" spans="1:12" x14ac:dyDescent="0.3">
      <c r="A23" s="1">
        <v>748546</v>
      </c>
      <c r="B23" t="s">
        <v>261</v>
      </c>
      <c r="C23" s="1" t="s">
        <v>1324</v>
      </c>
      <c r="D23" s="1" t="s">
        <v>548</v>
      </c>
      <c r="E23" s="1" t="s">
        <v>1325</v>
      </c>
      <c r="F23" s="1" t="s">
        <v>1280</v>
      </c>
      <c r="G23" s="4">
        <v>46163</v>
      </c>
      <c r="H23" s="5">
        <v>0.73958333333333337</v>
      </c>
      <c r="I23" s="1" t="s">
        <v>1326</v>
      </c>
      <c r="J23" s="16" t="s">
        <v>1281</v>
      </c>
      <c r="K23" s="4">
        <v>46175</v>
      </c>
      <c r="L23" s="5">
        <v>0.73263888888888884</v>
      </c>
    </row>
    <row r="24" spans="1:12" x14ac:dyDescent="0.3">
      <c r="A24" s="1">
        <v>744826</v>
      </c>
      <c r="B24" t="s">
        <v>261</v>
      </c>
      <c r="C24" s="1" t="s">
        <v>1324</v>
      </c>
      <c r="D24" s="1" t="s">
        <v>548</v>
      </c>
      <c r="E24" s="1" t="s">
        <v>1325</v>
      </c>
      <c r="F24" s="1" t="s">
        <v>1280</v>
      </c>
      <c r="G24" s="4">
        <v>46163</v>
      </c>
      <c r="H24" s="5">
        <v>0.73958333333333337</v>
      </c>
      <c r="I24" s="1" t="s">
        <v>1326</v>
      </c>
      <c r="J24" s="16" t="s">
        <v>1281</v>
      </c>
      <c r="K24" s="4">
        <v>46175</v>
      </c>
      <c r="L24" s="5">
        <v>0.73263888888888884</v>
      </c>
    </row>
    <row r="25" spans="1:12" x14ac:dyDescent="0.3">
      <c r="A25" s="1">
        <v>197145</v>
      </c>
      <c r="B25" t="s">
        <v>261</v>
      </c>
      <c r="C25" s="1" t="s">
        <v>1330</v>
      </c>
      <c r="D25" s="1" t="s">
        <v>558</v>
      </c>
      <c r="E25" s="1" t="s">
        <v>1331</v>
      </c>
      <c r="F25" s="1" t="s">
        <v>1280</v>
      </c>
      <c r="G25" s="4">
        <v>46163</v>
      </c>
      <c r="H25" s="5">
        <v>0.94444444444444442</v>
      </c>
      <c r="I25" s="1" t="s">
        <v>1332</v>
      </c>
      <c r="J25" s="16" t="s">
        <v>1280</v>
      </c>
      <c r="K25" s="4">
        <v>46175</v>
      </c>
      <c r="L25" s="5">
        <v>5.5555555555555552E-2</v>
      </c>
    </row>
    <row r="26" spans="1:12" x14ac:dyDescent="0.3">
      <c r="A26" s="1">
        <v>103048</v>
      </c>
      <c r="B26" t="s">
        <v>261</v>
      </c>
      <c r="C26" s="1" t="s">
        <v>1330</v>
      </c>
      <c r="D26" s="1" t="s">
        <v>558</v>
      </c>
      <c r="E26" s="1" t="s">
        <v>1331</v>
      </c>
      <c r="F26" s="1" t="s">
        <v>1280</v>
      </c>
      <c r="G26" s="4">
        <v>46163</v>
      </c>
      <c r="H26" s="5">
        <v>0.94444444444444442</v>
      </c>
      <c r="I26" s="1" t="s">
        <v>1332</v>
      </c>
      <c r="J26" s="16" t="s">
        <v>1280</v>
      </c>
      <c r="K26" s="4">
        <v>46175</v>
      </c>
      <c r="L26" s="5">
        <v>5.5555555555555552E-2</v>
      </c>
    </row>
    <row r="27" spans="1:12" x14ac:dyDescent="0.3">
      <c r="A27" s="1">
        <v>786761</v>
      </c>
      <c r="B27" t="s">
        <v>261</v>
      </c>
      <c r="C27" s="1" t="s">
        <v>1333</v>
      </c>
      <c r="D27" s="1" t="s">
        <v>607</v>
      </c>
      <c r="E27" s="1" t="s">
        <v>1334</v>
      </c>
      <c r="F27" s="1" t="s">
        <v>1280</v>
      </c>
      <c r="G27" s="4">
        <v>46163</v>
      </c>
      <c r="H27" s="5">
        <v>0.15277777777777779</v>
      </c>
      <c r="I27" s="1" t="s">
        <v>1335</v>
      </c>
      <c r="J27" s="16" t="s">
        <v>1281</v>
      </c>
      <c r="K27" s="4">
        <v>46175</v>
      </c>
      <c r="L27" s="5">
        <v>3.8194444444444448E-2</v>
      </c>
    </row>
    <row r="28" spans="1:12" x14ac:dyDescent="0.3">
      <c r="A28" s="1">
        <v>718721</v>
      </c>
      <c r="B28" t="s">
        <v>261</v>
      </c>
      <c r="C28" s="1" t="s">
        <v>1337</v>
      </c>
      <c r="D28" s="1" t="s">
        <v>318</v>
      </c>
      <c r="E28" s="1" t="s">
        <v>1338</v>
      </c>
      <c r="F28" s="1" t="s">
        <v>1281</v>
      </c>
      <c r="G28" s="4">
        <v>46163</v>
      </c>
      <c r="H28" s="5">
        <v>0.15625</v>
      </c>
      <c r="I28" s="1" t="s">
        <v>1309</v>
      </c>
      <c r="J28" s="16" t="s">
        <v>1280</v>
      </c>
      <c r="K28" s="4">
        <v>46173</v>
      </c>
      <c r="L28" s="5">
        <v>0.3125</v>
      </c>
    </row>
    <row r="29" spans="1:12" x14ac:dyDescent="0.3">
      <c r="A29" s="1">
        <v>602251</v>
      </c>
      <c r="B29" t="s">
        <v>261</v>
      </c>
      <c r="C29" s="1" t="s">
        <v>1337</v>
      </c>
      <c r="D29" s="1" t="s">
        <v>318</v>
      </c>
      <c r="E29" s="1" t="s">
        <v>1338</v>
      </c>
      <c r="F29" s="1" t="s">
        <v>1281</v>
      </c>
      <c r="G29" s="4">
        <v>46163</v>
      </c>
      <c r="H29" s="5">
        <v>0.15625</v>
      </c>
      <c r="I29" s="1" t="s">
        <v>1309</v>
      </c>
      <c r="J29" s="16" t="s">
        <v>1280</v>
      </c>
      <c r="K29" s="4">
        <v>46173</v>
      </c>
      <c r="L29" s="5">
        <v>0.3125</v>
      </c>
    </row>
    <row r="30" spans="1:12" x14ac:dyDescent="0.3">
      <c r="A30" s="1">
        <v>789534</v>
      </c>
      <c r="B30" t="s">
        <v>261</v>
      </c>
      <c r="C30" s="1" t="s">
        <v>1339</v>
      </c>
      <c r="D30" s="1" t="s">
        <v>574</v>
      </c>
      <c r="E30" s="1" t="s">
        <v>1340</v>
      </c>
      <c r="F30" s="1" t="s">
        <v>1281</v>
      </c>
      <c r="G30" s="4">
        <v>46163</v>
      </c>
      <c r="H30" s="5">
        <v>0.13541666666666666</v>
      </c>
      <c r="I30" s="1" t="s">
        <v>1341</v>
      </c>
      <c r="J30" s="16" t="s">
        <v>1280</v>
      </c>
      <c r="K30" s="4">
        <v>46179</v>
      </c>
      <c r="L30" s="5">
        <v>0.2013888888888889</v>
      </c>
    </row>
    <row r="31" spans="1:12" x14ac:dyDescent="0.3">
      <c r="A31" s="1">
        <v>789502</v>
      </c>
      <c r="B31" t="s">
        <v>261</v>
      </c>
      <c r="C31" s="1" t="s">
        <v>1339</v>
      </c>
      <c r="D31" s="1" t="s">
        <v>574</v>
      </c>
      <c r="E31" s="1" t="s">
        <v>1340</v>
      </c>
      <c r="F31" s="1" t="s">
        <v>1281</v>
      </c>
      <c r="G31" s="4">
        <v>46163</v>
      </c>
      <c r="H31" s="5">
        <v>0.13541666666666666</v>
      </c>
      <c r="I31" s="1" t="s">
        <v>1341</v>
      </c>
      <c r="J31" s="16" t="s">
        <v>1280</v>
      </c>
      <c r="K31" s="4">
        <v>46179</v>
      </c>
      <c r="L31" s="5">
        <v>0.2013888888888889</v>
      </c>
    </row>
    <row r="32" spans="1:12" x14ac:dyDescent="0.3">
      <c r="A32" s="1">
        <v>778442</v>
      </c>
      <c r="B32" t="s">
        <v>261</v>
      </c>
      <c r="C32" s="1" t="s">
        <v>1342</v>
      </c>
      <c r="D32" s="1" t="s">
        <v>414</v>
      </c>
      <c r="E32" s="1" t="s">
        <v>1343</v>
      </c>
      <c r="F32" s="1" t="s">
        <v>1281</v>
      </c>
      <c r="G32" s="4">
        <v>46163</v>
      </c>
      <c r="H32" s="5">
        <v>0.88888888888888884</v>
      </c>
      <c r="I32" s="1" t="s">
        <v>1292</v>
      </c>
      <c r="J32" s="16" t="s">
        <v>1280</v>
      </c>
      <c r="K32" s="4">
        <v>46173</v>
      </c>
      <c r="L32" s="5">
        <v>2.7777777777777776E-2</v>
      </c>
    </row>
    <row r="33" spans="1:12" x14ac:dyDescent="0.3">
      <c r="A33" s="1">
        <v>356008</v>
      </c>
      <c r="B33" t="s">
        <v>261</v>
      </c>
      <c r="C33" s="1" t="s">
        <v>1342</v>
      </c>
      <c r="D33" s="1" t="s">
        <v>414</v>
      </c>
      <c r="E33" s="1" t="s">
        <v>1343</v>
      </c>
      <c r="F33" s="1" t="s">
        <v>1281</v>
      </c>
      <c r="G33" s="4">
        <v>46163</v>
      </c>
      <c r="H33" s="5">
        <v>0.88888888888888884</v>
      </c>
      <c r="I33" s="1" t="s">
        <v>1292</v>
      </c>
      <c r="J33" s="16" t="s">
        <v>1280</v>
      </c>
      <c r="K33" s="4">
        <v>46173</v>
      </c>
      <c r="L33" s="5">
        <v>2.7777777777777776E-2</v>
      </c>
    </row>
    <row r="34" spans="1:12" x14ac:dyDescent="0.3">
      <c r="A34" s="1">
        <v>727890</v>
      </c>
      <c r="B34" t="s">
        <v>261</v>
      </c>
      <c r="C34" s="1" t="s">
        <v>1350</v>
      </c>
      <c r="D34" s="1" t="s">
        <v>459</v>
      </c>
      <c r="E34" s="1" t="s">
        <v>1351</v>
      </c>
      <c r="F34" s="1" t="s">
        <v>1280</v>
      </c>
      <c r="G34" s="4">
        <v>46163</v>
      </c>
      <c r="H34" s="5">
        <v>0.28125</v>
      </c>
      <c r="I34" s="1" t="s">
        <v>1298</v>
      </c>
      <c r="J34" s="16" t="s">
        <v>1281</v>
      </c>
      <c r="K34" s="4">
        <v>46175</v>
      </c>
      <c r="L34" s="5">
        <v>0.21527777777777779</v>
      </c>
    </row>
    <row r="35" spans="1:12" x14ac:dyDescent="0.3">
      <c r="A35" s="1">
        <v>400819</v>
      </c>
      <c r="B35" t="s">
        <v>261</v>
      </c>
      <c r="C35" s="1" t="s">
        <v>1352</v>
      </c>
      <c r="D35" s="1" t="s">
        <v>481</v>
      </c>
      <c r="E35" s="1" t="s">
        <v>1353</v>
      </c>
      <c r="F35" s="1" t="s">
        <v>1281</v>
      </c>
      <c r="G35" s="4">
        <v>46163</v>
      </c>
      <c r="H35" s="5">
        <v>0.67708333333333337</v>
      </c>
      <c r="I35" s="1" t="s">
        <v>1354</v>
      </c>
      <c r="J35" s="16" t="s">
        <v>1280</v>
      </c>
      <c r="K35" s="4">
        <v>46179</v>
      </c>
      <c r="L35" s="5">
        <v>0.36805555555555558</v>
      </c>
    </row>
    <row r="36" spans="1:12" x14ac:dyDescent="0.3">
      <c r="A36" s="1">
        <v>400757</v>
      </c>
      <c r="B36" t="s">
        <v>261</v>
      </c>
      <c r="C36" s="1" t="s">
        <v>1352</v>
      </c>
      <c r="D36" s="1" t="s">
        <v>481</v>
      </c>
      <c r="E36" s="1" t="s">
        <v>1353</v>
      </c>
      <c r="F36" s="1" t="s">
        <v>1281</v>
      </c>
      <c r="G36" s="4">
        <v>46163</v>
      </c>
      <c r="H36" s="5">
        <v>0.67708333333333337</v>
      </c>
      <c r="I36" s="1" t="s">
        <v>1354</v>
      </c>
      <c r="J36" s="16" t="s">
        <v>1280</v>
      </c>
      <c r="K36" s="4">
        <v>46179</v>
      </c>
      <c r="L36" s="5">
        <v>0.36805555555555558</v>
      </c>
    </row>
    <row r="37" spans="1:12" x14ac:dyDescent="0.3">
      <c r="A37" s="1">
        <v>838121</v>
      </c>
      <c r="B37" t="s">
        <v>261</v>
      </c>
      <c r="C37" s="1" t="s">
        <v>1355</v>
      </c>
      <c r="D37" s="1" t="s">
        <v>567</v>
      </c>
      <c r="E37" s="1" t="s">
        <v>1356</v>
      </c>
      <c r="F37" s="1" t="s">
        <v>1280</v>
      </c>
      <c r="G37" s="4">
        <v>46160</v>
      </c>
      <c r="H37" s="5">
        <v>0.57986111111111116</v>
      </c>
      <c r="I37" s="1" t="s">
        <v>1357</v>
      </c>
      <c r="J37" s="16" t="s">
        <v>1280</v>
      </c>
      <c r="K37" s="4">
        <v>46173</v>
      </c>
      <c r="L37" s="5">
        <v>0.3923611111111111</v>
      </c>
    </row>
    <row r="38" spans="1:12" x14ac:dyDescent="0.3">
      <c r="A38" s="1">
        <v>838073</v>
      </c>
      <c r="B38" t="s">
        <v>261</v>
      </c>
      <c r="C38" s="1" t="s">
        <v>1355</v>
      </c>
      <c r="D38" s="1" t="s">
        <v>567</v>
      </c>
      <c r="E38" s="1" t="s">
        <v>1356</v>
      </c>
      <c r="F38" s="1" t="s">
        <v>1280</v>
      </c>
      <c r="G38" s="4">
        <v>46160</v>
      </c>
      <c r="H38" s="5">
        <v>0.57986111111111116</v>
      </c>
      <c r="I38" s="1" t="s">
        <v>1357</v>
      </c>
      <c r="J38" s="16" t="s">
        <v>1280</v>
      </c>
      <c r="K38" s="4">
        <v>46173</v>
      </c>
      <c r="L38" s="5">
        <v>0.3923611111111111</v>
      </c>
    </row>
    <row r="39" spans="1:12" x14ac:dyDescent="0.3">
      <c r="A39" s="1">
        <v>752184</v>
      </c>
      <c r="B39" t="s">
        <v>261</v>
      </c>
      <c r="C39" s="1" t="s">
        <v>1358</v>
      </c>
      <c r="D39" s="1" t="s">
        <v>403</v>
      </c>
      <c r="E39" s="1" t="s">
        <v>1322</v>
      </c>
      <c r="F39" s="1" t="s">
        <v>1280</v>
      </c>
      <c r="G39" s="4">
        <v>46163</v>
      </c>
      <c r="H39" s="5">
        <v>0.80902777777777779</v>
      </c>
      <c r="I39" s="1" t="s">
        <v>1359</v>
      </c>
      <c r="J39" s="16" t="s">
        <v>1280</v>
      </c>
      <c r="K39" s="4">
        <v>46175</v>
      </c>
      <c r="L39" s="5">
        <v>0.41666666666666669</v>
      </c>
    </row>
    <row r="40" spans="1:12" x14ac:dyDescent="0.3">
      <c r="A40" s="1">
        <v>618586</v>
      </c>
      <c r="B40" t="s">
        <v>261</v>
      </c>
      <c r="C40" s="1" t="s">
        <v>1358</v>
      </c>
      <c r="D40" s="1" t="s">
        <v>403</v>
      </c>
      <c r="E40" s="1" t="s">
        <v>1322</v>
      </c>
      <c r="F40" s="1" t="s">
        <v>1280</v>
      </c>
      <c r="G40" s="4">
        <v>46163</v>
      </c>
      <c r="H40" s="5">
        <v>0.80902777777777779</v>
      </c>
      <c r="I40" s="1" t="s">
        <v>1359</v>
      </c>
      <c r="J40" s="16" t="s">
        <v>1280</v>
      </c>
      <c r="K40" s="4">
        <v>46175</v>
      </c>
      <c r="L40" s="5">
        <v>0.41666666666666669</v>
      </c>
    </row>
    <row r="41" spans="1:12" x14ac:dyDescent="0.3">
      <c r="A41" s="1">
        <v>524615</v>
      </c>
      <c r="B41" t="s">
        <v>261</v>
      </c>
      <c r="C41" s="1" t="s">
        <v>1468</v>
      </c>
      <c r="D41" s="1" t="s">
        <v>310</v>
      </c>
      <c r="E41" s="1" t="s">
        <v>1469</v>
      </c>
      <c r="F41" s="1" t="s">
        <v>1280</v>
      </c>
      <c r="G41" s="4">
        <v>46163</v>
      </c>
      <c r="H41" s="5">
        <v>0.4375</v>
      </c>
      <c r="I41" s="1" t="s">
        <v>1374</v>
      </c>
      <c r="J41" s="16" t="s">
        <v>1281</v>
      </c>
      <c r="K41" s="4">
        <v>46175</v>
      </c>
      <c r="L41" s="5">
        <v>0.64236111111111116</v>
      </c>
    </row>
    <row r="42" spans="1:12" x14ac:dyDescent="0.3">
      <c r="A42" s="1">
        <v>602879</v>
      </c>
      <c r="B42" t="s">
        <v>261</v>
      </c>
      <c r="C42" s="1" t="s">
        <v>1468</v>
      </c>
      <c r="D42" s="1" t="s">
        <v>310</v>
      </c>
      <c r="E42" s="1" t="s">
        <v>1469</v>
      </c>
      <c r="F42" s="1" t="s">
        <v>1280</v>
      </c>
      <c r="G42" s="4">
        <v>46163</v>
      </c>
      <c r="H42" s="5">
        <v>0.4375</v>
      </c>
      <c r="I42" s="1" t="s">
        <v>1374</v>
      </c>
      <c r="J42" s="16" t="s">
        <v>1281</v>
      </c>
      <c r="K42" s="4">
        <v>46175</v>
      </c>
      <c r="L42" s="5">
        <v>0.64236111111111116</v>
      </c>
    </row>
    <row r="43" spans="1:12" x14ac:dyDescent="0.3">
      <c r="A43" s="1">
        <v>288573</v>
      </c>
      <c r="B43" t="s">
        <v>261</v>
      </c>
      <c r="C43" s="1" t="s">
        <v>1362</v>
      </c>
      <c r="D43" s="1" t="s">
        <v>500</v>
      </c>
      <c r="E43" s="1" t="s">
        <v>1343</v>
      </c>
      <c r="F43" s="1" t="s">
        <v>1281</v>
      </c>
      <c r="G43" s="4">
        <v>46163</v>
      </c>
      <c r="H43" s="5">
        <v>0.88888888888888884</v>
      </c>
      <c r="I43" s="1" t="s">
        <v>1363</v>
      </c>
      <c r="J43" s="16" t="s">
        <v>1280</v>
      </c>
      <c r="K43" s="4">
        <v>46173</v>
      </c>
      <c r="L43" s="5">
        <v>0.29166666666666669</v>
      </c>
    </row>
    <row r="44" spans="1:12" x14ac:dyDescent="0.3">
      <c r="A44" s="1">
        <v>128717</v>
      </c>
      <c r="B44" t="s">
        <v>261</v>
      </c>
      <c r="C44" s="1" t="s">
        <v>1370</v>
      </c>
      <c r="D44" s="1" t="s">
        <v>598</v>
      </c>
      <c r="E44" s="1" t="s">
        <v>1371</v>
      </c>
      <c r="F44" s="1" t="s">
        <v>1281</v>
      </c>
      <c r="G44" s="4">
        <v>46163</v>
      </c>
      <c r="H44" s="5">
        <v>0.18402777777777779</v>
      </c>
      <c r="I44" s="1" t="s">
        <v>1372</v>
      </c>
      <c r="J44" s="16" t="s">
        <v>1280</v>
      </c>
      <c r="K44" s="4">
        <v>46173</v>
      </c>
      <c r="L44" s="5">
        <v>6.25E-2</v>
      </c>
    </row>
    <row r="45" spans="1:12" x14ac:dyDescent="0.3">
      <c r="A45" s="1">
        <v>826259</v>
      </c>
      <c r="B45" t="s">
        <v>261</v>
      </c>
      <c r="C45" s="1" t="s">
        <v>1394</v>
      </c>
      <c r="D45" s="1" t="s">
        <v>338</v>
      </c>
      <c r="E45" s="1" t="s">
        <v>1395</v>
      </c>
      <c r="F45" s="1" t="s">
        <v>1280</v>
      </c>
      <c r="G45" s="4">
        <v>46163</v>
      </c>
      <c r="H45" s="5">
        <v>0.53819444444444442</v>
      </c>
      <c r="I45" s="1" t="s">
        <v>1396</v>
      </c>
      <c r="J45" s="16" t="s">
        <v>1281</v>
      </c>
      <c r="K45" s="4">
        <v>46175</v>
      </c>
      <c r="L45" s="5">
        <v>0.25694444444444442</v>
      </c>
    </row>
    <row r="46" spans="1:12" x14ac:dyDescent="0.3">
      <c r="A46" s="1">
        <v>136751</v>
      </c>
      <c r="B46" t="s">
        <v>261</v>
      </c>
      <c r="C46" s="1" t="s">
        <v>1399</v>
      </c>
      <c r="D46" s="1" t="s">
        <v>346</v>
      </c>
      <c r="E46" s="1" t="s">
        <v>1400</v>
      </c>
      <c r="F46" s="1" t="s">
        <v>1280</v>
      </c>
      <c r="G46" s="4">
        <v>46163</v>
      </c>
      <c r="H46" s="5">
        <v>0.95486111111111116</v>
      </c>
      <c r="I46" s="1" t="s">
        <v>1298</v>
      </c>
      <c r="J46" s="16" t="s">
        <v>1281</v>
      </c>
      <c r="K46" s="4">
        <v>46175</v>
      </c>
      <c r="L46" s="5">
        <v>0.21527777777777779</v>
      </c>
    </row>
    <row r="47" spans="1:12" x14ac:dyDescent="0.3">
      <c r="A47" s="1">
        <v>780675</v>
      </c>
      <c r="B47" t="s">
        <v>261</v>
      </c>
      <c r="C47" s="1" t="s">
        <v>1393</v>
      </c>
      <c r="D47" s="1" t="s">
        <v>361</v>
      </c>
      <c r="E47" s="1" t="s">
        <v>1379</v>
      </c>
      <c r="F47" s="1" t="s">
        <v>1280</v>
      </c>
      <c r="G47" s="4">
        <v>46160</v>
      </c>
      <c r="H47" s="5">
        <v>0.79166666666666663</v>
      </c>
      <c r="I47" s="1" t="s">
        <v>1380</v>
      </c>
      <c r="J47" s="16" t="s">
        <v>1280</v>
      </c>
      <c r="K47" s="4">
        <v>46173</v>
      </c>
      <c r="L47" s="5">
        <v>7.9861111111111105E-2</v>
      </c>
    </row>
    <row r="48" spans="1:12" x14ac:dyDescent="0.3">
      <c r="A48" s="1">
        <v>806761</v>
      </c>
      <c r="B48" t="s">
        <v>261</v>
      </c>
      <c r="C48" s="1" t="s">
        <v>1393</v>
      </c>
      <c r="D48" s="1" t="s">
        <v>361</v>
      </c>
      <c r="E48" s="1" t="s">
        <v>1379</v>
      </c>
      <c r="F48" s="1" t="s">
        <v>1280</v>
      </c>
      <c r="G48" s="4">
        <v>46160</v>
      </c>
      <c r="H48" s="5">
        <v>0.79166666666666663</v>
      </c>
      <c r="I48" s="1" t="s">
        <v>1380</v>
      </c>
      <c r="J48" s="16" t="s">
        <v>1280</v>
      </c>
      <c r="K48" s="4">
        <v>46173</v>
      </c>
      <c r="L48" s="5">
        <v>7.9861111111111105E-2</v>
      </c>
    </row>
    <row r="49" spans="1:12" x14ac:dyDescent="0.3">
      <c r="A49" s="1">
        <v>784074</v>
      </c>
      <c r="B49" t="s">
        <v>261</v>
      </c>
      <c r="C49" s="1" t="s">
        <v>1454</v>
      </c>
      <c r="D49" s="1" t="s">
        <v>372</v>
      </c>
      <c r="E49" s="1" t="s">
        <v>1455</v>
      </c>
      <c r="F49" s="1" t="s">
        <v>1281</v>
      </c>
      <c r="G49" s="4">
        <v>46160</v>
      </c>
      <c r="H49" s="5">
        <v>0.67708333333333337</v>
      </c>
      <c r="I49" s="1" t="s">
        <v>1456</v>
      </c>
      <c r="J49" s="16" t="s">
        <v>1280</v>
      </c>
      <c r="K49" s="4">
        <v>46173</v>
      </c>
      <c r="L49" s="5">
        <v>0.3263888888888889</v>
      </c>
    </row>
    <row r="50" spans="1:12" x14ac:dyDescent="0.3">
      <c r="A50" s="1">
        <v>785495</v>
      </c>
      <c r="B50" t="s">
        <v>261</v>
      </c>
      <c r="C50" s="1" t="s">
        <v>1454</v>
      </c>
      <c r="D50" s="1" t="s">
        <v>372</v>
      </c>
      <c r="E50" s="1" t="s">
        <v>1455</v>
      </c>
      <c r="F50" s="1" t="s">
        <v>1281</v>
      </c>
      <c r="G50" s="4">
        <v>46160</v>
      </c>
      <c r="H50" s="5">
        <v>0.67708333333333337</v>
      </c>
      <c r="I50" s="1" t="s">
        <v>1456</v>
      </c>
      <c r="J50" s="16" t="s">
        <v>1280</v>
      </c>
      <c r="K50" s="4">
        <v>46173</v>
      </c>
      <c r="L50" s="5">
        <v>0.3263888888888889</v>
      </c>
    </row>
    <row r="51" spans="1:12" x14ac:dyDescent="0.3">
      <c r="A51" s="1">
        <v>90379</v>
      </c>
      <c r="B51" t="s">
        <v>261</v>
      </c>
      <c r="C51" s="1" t="s">
        <v>1470</v>
      </c>
      <c r="D51" s="1" t="s">
        <v>378</v>
      </c>
      <c r="E51" s="1" t="s">
        <v>1308</v>
      </c>
      <c r="F51" s="1" t="s">
        <v>1281</v>
      </c>
      <c r="G51" s="4">
        <v>46163</v>
      </c>
      <c r="H51" s="5">
        <v>0.78472222222222221</v>
      </c>
      <c r="I51" s="1" t="s">
        <v>1320</v>
      </c>
      <c r="J51" s="16" t="s">
        <v>1280</v>
      </c>
      <c r="K51" s="4">
        <v>46173</v>
      </c>
      <c r="L51" s="5">
        <v>0.29166666666666669</v>
      </c>
    </row>
    <row r="52" spans="1:12" x14ac:dyDescent="0.3">
      <c r="A52" s="1">
        <v>791046</v>
      </c>
      <c r="B52" t="s">
        <v>261</v>
      </c>
      <c r="C52" s="1" t="s">
        <v>1397</v>
      </c>
      <c r="D52" s="1" t="s">
        <v>408</v>
      </c>
      <c r="E52" s="1" t="s">
        <v>1340</v>
      </c>
      <c r="F52" s="1" t="s">
        <v>1281</v>
      </c>
      <c r="G52" s="4">
        <v>46163</v>
      </c>
      <c r="H52" s="5">
        <v>0.13541666666666666</v>
      </c>
      <c r="I52" s="1" t="s">
        <v>1398</v>
      </c>
      <c r="J52" s="16" t="s">
        <v>1281</v>
      </c>
      <c r="K52" s="4">
        <v>46179</v>
      </c>
      <c r="L52" s="5">
        <v>0.19791666666666666</v>
      </c>
    </row>
    <row r="53" spans="1:12" x14ac:dyDescent="0.3">
      <c r="A53" s="1">
        <v>616963</v>
      </c>
      <c r="B53" t="s">
        <v>261</v>
      </c>
      <c r="C53" s="1" t="s">
        <v>1471</v>
      </c>
      <c r="D53" s="1" t="s">
        <v>398</v>
      </c>
      <c r="E53" s="1" t="s">
        <v>1400</v>
      </c>
      <c r="F53" s="1" t="s">
        <v>1280</v>
      </c>
      <c r="G53" s="4">
        <v>46163</v>
      </c>
      <c r="H53" s="5">
        <v>0.95486111111111116</v>
      </c>
      <c r="I53" s="1" t="s">
        <v>1472</v>
      </c>
      <c r="J53" s="16" t="s">
        <v>1280</v>
      </c>
      <c r="K53" s="4">
        <v>46175</v>
      </c>
      <c r="L53" s="5">
        <v>0.58333333333333337</v>
      </c>
    </row>
    <row r="54" spans="1:12" x14ac:dyDescent="0.3">
      <c r="A54" s="1">
        <v>310986</v>
      </c>
      <c r="B54" t="s">
        <v>261</v>
      </c>
      <c r="C54" s="1" t="s">
        <v>1397</v>
      </c>
      <c r="D54" s="1" t="s">
        <v>408</v>
      </c>
      <c r="E54" s="1" t="s">
        <v>1340</v>
      </c>
      <c r="F54" s="1" t="s">
        <v>1281</v>
      </c>
      <c r="G54" s="4">
        <v>46163</v>
      </c>
      <c r="H54" s="5">
        <v>0.13541666666666666</v>
      </c>
      <c r="I54" s="1" t="s">
        <v>1398</v>
      </c>
      <c r="J54" s="16" t="s">
        <v>1281</v>
      </c>
      <c r="K54" s="4">
        <v>46179</v>
      </c>
      <c r="L54" s="5">
        <v>0.19791666666666666</v>
      </c>
    </row>
    <row r="55" spans="1:12" x14ac:dyDescent="0.3">
      <c r="A55" s="1">
        <v>617094</v>
      </c>
      <c r="B55" t="s">
        <v>261</v>
      </c>
      <c r="C55" s="1" t="s">
        <v>1471</v>
      </c>
      <c r="D55" s="1" t="s">
        <v>398</v>
      </c>
      <c r="E55" s="1" t="s">
        <v>1400</v>
      </c>
      <c r="F55" s="1" t="s">
        <v>1280</v>
      </c>
      <c r="G55" s="4">
        <v>46163</v>
      </c>
      <c r="H55" s="5">
        <v>0.95486111111111116</v>
      </c>
      <c r="I55" s="1" t="s">
        <v>1472</v>
      </c>
      <c r="J55" s="16" t="s">
        <v>1280</v>
      </c>
      <c r="K55" s="4">
        <v>46175</v>
      </c>
      <c r="L55" s="5">
        <v>0.58333333333333337</v>
      </c>
    </row>
    <row r="56" spans="1:12" x14ac:dyDescent="0.3">
      <c r="A56" s="1">
        <v>690848</v>
      </c>
      <c r="B56" t="s">
        <v>261</v>
      </c>
      <c r="C56" s="1" t="s">
        <v>1401</v>
      </c>
      <c r="D56" s="1" t="s">
        <v>420</v>
      </c>
      <c r="E56" s="1" t="s">
        <v>1402</v>
      </c>
      <c r="F56" s="1" t="s">
        <v>1280</v>
      </c>
      <c r="G56" s="4">
        <v>46160</v>
      </c>
      <c r="H56" s="5">
        <v>0.81944444444444442</v>
      </c>
      <c r="I56" s="1" t="s">
        <v>1403</v>
      </c>
      <c r="J56" s="16" t="s">
        <v>1280</v>
      </c>
      <c r="K56" s="4">
        <v>46173</v>
      </c>
      <c r="L56" s="5">
        <v>0.57986111111111116</v>
      </c>
    </row>
    <row r="57" spans="1:12" x14ac:dyDescent="0.3">
      <c r="A57" s="1">
        <v>220723</v>
      </c>
      <c r="B57" t="s">
        <v>261</v>
      </c>
      <c r="C57" s="1" t="s">
        <v>1401</v>
      </c>
      <c r="D57" s="1" t="s">
        <v>420</v>
      </c>
      <c r="E57" s="1" t="s">
        <v>1402</v>
      </c>
      <c r="F57" s="1" t="s">
        <v>1280</v>
      </c>
      <c r="G57" s="4">
        <v>46160</v>
      </c>
      <c r="H57" s="5">
        <v>0.81944444444444442</v>
      </c>
      <c r="I57" s="1" t="s">
        <v>1403</v>
      </c>
      <c r="J57" s="16" t="s">
        <v>1280</v>
      </c>
      <c r="K57" s="4">
        <v>46173</v>
      </c>
      <c r="L57" s="5">
        <v>0.57986111111111116</v>
      </c>
    </row>
    <row r="58" spans="1:12" x14ac:dyDescent="0.3">
      <c r="A58" s="1">
        <v>543110</v>
      </c>
      <c r="B58" t="s">
        <v>261</v>
      </c>
      <c r="C58" s="1" t="s">
        <v>1473</v>
      </c>
      <c r="D58" s="1" t="s">
        <v>444</v>
      </c>
      <c r="E58" s="1" t="s">
        <v>1474</v>
      </c>
      <c r="F58" s="1" t="s">
        <v>1281</v>
      </c>
      <c r="G58" s="4">
        <v>46163</v>
      </c>
      <c r="H58" s="5">
        <v>0.98611111111111116</v>
      </c>
      <c r="I58" s="1" t="s">
        <v>1475</v>
      </c>
      <c r="J58" s="16" t="s">
        <v>1281</v>
      </c>
      <c r="K58" s="4">
        <v>46173</v>
      </c>
      <c r="L58" s="5">
        <v>0.22222222222222221</v>
      </c>
    </row>
    <row r="59" spans="1:12" x14ac:dyDescent="0.3">
      <c r="A59" s="1">
        <v>793722</v>
      </c>
      <c r="B59" t="s">
        <v>261</v>
      </c>
      <c r="C59" s="1" t="s">
        <v>1473</v>
      </c>
      <c r="D59" s="1" t="s">
        <v>444</v>
      </c>
      <c r="E59" s="1" t="s">
        <v>1474</v>
      </c>
      <c r="F59" s="1" t="s">
        <v>1281</v>
      </c>
      <c r="G59" s="4">
        <v>46163</v>
      </c>
      <c r="H59" s="5">
        <v>0.98611111111111116</v>
      </c>
      <c r="I59" s="1" t="s">
        <v>1475</v>
      </c>
      <c r="J59" s="16" t="s">
        <v>1281</v>
      </c>
      <c r="K59" s="4">
        <v>46173</v>
      </c>
      <c r="L59" s="5">
        <v>0.22222222222222221</v>
      </c>
    </row>
    <row r="60" spans="1:12" x14ac:dyDescent="0.3">
      <c r="A60" s="1">
        <v>794297</v>
      </c>
      <c r="B60" t="s">
        <v>261</v>
      </c>
      <c r="C60" s="1" t="s">
        <v>1465</v>
      </c>
      <c r="D60" s="1" t="s">
        <v>586</v>
      </c>
      <c r="E60" s="1" t="s">
        <v>1455</v>
      </c>
      <c r="F60" s="1" t="s">
        <v>1281</v>
      </c>
      <c r="G60" s="4">
        <v>46163</v>
      </c>
      <c r="H60" s="5">
        <v>0.67708333333333337</v>
      </c>
      <c r="I60" s="1" t="s">
        <v>1346</v>
      </c>
      <c r="J60" s="16" t="s">
        <v>1280</v>
      </c>
      <c r="K60" s="4">
        <v>46173</v>
      </c>
      <c r="L60" s="5">
        <v>0.20833333333333334</v>
      </c>
    </row>
    <row r="61" spans="1:12" x14ac:dyDescent="0.3">
      <c r="A61" s="1">
        <v>876970</v>
      </c>
      <c r="B61" t="s">
        <v>261</v>
      </c>
      <c r="C61" s="1" t="s">
        <v>1333</v>
      </c>
      <c r="D61" s="1" t="s">
        <v>607</v>
      </c>
      <c r="E61" s="1" t="s">
        <v>1334</v>
      </c>
      <c r="F61" s="1" t="s">
        <v>1280</v>
      </c>
      <c r="G61" s="4">
        <v>46163</v>
      </c>
      <c r="H61" s="5">
        <v>0.15277777777777779</v>
      </c>
      <c r="I61" s="1" t="s">
        <v>1335</v>
      </c>
      <c r="J61" s="16" t="s">
        <v>1281</v>
      </c>
      <c r="K61" s="4">
        <v>46175</v>
      </c>
      <c r="L61" s="5">
        <v>3.8194444444444448E-2</v>
      </c>
    </row>
    <row r="62" spans="1:12" x14ac:dyDescent="0.3">
      <c r="A62" s="1">
        <v>877004</v>
      </c>
      <c r="B62" t="s">
        <v>261</v>
      </c>
      <c r="C62" s="1" t="s">
        <v>1333</v>
      </c>
      <c r="D62" s="1" t="s">
        <v>607</v>
      </c>
      <c r="E62" s="1" t="s">
        <v>1334</v>
      </c>
      <c r="F62" s="1" t="s">
        <v>1280</v>
      </c>
      <c r="G62" s="4">
        <v>46163</v>
      </c>
      <c r="H62" s="5">
        <v>0.15277777777777779</v>
      </c>
      <c r="I62" s="1" t="s">
        <v>1335</v>
      </c>
      <c r="J62" s="16" t="s">
        <v>1281</v>
      </c>
      <c r="K62" s="4">
        <v>46175</v>
      </c>
      <c r="L62" s="5">
        <v>3.8194444444444448E-2</v>
      </c>
    </row>
    <row r="63" spans="1:12" x14ac:dyDescent="0.3">
      <c r="A63" s="1">
        <v>689744</v>
      </c>
      <c r="B63" t="s">
        <v>261</v>
      </c>
      <c r="C63" s="1" t="s">
        <v>1360</v>
      </c>
      <c r="D63" s="1" t="s">
        <v>618</v>
      </c>
      <c r="E63" s="1" t="s">
        <v>1343</v>
      </c>
      <c r="F63" s="1" t="s">
        <v>1281</v>
      </c>
      <c r="G63" s="4">
        <v>46163</v>
      </c>
      <c r="H63" s="5">
        <v>0.88888888888888884</v>
      </c>
      <c r="I63" s="1" t="s">
        <v>1298</v>
      </c>
      <c r="J63" s="16" t="s">
        <v>1281</v>
      </c>
      <c r="K63" s="4">
        <v>46173</v>
      </c>
      <c r="L63" s="5">
        <v>0.21527777777777779</v>
      </c>
    </row>
    <row r="64" spans="1:12" x14ac:dyDescent="0.3">
      <c r="A64" s="1">
        <v>689751</v>
      </c>
      <c r="B64" t="s">
        <v>261</v>
      </c>
      <c r="C64" s="1" t="s">
        <v>1360</v>
      </c>
      <c r="D64" s="1" t="s">
        <v>618</v>
      </c>
      <c r="E64" s="1" t="s">
        <v>1343</v>
      </c>
      <c r="F64" s="1" t="s">
        <v>1281</v>
      </c>
      <c r="G64" s="4">
        <v>46163</v>
      </c>
      <c r="H64" s="5">
        <v>0.88888888888888884</v>
      </c>
      <c r="I64" s="1" t="s">
        <v>1298</v>
      </c>
      <c r="J64" s="16" t="s">
        <v>1281</v>
      </c>
      <c r="K64" s="4">
        <v>46173</v>
      </c>
      <c r="L64" s="5">
        <v>0.21527777777777779</v>
      </c>
    </row>
    <row r="65" spans="1:12" x14ac:dyDescent="0.3">
      <c r="A65" s="1">
        <v>605172</v>
      </c>
      <c r="B65" t="s">
        <v>261</v>
      </c>
      <c r="C65" s="1" t="s">
        <v>1327</v>
      </c>
      <c r="D65" s="1" t="s">
        <v>625</v>
      </c>
      <c r="E65" s="1" t="s">
        <v>1328</v>
      </c>
      <c r="F65" s="1" t="s">
        <v>1281</v>
      </c>
      <c r="G65" s="4">
        <v>46163</v>
      </c>
      <c r="H65" s="5">
        <v>1.7361111111111112E-2</v>
      </c>
      <c r="I65" s="1" t="s">
        <v>1329</v>
      </c>
      <c r="J65" s="16" t="s">
        <v>1280</v>
      </c>
      <c r="K65" s="4">
        <v>46179</v>
      </c>
      <c r="L65" s="5">
        <v>0.54166666666666663</v>
      </c>
    </row>
    <row r="66" spans="1:12" x14ac:dyDescent="0.3">
      <c r="A66" s="1">
        <v>606294</v>
      </c>
      <c r="B66" t="s">
        <v>261</v>
      </c>
      <c r="C66" s="1" t="s">
        <v>1327</v>
      </c>
      <c r="D66" s="1" t="s">
        <v>625</v>
      </c>
      <c r="E66" s="1" t="s">
        <v>1328</v>
      </c>
      <c r="F66" s="1" t="s">
        <v>1281</v>
      </c>
      <c r="G66" s="4">
        <v>46163</v>
      </c>
      <c r="H66" s="5">
        <v>1.7361111111111112E-2</v>
      </c>
      <c r="I66" s="1" t="s">
        <v>1329</v>
      </c>
      <c r="J66" s="16" t="s">
        <v>1280</v>
      </c>
      <c r="K66" s="4">
        <v>46179</v>
      </c>
      <c r="L66" s="5">
        <v>0.54166666666666663</v>
      </c>
    </row>
    <row r="67" spans="1:12" x14ac:dyDescent="0.3">
      <c r="A67" s="1">
        <v>792890</v>
      </c>
      <c r="B67" t="s">
        <v>261</v>
      </c>
      <c r="C67" s="1" t="s">
        <v>1344</v>
      </c>
      <c r="D67" s="1" t="s">
        <v>637</v>
      </c>
      <c r="E67" s="1" t="s">
        <v>1345</v>
      </c>
      <c r="F67" s="1" t="s">
        <v>1281</v>
      </c>
      <c r="G67" s="4">
        <v>46163</v>
      </c>
      <c r="H67" s="5">
        <v>0.99652777777777779</v>
      </c>
      <c r="I67" s="1" t="s">
        <v>1346</v>
      </c>
      <c r="J67" s="16" t="s">
        <v>1280</v>
      </c>
      <c r="K67" s="4">
        <v>46173</v>
      </c>
      <c r="L67" s="5">
        <v>0.20833333333333334</v>
      </c>
    </row>
    <row r="68" spans="1:12" x14ac:dyDescent="0.3">
      <c r="A68" s="1">
        <v>792950</v>
      </c>
      <c r="B68" t="s">
        <v>261</v>
      </c>
      <c r="C68" s="1" t="s">
        <v>1344</v>
      </c>
      <c r="D68" s="1" t="s">
        <v>637</v>
      </c>
      <c r="E68" s="1" t="s">
        <v>1345</v>
      </c>
      <c r="F68" s="1" t="s">
        <v>1281</v>
      </c>
      <c r="G68" s="4">
        <v>46163</v>
      </c>
      <c r="H68" s="5">
        <v>0.99652777777777779</v>
      </c>
      <c r="I68" s="1" t="s">
        <v>1346</v>
      </c>
      <c r="J68" s="16" t="s">
        <v>1280</v>
      </c>
      <c r="K68" s="4">
        <v>46173</v>
      </c>
      <c r="L68" s="5">
        <v>0.20833333333333334</v>
      </c>
    </row>
    <row r="69" spans="1:12" x14ac:dyDescent="0.3">
      <c r="A69" s="1">
        <v>792989</v>
      </c>
      <c r="B69" t="s">
        <v>261</v>
      </c>
      <c r="C69" s="1" t="s">
        <v>1344</v>
      </c>
      <c r="D69" s="1" t="s">
        <v>637</v>
      </c>
      <c r="E69" s="1" t="s">
        <v>1345</v>
      </c>
      <c r="F69" s="1" t="s">
        <v>1281</v>
      </c>
      <c r="G69" s="4">
        <v>46163</v>
      </c>
      <c r="H69" s="5">
        <v>0.99652777777777779</v>
      </c>
      <c r="I69" s="1" t="s">
        <v>1346</v>
      </c>
      <c r="J69" s="16" t="s">
        <v>1280</v>
      </c>
      <c r="K69" s="4">
        <v>46173</v>
      </c>
      <c r="L69" s="5">
        <v>0.20833333333333334</v>
      </c>
    </row>
    <row r="70" spans="1:12" x14ac:dyDescent="0.3">
      <c r="A70" s="1">
        <v>425825</v>
      </c>
      <c r="B70" t="s">
        <v>261</v>
      </c>
      <c r="C70" s="1" t="s">
        <v>1336</v>
      </c>
      <c r="D70" s="1" t="s">
        <v>646</v>
      </c>
      <c r="E70" s="1" t="s">
        <v>1308</v>
      </c>
      <c r="F70" s="1" t="s">
        <v>1281</v>
      </c>
      <c r="G70" s="4">
        <v>46160</v>
      </c>
      <c r="H70" s="5">
        <v>0.78472222222222221</v>
      </c>
      <c r="I70" s="1" t="s">
        <v>1309</v>
      </c>
      <c r="J70" s="16" t="s">
        <v>1280</v>
      </c>
      <c r="K70" s="4">
        <v>46173</v>
      </c>
      <c r="L70" s="5">
        <v>0.3125</v>
      </c>
    </row>
    <row r="71" spans="1:12" x14ac:dyDescent="0.3">
      <c r="A71" s="1">
        <v>425860</v>
      </c>
      <c r="B71" t="s">
        <v>261</v>
      </c>
      <c r="C71" s="1" t="s">
        <v>1336</v>
      </c>
      <c r="D71" s="1" t="s">
        <v>646</v>
      </c>
      <c r="E71" s="1" t="s">
        <v>1308</v>
      </c>
      <c r="F71" s="1" t="s">
        <v>1281</v>
      </c>
      <c r="G71" s="4">
        <v>46160</v>
      </c>
      <c r="H71" s="5">
        <v>0.78472222222222221</v>
      </c>
      <c r="I71" s="1" t="s">
        <v>1309</v>
      </c>
      <c r="J71" s="16" t="s">
        <v>1280</v>
      </c>
      <c r="K71" s="4">
        <v>46173</v>
      </c>
      <c r="L71" s="5">
        <v>0.3125</v>
      </c>
    </row>
    <row r="72" spans="1:12" x14ac:dyDescent="0.3">
      <c r="A72" s="1">
        <v>694359</v>
      </c>
      <c r="B72" t="s">
        <v>261</v>
      </c>
      <c r="C72" s="1" t="s">
        <v>1347</v>
      </c>
      <c r="D72" s="1" t="s">
        <v>652</v>
      </c>
      <c r="E72" s="1" t="s">
        <v>1348</v>
      </c>
      <c r="F72" s="1" t="s">
        <v>1281</v>
      </c>
      <c r="G72" s="4">
        <v>46163</v>
      </c>
      <c r="H72" s="5">
        <v>0.71180555555555558</v>
      </c>
      <c r="I72" s="1" t="s">
        <v>1349</v>
      </c>
      <c r="J72" s="16" t="s">
        <v>1280</v>
      </c>
      <c r="K72" s="4">
        <v>46173</v>
      </c>
      <c r="L72" s="5">
        <v>0.5</v>
      </c>
    </row>
    <row r="73" spans="1:12" x14ac:dyDescent="0.3">
      <c r="A73" s="1">
        <v>702637</v>
      </c>
      <c r="B73" t="s">
        <v>261</v>
      </c>
      <c r="C73" s="1" t="s">
        <v>1347</v>
      </c>
      <c r="D73" s="1" t="s">
        <v>652</v>
      </c>
      <c r="E73" s="1" t="s">
        <v>1348</v>
      </c>
      <c r="F73" s="1" t="s">
        <v>1281</v>
      </c>
      <c r="G73" s="4">
        <v>46163</v>
      </c>
      <c r="H73" s="5">
        <v>0.71180555555555558</v>
      </c>
      <c r="I73" s="1" t="s">
        <v>1349</v>
      </c>
      <c r="J73" s="16" t="s">
        <v>1280</v>
      </c>
      <c r="K73" s="4">
        <v>46173</v>
      </c>
      <c r="L73" s="5">
        <v>0.5</v>
      </c>
    </row>
    <row r="74" spans="1:12" x14ac:dyDescent="0.3">
      <c r="A74" s="1">
        <v>548574</v>
      </c>
      <c r="B74" t="s">
        <v>261</v>
      </c>
      <c r="C74" s="1" t="s">
        <v>1375</v>
      </c>
      <c r="D74" s="1" t="s">
        <v>664</v>
      </c>
      <c r="E74" s="1" t="s">
        <v>1376</v>
      </c>
      <c r="F74" s="1" t="s">
        <v>1281</v>
      </c>
      <c r="G74" s="4">
        <v>46161</v>
      </c>
      <c r="H74" s="5">
        <v>0.43055555555555558</v>
      </c>
      <c r="I74" s="1" t="s">
        <v>1377</v>
      </c>
      <c r="J74" s="16" t="s">
        <v>1280</v>
      </c>
      <c r="K74" s="4">
        <v>46173</v>
      </c>
      <c r="L74" s="5">
        <v>0.2361111111111111</v>
      </c>
    </row>
    <row r="75" spans="1:12" x14ac:dyDescent="0.3">
      <c r="A75" s="1">
        <v>850055</v>
      </c>
      <c r="B75" t="s">
        <v>261</v>
      </c>
      <c r="C75" s="1" t="s">
        <v>1364</v>
      </c>
      <c r="D75" s="1" t="s">
        <v>685</v>
      </c>
      <c r="E75" s="1" t="s">
        <v>1365</v>
      </c>
      <c r="F75" s="1" t="s">
        <v>1280</v>
      </c>
      <c r="G75" s="4">
        <v>46163</v>
      </c>
      <c r="H75" s="5">
        <v>0.91319444444444442</v>
      </c>
      <c r="I75" s="1" t="s">
        <v>1366</v>
      </c>
      <c r="J75" s="16" t="s">
        <v>1281</v>
      </c>
      <c r="K75" s="4">
        <v>46175</v>
      </c>
      <c r="L75" s="5">
        <v>0.71875</v>
      </c>
    </row>
    <row r="76" spans="1:12" x14ac:dyDescent="0.3">
      <c r="A76" s="1">
        <v>850078</v>
      </c>
      <c r="B76" t="s">
        <v>261</v>
      </c>
      <c r="C76" s="1" t="s">
        <v>1364</v>
      </c>
      <c r="D76" s="1" t="s">
        <v>685</v>
      </c>
      <c r="E76" s="1" t="s">
        <v>1365</v>
      </c>
      <c r="F76" s="1" t="s">
        <v>1280</v>
      </c>
      <c r="G76" s="4">
        <v>46163</v>
      </c>
      <c r="H76" s="5">
        <v>0.91319444444444442</v>
      </c>
      <c r="I76" s="1" t="s">
        <v>1366</v>
      </c>
      <c r="J76" s="16" t="s">
        <v>1281</v>
      </c>
      <c r="K76" s="4">
        <v>46175</v>
      </c>
      <c r="L76" s="5">
        <v>0.71875</v>
      </c>
    </row>
    <row r="77" spans="1:12" x14ac:dyDescent="0.3">
      <c r="A77" s="1">
        <v>478601</v>
      </c>
      <c r="B77" t="s">
        <v>261</v>
      </c>
      <c r="C77" s="1" t="s">
        <v>1367</v>
      </c>
      <c r="D77" s="1" t="s">
        <v>690</v>
      </c>
      <c r="E77" s="1" t="s">
        <v>1368</v>
      </c>
      <c r="F77" s="1" t="s">
        <v>1280</v>
      </c>
      <c r="G77" s="4">
        <v>46160</v>
      </c>
      <c r="H77" s="5">
        <v>0.63888888888888884</v>
      </c>
      <c r="I77" s="1" t="s">
        <v>1369</v>
      </c>
      <c r="J77" s="16" t="s">
        <v>1280</v>
      </c>
      <c r="K77" s="4">
        <v>46173</v>
      </c>
      <c r="L77" s="5">
        <v>0.25</v>
      </c>
    </row>
    <row r="78" spans="1:12" x14ac:dyDescent="0.3">
      <c r="A78" s="1">
        <v>125991</v>
      </c>
      <c r="B78" t="s">
        <v>261</v>
      </c>
      <c r="C78" s="1" t="s">
        <v>1408</v>
      </c>
      <c r="D78" s="1" t="s">
        <v>700</v>
      </c>
      <c r="E78" s="1" t="s">
        <v>1400</v>
      </c>
      <c r="F78" s="1" t="s">
        <v>1280</v>
      </c>
      <c r="G78" s="4">
        <v>46163</v>
      </c>
      <c r="H78" s="5">
        <v>0.95486111111111116</v>
      </c>
      <c r="I78" s="1" t="s">
        <v>1359</v>
      </c>
      <c r="J78" s="16" t="s">
        <v>1280</v>
      </c>
      <c r="K78" s="4">
        <v>46175</v>
      </c>
      <c r="L78" s="5">
        <v>0.41666666666666669</v>
      </c>
    </row>
    <row r="79" spans="1:12" x14ac:dyDescent="0.3">
      <c r="A79" s="1">
        <v>707618</v>
      </c>
      <c r="B79" t="s">
        <v>261</v>
      </c>
      <c r="C79" s="1" t="s">
        <v>1391</v>
      </c>
      <c r="D79" s="1" t="s">
        <v>708</v>
      </c>
      <c r="E79" s="1" t="s">
        <v>1392</v>
      </c>
      <c r="F79" s="1" t="s">
        <v>1280</v>
      </c>
      <c r="G79" s="4">
        <v>46165</v>
      </c>
      <c r="H79" s="5">
        <v>3.8194444444444448E-2</v>
      </c>
      <c r="I79" s="1" t="s">
        <v>1292</v>
      </c>
      <c r="J79" s="16" t="s">
        <v>1280</v>
      </c>
      <c r="K79" s="4">
        <v>46173</v>
      </c>
      <c r="L79" s="5">
        <v>2.7777777777777776E-2</v>
      </c>
    </row>
    <row r="80" spans="1:12" x14ac:dyDescent="0.3">
      <c r="A80" s="1">
        <v>707681</v>
      </c>
      <c r="B80" t="s">
        <v>261</v>
      </c>
      <c r="C80" s="1" t="s">
        <v>1391</v>
      </c>
      <c r="D80" s="1" t="s">
        <v>708</v>
      </c>
      <c r="E80" s="1" t="s">
        <v>1392</v>
      </c>
      <c r="F80" s="1" t="s">
        <v>1280</v>
      </c>
      <c r="G80" s="4">
        <v>46165</v>
      </c>
      <c r="H80" s="5">
        <v>3.8194444444444448E-2</v>
      </c>
      <c r="I80" s="1" t="s">
        <v>1292</v>
      </c>
      <c r="J80" s="16" t="s">
        <v>1280</v>
      </c>
      <c r="K80" s="4">
        <v>46173</v>
      </c>
      <c r="L80" s="5">
        <v>2.7777777777777776E-2</v>
      </c>
    </row>
    <row r="81" spans="1:12" x14ac:dyDescent="0.3">
      <c r="A81" s="1">
        <v>708367</v>
      </c>
      <c r="B81" t="s">
        <v>261</v>
      </c>
      <c r="C81" s="1" t="s">
        <v>1391</v>
      </c>
      <c r="D81" s="1" t="s">
        <v>708</v>
      </c>
      <c r="E81" s="1" t="s">
        <v>1392</v>
      </c>
      <c r="F81" s="1" t="s">
        <v>1280</v>
      </c>
      <c r="G81" s="4">
        <v>46165</v>
      </c>
      <c r="H81" s="5">
        <v>3.8194444444444448E-2</v>
      </c>
      <c r="I81" s="1" t="s">
        <v>1292</v>
      </c>
      <c r="J81" s="16" t="s">
        <v>1280</v>
      </c>
      <c r="K81" s="4">
        <v>46173</v>
      </c>
      <c r="L81" s="5">
        <v>2.7777777777777776E-2</v>
      </c>
    </row>
    <row r="82" spans="1:12" x14ac:dyDescent="0.3">
      <c r="A82" s="1">
        <v>714052</v>
      </c>
      <c r="B82" t="s">
        <v>261</v>
      </c>
      <c r="C82" s="1" t="s">
        <v>1391</v>
      </c>
      <c r="D82" s="1" t="s">
        <v>708</v>
      </c>
      <c r="E82" s="1" t="s">
        <v>1392</v>
      </c>
      <c r="F82" s="1" t="s">
        <v>1280</v>
      </c>
      <c r="G82" s="4">
        <v>46165</v>
      </c>
      <c r="H82" s="5">
        <v>3.8194444444444448E-2</v>
      </c>
      <c r="I82" s="1" t="s">
        <v>1292</v>
      </c>
      <c r="J82" s="16" t="s">
        <v>1280</v>
      </c>
      <c r="K82" s="4">
        <v>46173</v>
      </c>
      <c r="L82" s="5">
        <v>2.7777777777777776E-2</v>
      </c>
    </row>
    <row r="83" spans="1:12" x14ac:dyDescent="0.3">
      <c r="A83" s="1">
        <v>714083</v>
      </c>
      <c r="B83" t="s">
        <v>261</v>
      </c>
      <c r="C83" s="1" t="s">
        <v>1391</v>
      </c>
      <c r="D83" s="1" t="s">
        <v>708</v>
      </c>
      <c r="E83" s="1" t="s">
        <v>1392</v>
      </c>
      <c r="F83" s="1" t="s">
        <v>1280</v>
      </c>
      <c r="G83" s="4">
        <v>46165</v>
      </c>
      <c r="H83" s="5">
        <v>3.8194444444444448E-2</v>
      </c>
      <c r="I83" s="1" t="s">
        <v>1292</v>
      </c>
      <c r="J83" s="16" t="s">
        <v>1280</v>
      </c>
      <c r="K83" s="4">
        <v>46173</v>
      </c>
      <c r="L83" s="5">
        <v>2.7777777777777776E-2</v>
      </c>
    </row>
    <row r="84" spans="1:12" x14ac:dyDescent="0.3">
      <c r="A84" s="1">
        <v>714668</v>
      </c>
      <c r="B84" t="s">
        <v>261</v>
      </c>
      <c r="C84" s="1" t="s">
        <v>1391</v>
      </c>
      <c r="D84" s="1" t="s">
        <v>708</v>
      </c>
      <c r="E84" s="1" t="s">
        <v>1392</v>
      </c>
      <c r="F84" s="1" t="s">
        <v>1280</v>
      </c>
      <c r="G84" s="4">
        <v>46165</v>
      </c>
      <c r="H84" s="5">
        <v>3.8194444444444448E-2</v>
      </c>
      <c r="I84" s="1" t="s">
        <v>1292</v>
      </c>
      <c r="J84" s="16" t="s">
        <v>1280</v>
      </c>
      <c r="K84" s="4">
        <v>46173</v>
      </c>
      <c r="L84" s="5">
        <v>2.7777777777777776E-2</v>
      </c>
    </row>
    <row r="85" spans="1:12" x14ac:dyDescent="0.3">
      <c r="A85" s="1">
        <v>544594</v>
      </c>
      <c r="B85" t="s">
        <v>261</v>
      </c>
      <c r="C85" s="1" t="s">
        <v>1378</v>
      </c>
      <c r="D85" s="1" t="s">
        <v>723</v>
      </c>
      <c r="E85" s="1" t="s">
        <v>1379</v>
      </c>
      <c r="F85" s="1" t="s">
        <v>1280</v>
      </c>
      <c r="G85" s="4">
        <v>46160</v>
      </c>
      <c r="H85" s="5">
        <v>0.79166666666666663</v>
      </c>
      <c r="I85" s="1" t="s">
        <v>1380</v>
      </c>
      <c r="J85" s="16" t="s">
        <v>1280</v>
      </c>
      <c r="K85" s="4">
        <v>46173</v>
      </c>
      <c r="L85" s="5">
        <v>7.9861111111111105E-2</v>
      </c>
    </row>
    <row r="86" spans="1:12" x14ac:dyDescent="0.3">
      <c r="A86" s="1">
        <v>544832</v>
      </c>
      <c r="B86" t="s">
        <v>261</v>
      </c>
      <c r="C86" s="1" t="s">
        <v>1378</v>
      </c>
      <c r="D86" s="1" t="s">
        <v>723</v>
      </c>
      <c r="E86" s="1" t="s">
        <v>1379</v>
      </c>
      <c r="F86" s="1" t="s">
        <v>1280</v>
      </c>
      <c r="G86" s="4">
        <v>46160</v>
      </c>
      <c r="H86" s="5">
        <v>0.79166666666666663</v>
      </c>
      <c r="I86" s="1" t="s">
        <v>1380</v>
      </c>
      <c r="J86" s="16" t="s">
        <v>1280</v>
      </c>
      <c r="K86" s="4">
        <v>46173</v>
      </c>
      <c r="L86" s="5">
        <v>7.9861111111111105E-2</v>
      </c>
    </row>
    <row r="87" spans="1:12" x14ac:dyDescent="0.3">
      <c r="A87" s="1">
        <v>549239</v>
      </c>
      <c r="B87" t="s">
        <v>261</v>
      </c>
      <c r="C87" s="1" t="s">
        <v>1404</v>
      </c>
      <c r="D87" s="1" t="s">
        <v>728</v>
      </c>
      <c r="E87" s="1" t="s">
        <v>1340</v>
      </c>
      <c r="F87" s="1" t="s">
        <v>1281</v>
      </c>
      <c r="G87" s="4">
        <v>46163</v>
      </c>
      <c r="H87" s="5">
        <v>0.13541666666666666</v>
      </c>
      <c r="I87" s="1" t="s">
        <v>1341</v>
      </c>
      <c r="J87" s="16" t="s">
        <v>1280</v>
      </c>
      <c r="K87" s="4">
        <v>46179</v>
      </c>
      <c r="L87" s="5">
        <v>0.2013888888888889</v>
      </c>
    </row>
    <row r="88" spans="1:12" x14ac:dyDescent="0.3">
      <c r="A88" s="1">
        <v>120872</v>
      </c>
      <c r="B88" t="s">
        <v>261</v>
      </c>
      <c r="C88" s="1" t="s">
        <v>1409</v>
      </c>
      <c r="D88" s="1" t="s">
        <v>740</v>
      </c>
      <c r="E88" s="1" t="s">
        <v>1400</v>
      </c>
      <c r="F88" s="1" t="s">
        <v>1280</v>
      </c>
      <c r="G88" s="4">
        <v>46163</v>
      </c>
      <c r="H88" s="5">
        <v>0.95486111111111116</v>
      </c>
      <c r="I88" s="1" t="s">
        <v>1359</v>
      </c>
      <c r="J88" s="16" t="s">
        <v>1280</v>
      </c>
      <c r="K88" s="4">
        <v>46175</v>
      </c>
      <c r="L88" s="5">
        <v>0.41666666666666669</v>
      </c>
    </row>
    <row r="89" spans="1:12" x14ac:dyDescent="0.3">
      <c r="A89" s="1">
        <v>717283</v>
      </c>
      <c r="B89" t="s">
        <v>261</v>
      </c>
      <c r="C89" s="1" t="s">
        <v>1407</v>
      </c>
      <c r="D89" s="1" t="s">
        <v>763</v>
      </c>
      <c r="E89" s="1" t="s">
        <v>1400</v>
      </c>
      <c r="F89" s="1" t="s">
        <v>1280</v>
      </c>
      <c r="G89" s="4">
        <v>46163</v>
      </c>
      <c r="H89" s="5">
        <v>0.95486111111111116</v>
      </c>
      <c r="I89" s="1" t="s">
        <v>1359</v>
      </c>
      <c r="J89" s="16" t="s">
        <v>1280</v>
      </c>
      <c r="K89" s="4">
        <v>46175</v>
      </c>
      <c r="L89" s="5">
        <v>0.41666666666666669</v>
      </c>
    </row>
    <row r="90" spans="1:12" x14ac:dyDescent="0.3">
      <c r="A90" s="1">
        <v>718689</v>
      </c>
      <c r="B90" t="s">
        <v>261</v>
      </c>
      <c r="C90" s="1" t="s">
        <v>1407</v>
      </c>
      <c r="D90" s="1" t="s">
        <v>763</v>
      </c>
      <c r="E90" s="1" t="s">
        <v>1400</v>
      </c>
      <c r="F90" s="1" t="s">
        <v>1280</v>
      </c>
      <c r="G90" s="4">
        <v>46163</v>
      </c>
      <c r="H90" s="5">
        <v>0.95486111111111116</v>
      </c>
      <c r="I90" s="1" t="s">
        <v>1359</v>
      </c>
      <c r="J90" s="16" t="s">
        <v>1280</v>
      </c>
      <c r="K90" s="4">
        <v>46175</v>
      </c>
      <c r="L90" s="5">
        <v>0.41666666666666669</v>
      </c>
    </row>
    <row r="91" spans="1:12" x14ac:dyDescent="0.3">
      <c r="A91" s="1">
        <v>796717</v>
      </c>
      <c r="B91" t="s">
        <v>261</v>
      </c>
      <c r="C91" s="1" t="s">
        <v>1381</v>
      </c>
      <c r="D91" s="1" t="s">
        <v>776</v>
      </c>
      <c r="E91" s="1" t="s">
        <v>1348</v>
      </c>
      <c r="F91" s="1" t="s">
        <v>1281</v>
      </c>
      <c r="G91" s="4">
        <v>46163</v>
      </c>
      <c r="H91" s="5">
        <v>0.71180555555555558</v>
      </c>
      <c r="I91" s="1" t="s">
        <v>1382</v>
      </c>
      <c r="J91" s="16" t="s">
        <v>1280</v>
      </c>
      <c r="K91" s="4">
        <v>46179</v>
      </c>
      <c r="L91" s="5">
        <v>0.64930555555555558</v>
      </c>
    </row>
    <row r="92" spans="1:12" x14ac:dyDescent="0.3">
      <c r="A92" s="1">
        <v>855672</v>
      </c>
      <c r="B92" t="s">
        <v>261</v>
      </c>
      <c r="C92" s="1" t="s">
        <v>1381</v>
      </c>
      <c r="D92" s="1" t="s">
        <v>776</v>
      </c>
      <c r="E92" s="1" t="s">
        <v>1348</v>
      </c>
      <c r="F92" s="1" t="s">
        <v>1281</v>
      </c>
      <c r="G92" s="4">
        <v>46163</v>
      </c>
      <c r="H92" s="5">
        <v>0.71180555555555558</v>
      </c>
      <c r="I92" s="1" t="s">
        <v>1382</v>
      </c>
      <c r="J92" s="16" t="s">
        <v>1280</v>
      </c>
      <c r="K92" s="4">
        <v>46179</v>
      </c>
      <c r="L92" s="5">
        <v>0.64930555555555558</v>
      </c>
    </row>
    <row r="93" spans="1:12" x14ac:dyDescent="0.3">
      <c r="A93" s="1">
        <v>619402</v>
      </c>
      <c r="B93" t="s">
        <v>261</v>
      </c>
      <c r="C93" s="1" t="s">
        <v>1383</v>
      </c>
      <c r="D93" s="1" t="s">
        <v>782</v>
      </c>
      <c r="E93" s="1" t="s">
        <v>1317</v>
      </c>
      <c r="F93" s="1" t="s">
        <v>1281</v>
      </c>
      <c r="G93" s="4">
        <v>46160</v>
      </c>
      <c r="H93" s="5">
        <v>0.67361111111111116</v>
      </c>
      <c r="I93" s="1" t="s">
        <v>1292</v>
      </c>
      <c r="J93" s="16" t="s">
        <v>1280</v>
      </c>
      <c r="K93" s="4">
        <v>46173</v>
      </c>
      <c r="L93" s="5">
        <v>2.7777777777777776E-2</v>
      </c>
    </row>
    <row r="94" spans="1:12" x14ac:dyDescent="0.3">
      <c r="A94" s="1">
        <v>660769</v>
      </c>
      <c r="B94" t="s">
        <v>261</v>
      </c>
      <c r="C94" s="1" t="s">
        <v>1384</v>
      </c>
      <c r="D94" s="1" t="s">
        <v>797</v>
      </c>
      <c r="E94" s="1" t="s">
        <v>1297</v>
      </c>
      <c r="F94" s="1" t="s">
        <v>1280</v>
      </c>
      <c r="G94" s="4">
        <v>46165</v>
      </c>
      <c r="H94" s="5">
        <v>0.54513888888888884</v>
      </c>
      <c r="I94" s="1" t="s">
        <v>1298</v>
      </c>
      <c r="J94" s="16" t="s">
        <v>1281</v>
      </c>
      <c r="K94" s="4">
        <v>46175</v>
      </c>
      <c r="L94" s="5">
        <v>0.21527777777777779</v>
      </c>
    </row>
    <row r="95" spans="1:12" x14ac:dyDescent="0.3">
      <c r="A95" s="1">
        <v>825912</v>
      </c>
      <c r="B95" t="s">
        <v>261</v>
      </c>
      <c r="C95" s="1" t="s">
        <v>1384</v>
      </c>
      <c r="D95" s="1" t="s">
        <v>797</v>
      </c>
      <c r="E95" s="1" t="s">
        <v>1297</v>
      </c>
      <c r="F95" s="1" t="s">
        <v>1280</v>
      </c>
      <c r="G95" s="4">
        <v>46165</v>
      </c>
      <c r="H95" s="5">
        <v>0.54513888888888884</v>
      </c>
      <c r="I95" s="1" t="s">
        <v>1298</v>
      </c>
      <c r="J95" s="16" t="s">
        <v>1281</v>
      </c>
      <c r="K95" s="4">
        <v>46175</v>
      </c>
      <c r="L95" s="5">
        <v>0.21527777777777779</v>
      </c>
    </row>
    <row r="96" spans="1:12" x14ac:dyDescent="0.3">
      <c r="A96" s="1">
        <v>791920</v>
      </c>
      <c r="B96" t="s">
        <v>261</v>
      </c>
      <c r="C96" s="1" t="s">
        <v>1373</v>
      </c>
      <c r="D96" s="1" t="s">
        <v>806</v>
      </c>
      <c r="E96" s="1" t="s">
        <v>1314</v>
      </c>
      <c r="F96" s="1" t="s">
        <v>1280</v>
      </c>
      <c r="G96" s="4">
        <v>46163</v>
      </c>
      <c r="H96" s="5">
        <v>0.16319444444444445</v>
      </c>
      <c r="I96" s="1" t="s">
        <v>1374</v>
      </c>
      <c r="J96" s="16" t="s">
        <v>1281</v>
      </c>
      <c r="K96" s="4">
        <v>46175</v>
      </c>
      <c r="L96" s="5">
        <v>0.64236111111111116</v>
      </c>
    </row>
    <row r="97" spans="1:12" x14ac:dyDescent="0.3">
      <c r="A97" s="1">
        <v>792005</v>
      </c>
      <c r="B97" t="s">
        <v>261</v>
      </c>
      <c r="C97" s="1" t="s">
        <v>1373</v>
      </c>
      <c r="D97" s="1" t="s">
        <v>806</v>
      </c>
      <c r="E97" s="1" t="s">
        <v>1314</v>
      </c>
      <c r="F97" s="1" t="s">
        <v>1280</v>
      </c>
      <c r="G97" s="4">
        <v>46163</v>
      </c>
      <c r="H97" s="5">
        <v>0.16319444444444445</v>
      </c>
      <c r="I97" s="1" t="s">
        <v>1374</v>
      </c>
      <c r="J97" s="16" t="s">
        <v>1281</v>
      </c>
      <c r="K97" s="4">
        <v>46175</v>
      </c>
      <c r="L97" s="5">
        <v>0.64236111111111116</v>
      </c>
    </row>
    <row r="98" spans="1:12" x14ac:dyDescent="0.3">
      <c r="A98" s="1">
        <v>525420</v>
      </c>
      <c r="B98" t="s">
        <v>261</v>
      </c>
      <c r="C98" s="1" t="s">
        <v>1385</v>
      </c>
      <c r="D98" s="1" t="s">
        <v>813</v>
      </c>
      <c r="E98" s="1" t="s">
        <v>1351</v>
      </c>
      <c r="F98" s="1" t="s">
        <v>1280</v>
      </c>
      <c r="G98" s="4">
        <v>46163</v>
      </c>
      <c r="H98" s="5">
        <v>0.28125</v>
      </c>
      <c r="I98" s="1" t="s">
        <v>1386</v>
      </c>
      <c r="J98" s="16" t="s">
        <v>1280</v>
      </c>
      <c r="K98" s="4">
        <v>46179</v>
      </c>
      <c r="L98" s="5">
        <v>0.34027777777777779</v>
      </c>
    </row>
    <row r="99" spans="1:12" x14ac:dyDescent="0.3">
      <c r="A99" s="1">
        <v>599188</v>
      </c>
      <c r="B99" t="s">
        <v>261</v>
      </c>
      <c r="C99" s="1" t="s">
        <v>1385</v>
      </c>
      <c r="D99" s="1" t="s">
        <v>813</v>
      </c>
      <c r="E99" s="1" t="s">
        <v>1351</v>
      </c>
      <c r="F99" s="1" t="s">
        <v>1280</v>
      </c>
      <c r="G99" s="4">
        <v>46163</v>
      </c>
      <c r="H99" s="5">
        <v>0.28125</v>
      </c>
      <c r="I99" s="1" t="s">
        <v>1386</v>
      </c>
      <c r="J99" s="16" t="s">
        <v>1280</v>
      </c>
      <c r="K99" s="4">
        <v>46179</v>
      </c>
      <c r="L99" s="5">
        <v>0.34027777777777779</v>
      </c>
    </row>
    <row r="100" spans="1:12" x14ac:dyDescent="0.3">
      <c r="A100" s="1">
        <v>364568</v>
      </c>
      <c r="B100" t="s">
        <v>261</v>
      </c>
      <c r="C100" s="1" t="s">
        <v>1387</v>
      </c>
      <c r="D100" s="1" t="s">
        <v>819</v>
      </c>
      <c r="E100" s="1" t="s">
        <v>1388</v>
      </c>
      <c r="F100" s="1" t="s">
        <v>1280</v>
      </c>
      <c r="G100" s="4">
        <v>46163</v>
      </c>
      <c r="H100" s="5">
        <v>0.41666666666666669</v>
      </c>
      <c r="I100" s="1" t="s">
        <v>1341</v>
      </c>
      <c r="J100" s="16" t="s">
        <v>1280</v>
      </c>
      <c r="K100" s="4">
        <v>46173</v>
      </c>
      <c r="L100" s="5">
        <v>0.2013888888888889</v>
      </c>
    </row>
    <row r="101" spans="1:12" x14ac:dyDescent="0.3">
      <c r="A101" s="1">
        <v>267907</v>
      </c>
      <c r="B101" t="s">
        <v>261</v>
      </c>
      <c r="C101" s="1" t="s">
        <v>1389</v>
      </c>
      <c r="D101" s="1" t="s">
        <v>828</v>
      </c>
      <c r="E101" s="1" t="s">
        <v>1328</v>
      </c>
      <c r="F101" s="1" t="s">
        <v>1281</v>
      </c>
      <c r="G101" s="4">
        <v>46162</v>
      </c>
      <c r="H101" s="5">
        <v>1.7361111111111112E-2</v>
      </c>
      <c r="I101" s="1" t="s">
        <v>1390</v>
      </c>
      <c r="J101" s="16" t="s">
        <v>1281</v>
      </c>
      <c r="K101" s="4">
        <v>46173</v>
      </c>
      <c r="L101" s="5">
        <v>7.6388888888888895E-2</v>
      </c>
    </row>
    <row r="102" spans="1:12" x14ac:dyDescent="0.3">
      <c r="A102" s="1">
        <v>865211</v>
      </c>
      <c r="B102" t="s">
        <v>261</v>
      </c>
      <c r="C102" s="1" t="s">
        <v>1389</v>
      </c>
      <c r="D102" s="1" t="s">
        <v>828</v>
      </c>
      <c r="E102" s="1" t="s">
        <v>1328</v>
      </c>
      <c r="F102" s="1" t="s">
        <v>1281</v>
      </c>
      <c r="G102" s="4">
        <v>46162</v>
      </c>
      <c r="H102" s="5">
        <v>1.7361111111111112E-2</v>
      </c>
      <c r="I102" s="1" t="s">
        <v>1390</v>
      </c>
      <c r="J102" s="16" t="s">
        <v>1281</v>
      </c>
      <c r="K102" s="4">
        <v>46173</v>
      </c>
      <c r="L102" s="5">
        <v>7.6388888888888895E-2</v>
      </c>
    </row>
    <row r="103" spans="1:12" x14ac:dyDescent="0.3">
      <c r="A103" s="1">
        <v>611348</v>
      </c>
      <c r="B103" t="s">
        <v>261</v>
      </c>
      <c r="C103" s="1" t="s">
        <v>1405</v>
      </c>
      <c r="D103" s="1" t="s">
        <v>843</v>
      </c>
      <c r="E103" s="1" t="s">
        <v>1348</v>
      </c>
      <c r="F103" s="1" t="s">
        <v>1281</v>
      </c>
      <c r="G103" s="4">
        <v>46163</v>
      </c>
      <c r="H103" s="5">
        <v>0.71180555555555558</v>
      </c>
      <c r="I103" s="1" t="s">
        <v>1406</v>
      </c>
      <c r="J103" s="16" t="s">
        <v>1280</v>
      </c>
      <c r="K103" s="4">
        <v>46179</v>
      </c>
      <c r="L103" s="5">
        <v>0.3611111111111111</v>
      </c>
    </row>
    <row r="104" spans="1:12" x14ac:dyDescent="0.3">
      <c r="A104" s="1">
        <v>661319</v>
      </c>
      <c r="B104" t="s">
        <v>261</v>
      </c>
      <c r="C104" s="1" t="s">
        <v>1405</v>
      </c>
      <c r="D104" s="1" t="s">
        <v>843</v>
      </c>
      <c r="E104" s="1" t="s">
        <v>1348</v>
      </c>
      <c r="F104" s="1" t="s">
        <v>1281</v>
      </c>
      <c r="G104" s="4">
        <v>46163</v>
      </c>
      <c r="H104" s="5">
        <v>0.71180555555555558</v>
      </c>
      <c r="I104" s="1" t="s">
        <v>1406</v>
      </c>
      <c r="J104" s="16" t="s">
        <v>1280</v>
      </c>
      <c r="K104" s="4">
        <v>46179</v>
      </c>
      <c r="L104" s="5">
        <v>0.3611111111111111</v>
      </c>
    </row>
    <row r="105" spans="1:12" x14ac:dyDescent="0.3">
      <c r="A105" s="1">
        <v>662626</v>
      </c>
      <c r="B105" t="s">
        <v>261</v>
      </c>
      <c r="C105" s="1" t="s">
        <v>1405</v>
      </c>
      <c r="D105" s="1" t="s">
        <v>843</v>
      </c>
      <c r="E105" s="1" t="s">
        <v>1348</v>
      </c>
      <c r="F105" s="1" t="s">
        <v>1281</v>
      </c>
      <c r="G105" s="4">
        <v>46163</v>
      </c>
      <c r="H105" s="5">
        <v>0.71180555555555558</v>
      </c>
      <c r="I105" s="1" t="s">
        <v>1406</v>
      </c>
      <c r="J105" s="16" t="s">
        <v>1280</v>
      </c>
      <c r="K105" s="4">
        <v>46179</v>
      </c>
      <c r="L105" s="5">
        <v>0.3611111111111111</v>
      </c>
    </row>
    <row r="106" spans="1:12" x14ac:dyDescent="0.3">
      <c r="A106" s="1">
        <v>842249</v>
      </c>
      <c r="B106" t="s">
        <v>261</v>
      </c>
      <c r="C106" s="1" t="s">
        <v>1405</v>
      </c>
      <c r="D106" s="1" t="s">
        <v>843</v>
      </c>
      <c r="E106" s="1" t="s">
        <v>1348</v>
      </c>
      <c r="F106" s="1" t="s">
        <v>1281</v>
      </c>
      <c r="G106" s="4">
        <v>46163</v>
      </c>
      <c r="H106" s="5">
        <v>0.71180555555555558</v>
      </c>
      <c r="I106" s="1" t="s">
        <v>1406</v>
      </c>
      <c r="J106" s="16" t="s">
        <v>1280</v>
      </c>
      <c r="K106" s="4">
        <v>46179</v>
      </c>
      <c r="L106" s="5">
        <v>0.3611111111111111</v>
      </c>
    </row>
    <row r="107" spans="1:12" x14ac:dyDescent="0.3">
      <c r="A107" s="1">
        <v>478988</v>
      </c>
      <c r="B107" t="s">
        <v>261</v>
      </c>
      <c r="C107" s="1" t="s">
        <v>1410</v>
      </c>
      <c r="D107" s="1" t="s">
        <v>858</v>
      </c>
      <c r="E107" s="1" t="s">
        <v>1338</v>
      </c>
      <c r="F107" s="1" t="s">
        <v>1281</v>
      </c>
      <c r="G107" s="4">
        <v>46163</v>
      </c>
      <c r="H107" s="5">
        <v>0.15625</v>
      </c>
      <c r="I107" s="1" t="s">
        <v>1309</v>
      </c>
      <c r="J107" s="16" t="s">
        <v>1280</v>
      </c>
      <c r="K107" s="4">
        <v>46173</v>
      </c>
      <c r="L107" s="5">
        <v>0.3125</v>
      </c>
    </row>
    <row r="108" spans="1:12" x14ac:dyDescent="0.3">
      <c r="A108" s="1">
        <v>479006</v>
      </c>
      <c r="B108" t="s">
        <v>261</v>
      </c>
      <c r="C108" s="1" t="s">
        <v>1410</v>
      </c>
      <c r="D108" s="1" t="s">
        <v>858</v>
      </c>
      <c r="E108" s="1" t="s">
        <v>1338</v>
      </c>
      <c r="F108" s="1" t="s">
        <v>1281</v>
      </c>
      <c r="G108" s="4">
        <v>46163</v>
      </c>
      <c r="H108" s="5">
        <v>0.15625</v>
      </c>
      <c r="I108" s="1" t="s">
        <v>1309</v>
      </c>
      <c r="J108" s="16" t="s">
        <v>1280</v>
      </c>
      <c r="K108" s="4">
        <v>46173</v>
      </c>
      <c r="L108" s="5">
        <v>0.3125</v>
      </c>
    </row>
    <row r="109" spans="1:12" x14ac:dyDescent="0.3">
      <c r="A109" s="1">
        <v>484208</v>
      </c>
      <c r="B109" t="s">
        <v>261</v>
      </c>
      <c r="C109" s="1" t="s">
        <v>1410</v>
      </c>
      <c r="D109" s="1" t="s">
        <v>858</v>
      </c>
      <c r="E109" s="1" t="s">
        <v>1338</v>
      </c>
      <c r="F109" s="1" t="s">
        <v>1281</v>
      </c>
      <c r="G109" s="4">
        <v>46163</v>
      </c>
      <c r="H109" s="5">
        <v>0.15625</v>
      </c>
      <c r="I109" s="1" t="s">
        <v>1309</v>
      </c>
      <c r="J109" s="16" t="s">
        <v>1280</v>
      </c>
      <c r="K109" s="4">
        <v>46173</v>
      </c>
      <c r="L109" s="5">
        <v>0.3125</v>
      </c>
    </row>
    <row r="110" spans="1:12" x14ac:dyDescent="0.3">
      <c r="A110" s="1">
        <v>860568</v>
      </c>
      <c r="B110" t="s">
        <v>261</v>
      </c>
      <c r="C110" s="1" t="s">
        <v>1422</v>
      </c>
      <c r="D110" s="1" t="s">
        <v>879</v>
      </c>
      <c r="E110" s="1" t="s">
        <v>1421</v>
      </c>
      <c r="F110" s="1" t="s">
        <v>1281</v>
      </c>
      <c r="G110" s="4">
        <v>46160</v>
      </c>
      <c r="H110" s="5">
        <v>0.1701388888888889</v>
      </c>
      <c r="I110" s="1" t="s">
        <v>1320</v>
      </c>
      <c r="J110" s="16" t="s">
        <v>1280</v>
      </c>
      <c r="K110" s="4">
        <v>46173</v>
      </c>
      <c r="L110" s="5">
        <v>0.29166666666666669</v>
      </c>
    </row>
    <row r="111" spans="1:12" x14ac:dyDescent="0.3">
      <c r="A111" s="1">
        <v>860639</v>
      </c>
      <c r="B111" t="s">
        <v>261</v>
      </c>
      <c r="C111" s="1" t="s">
        <v>1422</v>
      </c>
      <c r="D111" s="1" t="s">
        <v>879</v>
      </c>
      <c r="E111" s="1" t="s">
        <v>1421</v>
      </c>
      <c r="F111" s="1" t="s">
        <v>1281</v>
      </c>
      <c r="G111" s="4">
        <v>46160</v>
      </c>
      <c r="H111" s="5">
        <v>0.1701388888888889</v>
      </c>
      <c r="I111" s="1" t="s">
        <v>1320</v>
      </c>
      <c r="J111" s="16" t="s">
        <v>1280</v>
      </c>
      <c r="K111" s="4">
        <v>46173</v>
      </c>
      <c r="L111" s="5">
        <v>0.29166666666666669</v>
      </c>
    </row>
    <row r="112" spans="1:12" x14ac:dyDescent="0.3">
      <c r="A112" s="1">
        <v>811309</v>
      </c>
      <c r="B112" t="s">
        <v>261</v>
      </c>
      <c r="C112" s="1" t="s">
        <v>1420</v>
      </c>
      <c r="D112" s="1" t="s">
        <v>883</v>
      </c>
      <c r="E112" s="1" t="s">
        <v>1421</v>
      </c>
      <c r="F112" s="1" t="s">
        <v>1281</v>
      </c>
      <c r="G112" s="4">
        <v>46160</v>
      </c>
      <c r="H112" s="5">
        <v>0.1701388888888889</v>
      </c>
      <c r="I112" s="1" t="s">
        <v>1320</v>
      </c>
      <c r="J112" s="16" t="s">
        <v>1280</v>
      </c>
      <c r="K112" s="4">
        <v>46173</v>
      </c>
      <c r="L112" s="5">
        <v>0.29166666666666669</v>
      </c>
    </row>
    <row r="113" spans="1:12" x14ac:dyDescent="0.3">
      <c r="A113" s="1">
        <v>830587</v>
      </c>
      <c r="B113" t="s">
        <v>261</v>
      </c>
      <c r="C113" s="1" t="s">
        <v>1420</v>
      </c>
      <c r="D113" s="1" t="s">
        <v>883</v>
      </c>
      <c r="E113" s="1" t="s">
        <v>1421</v>
      </c>
      <c r="F113" s="1" t="s">
        <v>1281</v>
      </c>
      <c r="G113" s="4">
        <v>46160</v>
      </c>
      <c r="H113" s="5">
        <v>0.1701388888888889</v>
      </c>
      <c r="I113" s="1" t="s">
        <v>1320</v>
      </c>
      <c r="J113" s="16" t="s">
        <v>1280</v>
      </c>
      <c r="K113" s="4">
        <v>46173</v>
      </c>
      <c r="L113" s="5">
        <v>0.29166666666666669</v>
      </c>
    </row>
    <row r="114" spans="1:12" x14ac:dyDescent="0.3">
      <c r="A114" s="1">
        <v>548148</v>
      </c>
      <c r="B114" t="s">
        <v>261</v>
      </c>
      <c r="C114" s="1" t="s">
        <v>1290</v>
      </c>
      <c r="D114" s="1" t="s">
        <v>268</v>
      </c>
      <c r="E114" s="1" t="s">
        <v>1291</v>
      </c>
      <c r="F114" s="1" t="s">
        <v>1281</v>
      </c>
      <c r="G114" s="4">
        <v>46164</v>
      </c>
      <c r="H114" s="5">
        <v>0.95833333333333337</v>
      </c>
      <c r="I114" s="1" t="s">
        <v>1292</v>
      </c>
      <c r="J114" s="16" t="s">
        <v>1280</v>
      </c>
      <c r="K114" s="4">
        <v>46173</v>
      </c>
      <c r="L114" s="5">
        <v>2.7777777777777776E-2</v>
      </c>
    </row>
    <row r="115" spans="1:12" x14ac:dyDescent="0.3">
      <c r="A115" s="1">
        <v>575830</v>
      </c>
      <c r="B115" t="s">
        <v>261</v>
      </c>
      <c r="C115" s="1" t="s">
        <v>1436</v>
      </c>
      <c r="D115" s="1" t="s">
        <v>894</v>
      </c>
      <c r="E115" s="1" t="s">
        <v>1338</v>
      </c>
      <c r="F115" s="1" t="s">
        <v>1281</v>
      </c>
      <c r="G115" s="4">
        <v>46163</v>
      </c>
      <c r="H115" s="5">
        <v>0.15625</v>
      </c>
      <c r="I115" s="1" t="s">
        <v>1320</v>
      </c>
      <c r="J115" s="16" t="s">
        <v>1280</v>
      </c>
      <c r="K115" s="4">
        <v>46173</v>
      </c>
      <c r="L115" s="5">
        <v>0.29166666666666669</v>
      </c>
    </row>
    <row r="116" spans="1:12" x14ac:dyDescent="0.3">
      <c r="A116" s="1">
        <v>579007</v>
      </c>
      <c r="B116" t="s">
        <v>261</v>
      </c>
      <c r="C116" s="1" t="s">
        <v>1436</v>
      </c>
      <c r="D116" s="1" t="s">
        <v>894</v>
      </c>
      <c r="E116" s="1" t="s">
        <v>1338</v>
      </c>
      <c r="F116" s="1" t="s">
        <v>1281</v>
      </c>
      <c r="G116" s="4">
        <v>46163</v>
      </c>
      <c r="H116" s="5">
        <v>0.15625</v>
      </c>
      <c r="I116" s="1" t="s">
        <v>1320</v>
      </c>
      <c r="J116" s="16" t="s">
        <v>1280</v>
      </c>
      <c r="K116" s="4">
        <v>46173</v>
      </c>
      <c r="L116" s="5">
        <v>0.29166666666666669</v>
      </c>
    </row>
    <row r="117" spans="1:12" x14ac:dyDescent="0.3">
      <c r="A117" s="1">
        <v>130145</v>
      </c>
      <c r="B117" t="s">
        <v>261</v>
      </c>
      <c r="C117" s="1" t="s">
        <v>1423</v>
      </c>
      <c r="D117" s="1" t="s">
        <v>900</v>
      </c>
      <c r="E117" s="1" t="s">
        <v>1338</v>
      </c>
      <c r="F117" s="1" t="s">
        <v>1281</v>
      </c>
      <c r="G117" s="4">
        <v>46163</v>
      </c>
      <c r="H117" s="5">
        <v>0.15625</v>
      </c>
      <c r="I117" s="1" t="s">
        <v>1320</v>
      </c>
      <c r="J117" s="16" t="s">
        <v>1280</v>
      </c>
      <c r="K117" s="4">
        <v>46173</v>
      </c>
      <c r="L117" s="5">
        <v>0.29166666666666669</v>
      </c>
    </row>
    <row r="118" spans="1:12" x14ac:dyDescent="0.3">
      <c r="A118" s="1">
        <v>803436</v>
      </c>
      <c r="B118" t="s">
        <v>261</v>
      </c>
      <c r="C118" s="1" t="s">
        <v>1423</v>
      </c>
      <c r="D118" s="1" t="s">
        <v>900</v>
      </c>
      <c r="E118" s="1" t="s">
        <v>1338</v>
      </c>
      <c r="F118" s="1" t="s">
        <v>1281</v>
      </c>
      <c r="G118" s="4">
        <v>46163</v>
      </c>
      <c r="H118" s="5">
        <v>0.15625</v>
      </c>
      <c r="I118" s="1" t="s">
        <v>1320</v>
      </c>
      <c r="J118" s="16" t="s">
        <v>1280</v>
      </c>
      <c r="K118" s="4">
        <v>46173</v>
      </c>
      <c r="L118" s="5">
        <v>0.29166666666666669</v>
      </c>
    </row>
    <row r="119" spans="1:12" x14ac:dyDescent="0.3">
      <c r="A119" s="1">
        <v>807998</v>
      </c>
      <c r="B119" t="s">
        <v>261</v>
      </c>
      <c r="C119" s="1" t="s">
        <v>1423</v>
      </c>
      <c r="D119" s="1" t="s">
        <v>900</v>
      </c>
      <c r="E119" s="1" t="s">
        <v>1338</v>
      </c>
      <c r="F119" s="1" t="s">
        <v>1281</v>
      </c>
      <c r="G119" s="4">
        <v>46163</v>
      </c>
      <c r="H119" s="5">
        <v>0.15625</v>
      </c>
      <c r="I119" s="1" t="s">
        <v>1320</v>
      </c>
      <c r="J119" s="16" t="s">
        <v>1280</v>
      </c>
      <c r="K119" s="4">
        <v>46173</v>
      </c>
      <c r="L119" s="5">
        <v>0.29166666666666669</v>
      </c>
    </row>
    <row r="120" spans="1:12" x14ac:dyDescent="0.3">
      <c r="A120" s="1">
        <v>336213</v>
      </c>
      <c r="B120" t="s">
        <v>261</v>
      </c>
      <c r="C120" s="1" t="s">
        <v>1411</v>
      </c>
      <c r="D120" s="1" t="s">
        <v>907</v>
      </c>
      <c r="E120" s="1" t="s">
        <v>1412</v>
      </c>
      <c r="F120" s="1" t="s">
        <v>1280</v>
      </c>
      <c r="G120" s="4">
        <v>46165</v>
      </c>
      <c r="H120" s="5">
        <v>0.78125</v>
      </c>
      <c r="I120" s="1" t="s">
        <v>1413</v>
      </c>
      <c r="J120" s="16" t="s">
        <v>1281</v>
      </c>
      <c r="K120" s="4">
        <v>46175</v>
      </c>
      <c r="L120" s="5">
        <v>0.25347222222222221</v>
      </c>
    </row>
    <row r="121" spans="1:12" x14ac:dyDescent="0.3">
      <c r="A121" s="1">
        <v>370613</v>
      </c>
      <c r="B121" t="s">
        <v>261</v>
      </c>
      <c r="C121" s="1" t="s">
        <v>1411</v>
      </c>
      <c r="D121" s="1" t="s">
        <v>907</v>
      </c>
      <c r="E121" s="1" t="s">
        <v>1412</v>
      </c>
      <c r="F121" s="1" t="s">
        <v>1280</v>
      </c>
      <c r="G121" s="4">
        <v>46165</v>
      </c>
      <c r="H121" s="5">
        <v>0.78125</v>
      </c>
      <c r="I121" s="1" t="s">
        <v>1413</v>
      </c>
      <c r="J121" s="16" t="s">
        <v>1281</v>
      </c>
      <c r="K121" s="4">
        <v>46175</v>
      </c>
      <c r="L121" s="5">
        <v>0.25347222222222221</v>
      </c>
    </row>
    <row r="122" spans="1:12" x14ac:dyDescent="0.3">
      <c r="A122" s="1">
        <v>33310</v>
      </c>
      <c r="B122" t="s">
        <v>261</v>
      </c>
      <c r="C122" s="1" t="s">
        <v>1414</v>
      </c>
      <c r="D122" s="1" t="s">
        <v>926</v>
      </c>
      <c r="E122" s="1" t="s">
        <v>1307</v>
      </c>
      <c r="F122" s="34" t="s">
        <v>1306</v>
      </c>
      <c r="G122" s="4">
        <v>46163</v>
      </c>
      <c r="H122" s="5">
        <v>0.65277777777777779</v>
      </c>
      <c r="I122" s="1" t="s">
        <v>1320</v>
      </c>
      <c r="J122" s="16" t="s">
        <v>1280</v>
      </c>
      <c r="K122" s="4">
        <v>46173</v>
      </c>
      <c r="L122" s="5">
        <v>0.29166666666666669</v>
      </c>
    </row>
    <row r="123" spans="1:12" x14ac:dyDescent="0.3">
      <c r="A123" s="1">
        <v>35146</v>
      </c>
      <c r="B123" t="s">
        <v>261</v>
      </c>
      <c r="C123" s="1" t="s">
        <v>1414</v>
      </c>
      <c r="D123" s="1" t="s">
        <v>926</v>
      </c>
      <c r="E123" s="1" t="s">
        <v>1307</v>
      </c>
      <c r="F123" s="34" t="s">
        <v>1306</v>
      </c>
      <c r="G123" s="4">
        <v>46163</v>
      </c>
      <c r="H123" s="5">
        <v>0.65277777777777779</v>
      </c>
      <c r="I123" s="1" t="s">
        <v>1320</v>
      </c>
      <c r="J123" s="16" t="s">
        <v>1280</v>
      </c>
      <c r="K123" s="4">
        <v>46173</v>
      </c>
      <c r="L123" s="5">
        <v>0.29166666666666669</v>
      </c>
    </row>
    <row r="124" spans="1:12" x14ac:dyDescent="0.3">
      <c r="A124" s="1">
        <v>117078</v>
      </c>
      <c r="B124" t="s">
        <v>261</v>
      </c>
      <c r="C124" s="1" t="s">
        <v>1437</v>
      </c>
      <c r="D124" s="1" t="s">
        <v>931</v>
      </c>
      <c r="E124" s="1" t="s">
        <v>1400</v>
      </c>
      <c r="F124" s="1" t="s">
        <v>1280</v>
      </c>
      <c r="G124" s="4">
        <v>46163</v>
      </c>
      <c r="H124" s="5">
        <v>0.95486111111111116</v>
      </c>
      <c r="I124" s="1" t="s">
        <v>1359</v>
      </c>
      <c r="J124" s="16" t="s">
        <v>1280</v>
      </c>
      <c r="K124" s="4">
        <v>46175</v>
      </c>
      <c r="L124" s="5">
        <v>0.41666666666666669</v>
      </c>
    </row>
    <row r="125" spans="1:12" x14ac:dyDescent="0.3">
      <c r="A125" s="1">
        <v>845027</v>
      </c>
      <c r="B125" t="s">
        <v>261</v>
      </c>
      <c r="C125" s="1" t="s">
        <v>1430</v>
      </c>
      <c r="D125" s="1" t="s">
        <v>936</v>
      </c>
      <c r="E125" s="1" t="s">
        <v>1431</v>
      </c>
      <c r="F125" s="1" t="s">
        <v>1280</v>
      </c>
      <c r="G125" s="4">
        <v>46163</v>
      </c>
      <c r="H125" s="5">
        <v>0.61805555555555558</v>
      </c>
      <c r="I125" s="1" t="s">
        <v>1432</v>
      </c>
      <c r="J125" s="16" t="s">
        <v>1280</v>
      </c>
      <c r="K125" s="4">
        <v>46179</v>
      </c>
      <c r="L125" s="5">
        <v>3.8194444444444448E-2</v>
      </c>
    </row>
    <row r="126" spans="1:12" x14ac:dyDescent="0.3">
      <c r="A126" s="1">
        <v>867933</v>
      </c>
      <c r="B126" t="s">
        <v>261</v>
      </c>
      <c r="C126" s="1" t="s">
        <v>1430</v>
      </c>
      <c r="D126" s="1" t="s">
        <v>936</v>
      </c>
      <c r="E126" s="1" t="s">
        <v>1431</v>
      </c>
      <c r="F126" s="1" t="s">
        <v>1280</v>
      </c>
      <c r="G126" s="4">
        <v>46163</v>
      </c>
      <c r="H126" s="5">
        <v>0.61805555555555558</v>
      </c>
      <c r="I126" s="1" t="s">
        <v>1432</v>
      </c>
      <c r="J126" s="16" t="s">
        <v>1280</v>
      </c>
      <c r="K126" s="4">
        <v>46179</v>
      </c>
      <c r="L126" s="5">
        <v>3.8194444444444448E-2</v>
      </c>
    </row>
    <row r="127" spans="1:12" x14ac:dyDescent="0.3">
      <c r="A127" s="1">
        <v>672178</v>
      </c>
      <c r="B127" t="s">
        <v>261</v>
      </c>
      <c r="C127" s="1" t="s">
        <v>1415</v>
      </c>
      <c r="D127" s="1" t="s">
        <v>943</v>
      </c>
      <c r="E127" s="1" t="s">
        <v>1416</v>
      </c>
      <c r="F127" s="1" t="s">
        <v>1280</v>
      </c>
      <c r="G127" s="4">
        <v>46160</v>
      </c>
      <c r="H127" s="5">
        <v>0.86458333333333337</v>
      </c>
      <c r="I127" s="1" t="s">
        <v>1417</v>
      </c>
      <c r="J127" s="16" t="s">
        <v>1280</v>
      </c>
      <c r="K127" s="4">
        <v>46173</v>
      </c>
      <c r="L127" s="5">
        <v>8.6805555555555552E-2</v>
      </c>
    </row>
    <row r="128" spans="1:12" x14ac:dyDescent="0.3">
      <c r="A128" s="1">
        <v>818330</v>
      </c>
      <c r="B128" t="s">
        <v>261</v>
      </c>
      <c r="C128" s="1" t="s">
        <v>1415</v>
      </c>
      <c r="D128" s="1" t="s">
        <v>943</v>
      </c>
      <c r="E128" s="1" t="s">
        <v>1416</v>
      </c>
      <c r="F128" s="1" t="s">
        <v>1280</v>
      </c>
      <c r="G128" s="4">
        <v>46160</v>
      </c>
      <c r="H128" s="5">
        <v>0.86458333333333337</v>
      </c>
      <c r="I128" s="1" t="s">
        <v>1417</v>
      </c>
      <c r="J128" s="16" t="s">
        <v>1280</v>
      </c>
      <c r="K128" s="4">
        <v>46173</v>
      </c>
      <c r="L128" s="5">
        <v>8.6805555555555552E-2</v>
      </c>
    </row>
    <row r="129" spans="1:12" x14ac:dyDescent="0.3">
      <c r="A129" s="1">
        <v>819231</v>
      </c>
      <c r="B129" t="s">
        <v>261</v>
      </c>
      <c r="C129" s="1" t="s">
        <v>1415</v>
      </c>
      <c r="D129" s="1" t="s">
        <v>943</v>
      </c>
      <c r="E129" s="1" t="s">
        <v>1416</v>
      </c>
      <c r="F129" s="1" t="s">
        <v>1280</v>
      </c>
      <c r="G129" s="4">
        <v>46160</v>
      </c>
      <c r="H129" s="5">
        <v>0.86458333333333337</v>
      </c>
      <c r="I129" s="1" t="s">
        <v>1417</v>
      </c>
      <c r="J129" s="16" t="s">
        <v>1280</v>
      </c>
      <c r="K129" s="4">
        <v>46173</v>
      </c>
      <c r="L129" s="5">
        <v>8.6805555555555552E-2</v>
      </c>
    </row>
    <row r="130" spans="1:12" x14ac:dyDescent="0.3">
      <c r="A130" s="1">
        <v>819236</v>
      </c>
      <c r="B130" t="s">
        <v>261</v>
      </c>
      <c r="C130" s="1" t="s">
        <v>1415</v>
      </c>
      <c r="D130" s="1" t="s">
        <v>943</v>
      </c>
      <c r="E130" s="1" t="s">
        <v>1416</v>
      </c>
      <c r="F130" s="1" t="s">
        <v>1280</v>
      </c>
      <c r="G130" s="4">
        <v>46160</v>
      </c>
      <c r="H130" s="5">
        <v>0.86458333333333337</v>
      </c>
      <c r="I130" s="1" t="s">
        <v>1417</v>
      </c>
      <c r="J130" s="16" t="s">
        <v>1280</v>
      </c>
      <c r="K130" s="4">
        <v>46173</v>
      </c>
      <c r="L130" s="5">
        <v>8.6805555555555552E-2</v>
      </c>
    </row>
    <row r="131" spans="1:12" x14ac:dyDescent="0.3">
      <c r="A131" s="1">
        <v>819273</v>
      </c>
      <c r="B131" t="s">
        <v>261</v>
      </c>
      <c r="C131" s="1" t="s">
        <v>1415</v>
      </c>
      <c r="D131" s="1" t="s">
        <v>943</v>
      </c>
      <c r="E131" s="1" t="s">
        <v>1416</v>
      </c>
      <c r="F131" s="1" t="s">
        <v>1280</v>
      </c>
      <c r="G131" s="4">
        <v>46160</v>
      </c>
      <c r="H131" s="5">
        <v>0.86458333333333337</v>
      </c>
      <c r="I131" s="1" t="s">
        <v>1417</v>
      </c>
      <c r="J131" s="16" t="s">
        <v>1280</v>
      </c>
      <c r="K131" s="4">
        <v>46173</v>
      </c>
      <c r="L131" s="5">
        <v>8.6805555555555552E-2</v>
      </c>
    </row>
    <row r="132" spans="1:12" x14ac:dyDescent="0.3">
      <c r="A132" s="1">
        <v>820732</v>
      </c>
      <c r="B132" t="s">
        <v>261</v>
      </c>
      <c r="C132" s="1" t="s">
        <v>1415</v>
      </c>
      <c r="D132" s="1" t="s">
        <v>943</v>
      </c>
      <c r="E132" s="1" t="s">
        <v>1416</v>
      </c>
      <c r="F132" s="1" t="s">
        <v>1280</v>
      </c>
      <c r="G132" s="4">
        <v>46160</v>
      </c>
      <c r="H132" s="5">
        <v>0.86458333333333337</v>
      </c>
      <c r="I132" s="1" t="s">
        <v>1417</v>
      </c>
      <c r="J132" s="16" t="s">
        <v>1280</v>
      </c>
      <c r="K132" s="4">
        <v>46173</v>
      </c>
      <c r="L132" s="5">
        <v>8.6805555555555552E-2</v>
      </c>
    </row>
    <row r="133" spans="1:12" x14ac:dyDescent="0.3">
      <c r="A133" s="1">
        <v>820739</v>
      </c>
      <c r="B133" t="s">
        <v>261</v>
      </c>
      <c r="C133" s="1" t="s">
        <v>1415</v>
      </c>
      <c r="D133" s="1" t="s">
        <v>943</v>
      </c>
      <c r="E133" s="1" t="s">
        <v>1416</v>
      </c>
      <c r="F133" s="1" t="s">
        <v>1280</v>
      </c>
      <c r="G133" s="4">
        <v>46160</v>
      </c>
      <c r="H133" s="5">
        <v>0.86458333333333337</v>
      </c>
      <c r="I133" s="1" t="s">
        <v>1417</v>
      </c>
      <c r="J133" s="16" t="s">
        <v>1280</v>
      </c>
      <c r="K133" s="4">
        <v>46173</v>
      </c>
      <c r="L133" s="5">
        <v>8.6805555555555552E-2</v>
      </c>
    </row>
    <row r="134" spans="1:12" x14ac:dyDescent="0.3">
      <c r="A134" s="1">
        <v>630563</v>
      </c>
      <c r="B134" t="s">
        <v>261</v>
      </c>
      <c r="C134" s="1" t="s">
        <v>1418</v>
      </c>
      <c r="D134" s="1" t="s">
        <v>958</v>
      </c>
      <c r="E134" s="1" t="s">
        <v>1379</v>
      </c>
      <c r="F134" s="1" t="s">
        <v>1280</v>
      </c>
      <c r="G134" s="4">
        <v>46160</v>
      </c>
      <c r="H134" s="5">
        <v>0.79166666666666663</v>
      </c>
      <c r="I134" s="1" t="s">
        <v>1380</v>
      </c>
      <c r="J134" s="16" t="s">
        <v>1280</v>
      </c>
      <c r="K134" s="4">
        <v>46173</v>
      </c>
      <c r="L134" s="5">
        <v>7.9861111111111105E-2</v>
      </c>
    </row>
    <row r="135" spans="1:12" x14ac:dyDescent="0.3">
      <c r="A135" s="1">
        <v>630658</v>
      </c>
      <c r="B135" t="s">
        <v>261</v>
      </c>
      <c r="C135" s="1" t="s">
        <v>1418</v>
      </c>
      <c r="D135" s="1" t="s">
        <v>958</v>
      </c>
      <c r="E135" s="1" t="s">
        <v>1379</v>
      </c>
      <c r="F135" s="1" t="s">
        <v>1280</v>
      </c>
      <c r="G135" s="4">
        <v>46160</v>
      </c>
      <c r="H135" s="5">
        <v>0.79166666666666663</v>
      </c>
      <c r="I135" s="1" t="s">
        <v>1380</v>
      </c>
      <c r="J135" s="16" t="s">
        <v>1280</v>
      </c>
      <c r="K135" s="4">
        <v>46173</v>
      </c>
      <c r="L135" s="5">
        <v>7.9861111111111105E-2</v>
      </c>
    </row>
    <row r="136" spans="1:12" x14ac:dyDescent="0.3">
      <c r="A136" s="1">
        <v>630669</v>
      </c>
      <c r="B136" t="s">
        <v>261</v>
      </c>
      <c r="C136" s="1" t="s">
        <v>1418</v>
      </c>
      <c r="D136" s="1" t="s">
        <v>958</v>
      </c>
      <c r="E136" s="1" t="s">
        <v>1379</v>
      </c>
      <c r="F136" s="1" t="s">
        <v>1280</v>
      </c>
      <c r="G136" s="4">
        <v>46160</v>
      </c>
      <c r="H136" s="5">
        <v>0.79166666666666663</v>
      </c>
      <c r="I136" s="1" t="s">
        <v>1380</v>
      </c>
      <c r="J136" s="16" t="s">
        <v>1280</v>
      </c>
      <c r="K136" s="4">
        <v>46173</v>
      </c>
      <c r="L136" s="5">
        <v>7.9861111111111105E-2</v>
      </c>
    </row>
    <row r="137" spans="1:12" x14ac:dyDescent="0.3">
      <c r="A137" s="1">
        <v>846049</v>
      </c>
      <c r="B137" t="s">
        <v>261</v>
      </c>
      <c r="C137" s="1" t="s">
        <v>1419</v>
      </c>
      <c r="D137" s="1" t="s">
        <v>968</v>
      </c>
      <c r="E137" s="1" t="s">
        <v>1400</v>
      </c>
      <c r="F137" s="1" t="s">
        <v>1280</v>
      </c>
      <c r="G137" s="4">
        <v>46163</v>
      </c>
      <c r="H137" s="5">
        <v>0.95486111111111116</v>
      </c>
      <c r="I137" s="1" t="s">
        <v>1298</v>
      </c>
      <c r="J137" s="16" t="s">
        <v>1281</v>
      </c>
      <c r="K137" s="4">
        <v>46175</v>
      </c>
      <c r="L137" s="5">
        <v>0.21527777777777779</v>
      </c>
    </row>
    <row r="138" spans="1:12" x14ac:dyDescent="0.3">
      <c r="A138" s="1">
        <v>846114</v>
      </c>
      <c r="B138" t="s">
        <v>261</v>
      </c>
      <c r="C138" s="1" t="s">
        <v>1419</v>
      </c>
      <c r="D138" s="1" t="s">
        <v>968</v>
      </c>
      <c r="E138" s="1" t="s">
        <v>1400</v>
      </c>
      <c r="F138" s="1" t="s">
        <v>1280</v>
      </c>
      <c r="G138" s="4">
        <v>46163</v>
      </c>
      <c r="H138" s="5">
        <v>0.95486111111111116</v>
      </c>
      <c r="I138" s="1" t="s">
        <v>1298</v>
      </c>
      <c r="J138" s="16" t="s">
        <v>1281</v>
      </c>
      <c r="K138" s="4">
        <v>46175</v>
      </c>
      <c r="L138" s="5">
        <v>0.21527777777777779</v>
      </c>
    </row>
    <row r="139" spans="1:12" x14ac:dyDescent="0.3">
      <c r="A139" s="1">
        <v>6511</v>
      </c>
      <c r="B139" t="s">
        <v>261</v>
      </c>
      <c r="C139" s="1" t="s">
        <v>1438</v>
      </c>
      <c r="D139" s="1" t="s">
        <v>975</v>
      </c>
      <c r="E139" s="1" t="s">
        <v>1328</v>
      </c>
      <c r="F139" s="1" t="s">
        <v>1281</v>
      </c>
      <c r="G139" s="4">
        <v>46163</v>
      </c>
      <c r="H139" s="5">
        <v>1.7361111111111112E-2</v>
      </c>
      <c r="I139" s="1" t="s">
        <v>1354</v>
      </c>
      <c r="J139" s="16" t="s">
        <v>1280</v>
      </c>
      <c r="K139" s="4">
        <v>46179</v>
      </c>
      <c r="L139" s="5">
        <v>0.36805555555555558</v>
      </c>
    </row>
    <row r="140" spans="1:12" x14ac:dyDescent="0.3">
      <c r="A140" s="1">
        <v>535500</v>
      </c>
      <c r="B140" t="s">
        <v>261</v>
      </c>
      <c r="C140" s="1" t="s">
        <v>1435</v>
      </c>
      <c r="D140" s="1" t="s">
        <v>982</v>
      </c>
      <c r="E140" s="1" t="s">
        <v>1361</v>
      </c>
      <c r="F140" s="1" t="s">
        <v>1280</v>
      </c>
      <c r="G140" s="4">
        <v>46163</v>
      </c>
      <c r="H140" s="5">
        <v>0.76041666666666663</v>
      </c>
      <c r="I140" s="1" t="s">
        <v>1298</v>
      </c>
      <c r="J140" s="16" t="s">
        <v>1281</v>
      </c>
      <c r="K140" s="4">
        <v>46175</v>
      </c>
      <c r="L140" s="5">
        <v>0.21527777777777779</v>
      </c>
    </row>
    <row r="141" spans="1:12" x14ac:dyDescent="0.3">
      <c r="A141" s="1">
        <v>535506</v>
      </c>
      <c r="B141" t="s">
        <v>261</v>
      </c>
      <c r="C141" s="1" t="s">
        <v>1435</v>
      </c>
      <c r="D141" s="1" t="s">
        <v>982</v>
      </c>
      <c r="E141" s="1" t="s">
        <v>1361</v>
      </c>
      <c r="F141" s="1" t="s">
        <v>1280</v>
      </c>
      <c r="G141" s="4">
        <v>46163</v>
      </c>
      <c r="H141" s="5">
        <v>0.76041666666666663</v>
      </c>
      <c r="I141" s="1" t="s">
        <v>1298</v>
      </c>
      <c r="J141" s="16" t="s">
        <v>1281</v>
      </c>
      <c r="K141" s="4">
        <v>46175</v>
      </c>
      <c r="L141" s="5">
        <v>0.21527777777777779</v>
      </c>
    </row>
    <row r="142" spans="1:12" x14ac:dyDescent="0.3">
      <c r="A142" s="1">
        <v>865446</v>
      </c>
      <c r="B142" t="s">
        <v>261</v>
      </c>
      <c r="C142" s="1" t="s">
        <v>1424</v>
      </c>
      <c r="D142" s="1" t="s">
        <v>994</v>
      </c>
      <c r="E142" s="1" t="s">
        <v>1425</v>
      </c>
      <c r="F142" s="1" t="s">
        <v>1280</v>
      </c>
      <c r="G142" s="4">
        <v>46160</v>
      </c>
      <c r="H142" s="5">
        <v>0.88541666666666663</v>
      </c>
      <c r="I142" s="1" t="s">
        <v>1426</v>
      </c>
      <c r="J142" s="16" t="s">
        <v>1280</v>
      </c>
      <c r="K142" s="4">
        <v>46173</v>
      </c>
      <c r="L142" s="5">
        <v>0.72916666666666663</v>
      </c>
    </row>
    <row r="143" spans="1:12" x14ac:dyDescent="0.3">
      <c r="A143" s="1">
        <v>550110</v>
      </c>
      <c r="B143" t="s">
        <v>261</v>
      </c>
      <c r="C143" s="1" t="s">
        <v>1427</v>
      </c>
      <c r="D143" s="1" t="s">
        <v>1002</v>
      </c>
      <c r="E143" s="1" t="s">
        <v>1428</v>
      </c>
      <c r="F143" s="1" t="s">
        <v>1280</v>
      </c>
      <c r="G143" s="4">
        <v>46163</v>
      </c>
      <c r="H143" s="5">
        <v>0.98958333333333337</v>
      </c>
      <c r="I143" s="1" t="s">
        <v>1429</v>
      </c>
      <c r="J143" s="16" t="s">
        <v>1280</v>
      </c>
      <c r="K143" s="4">
        <v>46178</v>
      </c>
      <c r="L143" s="5">
        <v>0.27083333333333331</v>
      </c>
    </row>
    <row r="144" spans="1:12" x14ac:dyDescent="0.3">
      <c r="A144" s="1">
        <v>607353</v>
      </c>
      <c r="B144" t="s">
        <v>261</v>
      </c>
      <c r="C144" s="1" t="s">
        <v>1427</v>
      </c>
      <c r="D144" s="1" t="s">
        <v>1002</v>
      </c>
      <c r="E144" s="1" t="s">
        <v>1428</v>
      </c>
      <c r="F144" s="1" t="s">
        <v>1280</v>
      </c>
      <c r="G144" s="4">
        <v>46163</v>
      </c>
      <c r="H144" s="5">
        <v>0.98958333333333337</v>
      </c>
      <c r="I144" s="1" t="s">
        <v>1429</v>
      </c>
      <c r="J144" s="16" t="s">
        <v>1280</v>
      </c>
      <c r="K144" s="4">
        <v>46178</v>
      </c>
      <c r="L144" s="5">
        <v>0.27083333333333331</v>
      </c>
    </row>
    <row r="145" spans="1:12" x14ac:dyDescent="0.3">
      <c r="A145" s="1">
        <v>868985</v>
      </c>
      <c r="B145" t="s">
        <v>261</v>
      </c>
      <c r="C145" s="1" t="s">
        <v>1439</v>
      </c>
      <c r="D145" s="1" t="s">
        <v>1008</v>
      </c>
      <c r="E145" s="1" t="s">
        <v>1440</v>
      </c>
      <c r="F145" s="1" t="s">
        <v>1280</v>
      </c>
      <c r="G145" s="4">
        <v>46160</v>
      </c>
      <c r="H145" s="5">
        <v>0.94791666666666663</v>
      </c>
      <c r="I145" s="1" t="s">
        <v>1441</v>
      </c>
      <c r="J145" s="16" t="s">
        <v>1280</v>
      </c>
      <c r="K145" s="4">
        <v>46173</v>
      </c>
      <c r="L145" s="5">
        <v>0.60763888888888884</v>
      </c>
    </row>
    <row r="146" spans="1:12" x14ac:dyDescent="0.3">
      <c r="A146" s="1">
        <v>869123</v>
      </c>
      <c r="B146" t="s">
        <v>261</v>
      </c>
      <c r="C146" s="1" t="s">
        <v>1439</v>
      </c>
      <c r="D146" s="1" t="s">
        <v>1008</v>
      </c>
      <c r="E146" s="1" t="s">
        <v>1440</v>
      </c>
      <c r="F146" s="1" t="s">
        <v>1280</v>
      </c>
      <c r="G146" s="4">
        <v>46160</v>
      </c>
      <c r="H146" s="5">
        <v>0.94791666666666663</v>
      </c>
      <c r="I146" s="1" t="s">
        <v>1441</v>
      </c>
      <c r="J146" s="16" t="s">
        <v>1280</v>
      </c>
      <c r="K146" s="4">
        <v>46173</v>
      </c>
      <c r="L146" s="5">
        <v>0.60763888888888884</v>
      </c>
    </row>
    <row r="147" spans="1:12" x14ac:dyDescent="0.3">
      <c r="A147" s="1">
        <v>548952</v>
      </c>
      <c r="B147" t="s">
        <v>261</v>
      </c>
      <c r="C147" s="1" t="s">
        <v>1433</v>
      </c>
      <c r="D147" s="1" t="s">
        <v>1019</v>
      </c>
      <c r="E147" s="1" t="s">
        <v>1434</v>
      </c>
      <c r="F147" s="1" t="s">
        <v>1280</v>
      </c>
      <c r="G147" s="4">
        <v>46163</v>
      </c>
      <c r="H147" s="5">
        <v>0.97569444444444442</v>
      </c>
      <c r="I147" s="1" t="s">
        <v>1315</v>
      </c>
      <c r="J147" s="16" t="s">
        <v>1280</v>
      </c>
      <c r="K147" s="4">
        <v>46173</v>
      </c>
      <c r="L147" s="5">
        <v>0.13194444444444445</v>
      </c>
    </row>
    <row r="148" spans="1:12" x14ac:dyDescent="0.3">
      <c r="A148" s="1">
        <v>690538</v>
      </c>
      <c r="B148" t="s">
        <v>261</v>
      </c>
      <c r="C148" s="1" t="s">
        <v>1433</v>
      </c>
      <c r="D148" s="1" t="s">
        <v>1019</v>
      </c>
      <c r="E148" s="1" t="s">
        <v>1434</v>
      </c>
      <c r="F148" s="1" t="s">
        <v>1280</v>
      </c>
      <c r="G148" s="4">
        <v>46163</v>
      </c>
      <c r="H148" s="5">
        <v>0.97569444444444442</v>
      </c>
      <c r="I148" s="1" t="s">
        <v>1315</v>
      </c>
      <c r="J148" s="16" t="s">
        <v>1280</v>
      </c>
      <c r="K148" s="4">
        <v>46173</v>
      </c>
      <c r="L148" s="5">
        <v>0.13194444444444445</v>
      </c>
    </row>
    <row r="149" spans="1:12" x14ac:dyDescent="0.3">
      <c r="A149" s="1">
        <v>690581</v>
      </c>
      <c r="B149" t="s">
        <v>261</v>
      </c>
      <c r="C149" s="1" t="s">
        <v>1433</v>
      </c>
      <c r="D149" s="1" t="s">
        <v>1019</v>
      </c>
      <c r="E149" s="1" t="s">
        <v>1434</v>
      </c>
      <c r="F149" s="1" t="s">
        <v>1280</v>
      </c>
      <c r="G149" s="4">
        <v>46163</v>
      </c>
      <c r="H149" s="5">
        <v>0.97569444444444442</v>
      </c>
      <c r="I149" s="1" t="s">
        <v>1315</v>
      </c>
      <c r="J149" s="16" t="s">
        <v>1280</v>
      </c>
      <c r="K149" s="4">
        <v>46173</v>
      </c>
      <c r="L149" s="5">
        <v>0.13194444444444445</v>
      </c>
    </row>
    <row r="150" spans="1:12" x14ac:dyDescent="0.3">
      <c r="A150" s="1">
        <v>339090</v>
      </c>
      <c r="B150" t="s">
        <v>261</v>
      </c>
      <c r="C150" s="1" t="s">
        <v>1442</v>
      </c>
      <c r="D150" s="1" t="s">
        <v>1026</v>
      </c>
      <c r="E150" s="1" t="s">
        <v>1343</v>
      </c>
      <c r="F150" s="1" t="s">
        <v>1281</v>
      </c>
      <c r="G150" s="4">
        <v>46163</v>
      </c>
      <c r="H150" s="5">
        <v>0.88888888888888884</v>
      </c>
      <c r="I150" s="1" t="s">
        <v>1443</v>
      </c>
      <c r="J150" s="16" t="s">
        <v>1280</v>
      </c>
      <c r="K150" s="4">
        <v>46173</v>
      </c>
      <c r="L150" s="5">
        <v>0.33333333333333331</v>
      </c>
    </row>
    <row r="151" spans="1:12" x14ac:dyDescent="0.3">
      <c r="A151" s="1">
        <v>705789</v>
      </c>
      <c r="B151" t="s">
        <v>261</v>
      </c>
      <c r="C151" s="1" t="s">
        <v>1442</v>
      </c>
      <c r="D151" s="1" t="s">
        <v>1026</v>
      </c>
      <c r="E151" s="1" t="s">
        <v>1343</v>
      </c>
      <c r="F151" s="1" t="s">
        <v>1281</v>
      </c>
      <c r="G151" s="4">
        <v>46163</v>
      </c>
      <c r="H151" s="5">
        <v>0.88888888888888884</v>
      </c>
      <c r="I151" s="1" t="s">
        <v>1443</v>
      </c>
      <c r="J151" s="16" t="s">
        <v>1280</v>
      </c>
      <c r="K151" s="4">
        <v>46173</v>
      </c>
      <c r="L151" s="5">
        <v>0.33333333333333331</v>
      </c>
    </row>
    <row r="152" spans="1:12" x14ac:dyDescent="0.3">
      <c r="A152" s="1">
        <v>615177</v>
      </c>
      <c r="B152" t="s">
        <v>261</v>
      </c>
      <c r="C152" s="1" t="s">
        <v>1445</v>
      </c>
      <c r="D152" s="1" t="s">
        <v>1039</v>
      </c>
      <c r="E152" s="1" t="s">
        <v>1446</v>
      </c>
      <c r="F152" s="1" t="s">
        <v>1280</v>
      </c>
      <c r="G152" s="4">
        <v>46163</v>
      </c>
      <c r="H152" s="5">
        <v>0.98611111111111116</v>
      </c>
      <c r="I152" s="1" t="s">
        <v>1447</v>
      </c>
      <c r="J152" s="16" t="s">
        <v>1280</v>
      </c>
      <c r="K152" s="4">
        <v>46173</v>
      </c>
      <c r="L152" s="5">
        <v>0.34722222222222221</v>
      </c>
    </row>
    <row r="153" spans="1:12" x14ac:dyDescent="0.3">
      <c r="A153" s="1">
        <v>540566</v>
      </c>
      <c r="B153" t="s">
        <v>261</v>
      </c>
      <c r="C153" s="1" t="s">
        <v>1444</v>
      </c>
      <c r="D153" s="1" t="s">
        <v>1065</v>
      </c>
      <c r="E153" s="1" t="s">
        <v>1308</v>
      </c>
      <c r="F153" s="1" t="s">
        <v>1281</v>
      </c>
      <c r="G153" s="4">
        <v>46163</v>
      </c>
      <c r="H153" s="5">
        <v>0.78472222222222221</v>
      </c>
      <c r="I153" s="1" t="s">
        <v>1309</v>
      </c>
      <c r="J153" s="16" t="s">
        <v>1280</v>
      </c>
      <c r="K153" s="4">
        <v>46179</v>
      </c>
      <c r="L153" s="5">
        <v>0.30902777777777779</v>
      </c>
    </row>
    <row r="154" spans="1:12" x14ac:dyDescent="0.3">
      <c r="A154" s="1">
        <v>617039</v>
      </c>
      <c r="B154" t="s">
        <v>261</v>
      </c>
      <c r="C154" s="1" t="s">
        <v>1448</v>
      </c>
      <c r="D154" s="1" t="s">
        <v>1070</v>
      </c>
      <c r="E154" s="1" t="s">
        <v>1412</v>
      </c>
      <c r="F154" s="1" t="s">
        <v>1280</v>
      </c>
      <c r="G154" s="4">
        <v>46160</v>
      </c>
      <c r="H154" s="5">
        <v>0.78125</v>
      </c>
      <c r="I154" s="1" t="s">
        <v>1449</v>
      </c>
      <c r="J154" s="16" t="s">
        <v>1280</v>
      </c>
      <c r="K154" s="4">
        <v>46173</v>
      </c>
      <c r="L154" s="5">
        <v>0.20833333333333334</v>
      </c>
    </row>
    <row r="155" spans="1:12" x14ac:dyDescent="0.3">
      <c r="A155" s="1">
        <v>704843</v>
      </c>
      <c r="B155" t="s">
        <v>261</v>
      </c>
      <c r="C155" s="1" t="s">
        <v>1448</v>
      </c>
      <c r="D155" s="1" t="s">
        <v>1070</v>
      </c>
      <c r="E155" s="1" t="s">
        <v>1412</v>
      </c>
      <c r="F155" s="1" t="s">
        <v>1280</v>
      </c>
      <c r="G155" s="4">
        <v>46160</v>
      </c>
      <c r="H155" s="5">
        <v>0.78125</v>
      </c>
      <c r="I155" s="1" t="s">
        <v>1449</v>
      </c>
      <c r="J155" s="16" t="s">
        <v>1280</v>
      </c>
      <c r="K155" s="4">
        <v>46173</v>
      </c>
      <c r="L155" s="5">
        <v>0.20833333333333334</v>
      </c>
    </row>
    <row r="156" spans="1:12" x14ac:dyDescent="0.3">
      <c r="A156" s="1">
        <v>798285</v>
      </c>
      <c r="B156" t="s">
        <v>261</v>
      </c>
      <c r="C156" s="1" t="s">
        <v>1459</v>
      </c>
      <c r="D156" s="1" t="s">
        <v>1089</v>
      </c>
      <c r="E156" s="1" t="s">
        <v>1460</v>
      </c>
      <c r="F156" s="1" t="s">
        <v>1281</v>
      </c>
      <c r="G156" s="4">
        <v>46164</v>
      </c>
      <c r="H156" s="5">
        <v>0.10416666666666667</v>
      </c>
      <c r="I156" s="1" t="s">
        <v>1461</v>
      </c>
      <c r="J156" s="16" t="s">
        <v>1280</v>
      </c>
      <c r="K156" s="4">
        <v>46179</v>
      </c>
      <c r="L156" s="5">
        <v>0.43402777777777779</v>
      </c>
    </row>
    <row r="157" spans="1:12" x14ac:dyDescent="0.3">
      <c r="A157" s="1">
        <v>552800</v>
      </c>
      <c r="B157" t="s">
        <v>261</v>
      </c>
      <c r="C157" s="1" t="s">
        <v>1450</v>
      </c>
      <c r="D157" s="1" t="s">
        <v>1104</v>
      </c>
      <c r="E157" s="1" t="s">
        <v>1300</v>
      </c>
      <c r="F157" s="1" t="s">
        <v>1281</v>
      </c>
      <c r="G157" s="4">
        <v>46163</v>
      </c>
      <c r="H157" s="5">
        <v>0.35416666666666669</v>
      </c>
      <c r="I157" s="1" t="s">
        <v>1301</v>
      </c>
      <c r="J157" s="16" t="s">
        <v>1280</v>
      </c>
      <c r="K157" s="4">
        <v>46173</v>
      </c>
      <c r="L157" s="5">
        <v>0.31944444444444442</v>
      </c>
    </row>
    <row r="158" spans="1:12" x14ac:dyDescent="0.3">
      <c r="A158" s="1">
        <v>558361</v>
      </c>
      <c r="B158" t="s">
        <v>261</v>
      </c>
      <c r="C158" s="1" t="s">
        <v>1450</v>
      </c>
      <c r="D158" s="1" t="s">
        <v>1104</v>
      </c>
      <c r="E158" s="1" t="s">
        <v>1300</v>
      </c>
      <c r="F158" s="1" t="s">
        <v>1281</v>
      </c>
      <c r="G158" s="4">
        <v>46163</v>
      </c>
      <c r="H158" s="5">
        <v>0.35416666666666669</v>
      </c>
      <c r="I158" s="1" t="s">
        <v>1301</v>
      </c>
      <c r="J158" s="16" t="s">
        <v>1280</v>
      </c>
      <c r="K158" s="4">
        <v>46173</v>
      </c>
      <c r="L158" s="5">
        <v>0.31944444444444442</v>
      </c>
    </row>
    <row r="159" spans="1:12" x14ac:dyDescent="0.3">
      <c r="A159" s="1">
        <v>48385</v>
      </c>
      <c r="B159" t="s">
        <v>261</v>
      </c>
      <c r="C159" s="1" t="s">
        <v>1451</v>
      </c>
      <c r="D159" s="1" t="s">
        <v>1110</v>
      </c>
      <c r="E159" s="1" t="s">
        <v>1431</v>
      </c>
      <c r="F159" s="1" t="s">
        <v>1280</v>
      </c>
      <c r="G159" s="4">
        <v>46165</v>
      </c>
      <c r="H159" s="5">
        <v>0.61805555555555558</v>
      </c>
      <c r="I159" s="1" t="s">
        <v>1432</v>
      </c>
      <c r="J159" s="16" t="s">
        <v>1280</v>
      </c>
      <c r="K159" s="4">
        <v>46173</v>
      </c>
      <c r="L159" s="5">
        <v>3.8194444444444448E-2</v>
      </c>
    </row>
    <row r="160" spans="1:12" x14ac:dyDescent="0.3">
      <c r="A160" s="1">
        <v>48424</v>
      </c>
      <c r="B160" t="s">
        <v>261</v>
      </c>
      <c r="C160" s="1" t="s">
        <v>1451</v>
      </c>
      <c r="D160" s="1" t="s">
        <v>1110</v>
      </c>
      <c r="E160" s="1" t="s">
        <v>1431</v>
      </c>
      <c r="F160" s="1" t="s">
        <v>1280</v>
      </c>
      <c r="G160" s="4">
        <v>46165</v>
      </c>
      <c r="H160" s="5">
        <v>0.61805555555555558</v>
      </c>
      <c r="I160" s="1" t="s">
        <v>1432</v>
      </c>
      <c r="J160" s="16" t="s">
        <v>1280</v>
      </c>
      <c r="K160" s="4">
        <v>46173</v>
      </c>
      <c r="L160" s="5">
        <v>3.8194444444444448E-2</v>
      </c>
    </row>
    <row r="161" spans="1:12" x14ac:dyDescent="0.3">
      <c r="A161" s="1">
        <v>464839</v>
      </c>
      <c r="B161" t="s">
        <v>261</v>
      </c>
      <c r="C161" s="1" t="s">
        <v>1457</v>
      </c>
      <c r="D161" s="1" t="s">
        <v>1114</v>
      </c>
      <c r="E161" s="1" t="s">
        <v>1431</v>
      </c>
      <c r="F161" s="1" t="s">
        <v>1280</v>
      </c>
      <c r="G161" s="4">
        <v>46165</v>
      </c>
      <c r="H161" s="5">
        <v>0.61805555555555558</v>
      </c>
      <c r="I161" s="1" t="s">
        <v>1432</v>
      </c>
      <c r="J161" s="16" t="s">
        <v>1280</v>
      </c>
      <c r="K161" s="4">
        <v>46173</v>
      </c>
      <c r="L161" s="5">
        <v>3.8194444444444448E-2</v>
      </c>
    </row>
    <row r="162" spans="1:12" x14ac:dyDescent="0.3">
      <c r="A162" s="1">
        <v>781825</v>
      </c>
      <c r="B162" t="s">
        <v>261</v>
      </c>
      <c r="C162" s="1" t="s">
        <v>1458</v>
      </c>
      <c r="D162" s="1" t="s">
        <v>1119</v>
      </c>
      <c r="E162" s="1" t="s">
        <v>1317</v>
      </c>
      <c r="F162" s="1" t="s">
        <v>1281</v>
      </c>
      <c r="G162" s="4">
        <v>46160</v>
      </c>
      <c r="H162" s="5">
        <v>0.67361111111111116</v>
      </c>
      <c r="I162" s="1" t="s">
        <v>1292</v>
      </c>
      <c r="J162" s="16" t="s">
        <v>1280</v>
      </c>
      <c r="K162" s="4">
        <v>46173</v>
      </c>
      <c r="L162" s="5">
        <v>2.7777777777777776E-2</v>
      </c>
    </row>
    <row r="163" spans="1:12" x14ac:dyDescent="0.3">
      <c r="A163" s="1">
        <v>498937</v>
      </c>
      <c r="B163" t="s">
        <v>261</v>
      </c>
      <c r="C163" s="1" t="s">
        <v>1452</v>
      </c>
      <c r="D163" s="1" t="s">
        <v>1124</v>
      </c>
      <c r="E163" s="1" t="s">
        <v>1453</v>
      </c>
      <c r="F163" s="1" t="s">
        <v>1280</v>
      </c>
      <c r="G163" s="4">
        <v>46163</v>
      </c>
      <c r="H163" s="5">
        <v>0.1388888888888889</v>
      </c>
      <c r="I163" s="1" t="s">
        <v>1398</v>
      </c>
      <c r="J163" s="16" t="s">
        <v>1281</v>
      </c>
      <c r="K163" s="4">
        <v>46175</v>
      </c>
      <c r="L163" s="5">
        <v>0.19791666666666666</v>
      </c>
    </row>
    <row r="164" spans="1:12" x14ac:dyDescent="0.3">
      <c r="A164" s="1">
        <v>499001</v>
      </c>
      <c r="B164" t="s">
        <v>261</v>
      </c>
      <c r="C164" s="1" t="s">
        <v>1452</v>
      </c>
      <c r="D164" s="1" t="s">
        <v>1124</v>
      </c>
      <c r="E164" s="1" t="s">
        <v>1453</v>
      </c>
      <c r="F164" s="1" t="s">
        <v>1280</v>
      </c>
      <c r="G164" s="4">
        <v>46163</v>
      </c>
      <c r="H164" s="5">
        <v>0.1388888888888889</v>
      </c>
      <c r="I164" s="1" t="s">
        <v>1398</v>
      </c>
      <c r="J164" s="16" t="s">
        <v>1281</v>
      </c>
      <c r="K164" s="4">
        <v>46175</v>
      </c>
      <c r="L164" s="5">
        <v>0.19791666666666666</v>
      </c>
    </row>
    <row r="165" spans="1:12" x14ac:dyDescent="0.3">
      <c r="A165" s="1">
        <v>499005</v>
      </c>
      <c r="B165" t="s">
        <v>261</v>
      </c>
      <c r="C165" s="1" t="s">
        <v>1452</v>
      </c>
      <c r="D165" s="1" t="s">
        <v>1124</v>
      </c>
      <c r="E165" s="1" t="s">
        <v>1453</v>
      </c>
      <c r="F165" s="1" t="s">
        <v>1280</v>
      </c>
      <c r="G165" s="4">
        <v>46163</v>
      </c>
      <c r="H165" s="5">
        <v>0.1388888888888889</v>
      </c>
      <c r="I165" s="1" t="s">
        <v>1398</v>
      </c>
      <c r="J165" s="16" t="s">
        <v>1281</v>
      </c>
      <c r="K165" s="4">
        <v>46175</v>
      </c>
      <c r="L165" s="5">
        <v>0.19791666666666666</v>
      </c>
    </row>
    <row r="166" spans="1:12" x14ac:dyDescent="0.3">
      <c r="A166" s="1">
        <v>781897</v>
      </c>
      <c r="B166" t="s">
        <v>261</v>
      </c>
      <c r="C166" s="1" t="s">
        <v>1452</v>
      </c>
      <c r="D166" s="1" t="s">
        <v>1124</v>
      </c>
      <c r="E166" s="1" t="s">
        <v>1453</v>
      </c>
      <c r="F166" s="1" t="s">
        <v>1280</v>
      </c>
      <c r="G166" s="4">
        <v>46163</v>
      </c>
      <c r="H166" s="5">
        <v>0.1388888888888889</v>
      </c>
      <c r="I166" s="1" t="s">
        <v>1398</v>
      </c>
      <c r="J166" s="16" t="s">
        <v>1281</v>
      </c>
      <c r="K166" s="4">
        <v>46175</v>
      </c>
      <c r="L166" s="5">
        <v>0.19791666666666666</v>
      </c>
    </row>
    <row r="167" spans="1:12" x14ac:dyDescent="0.3">
      <c r="A167" s="1">
        <v>154540</v>
      </c>
      <c r="B167" t="s">
        <v>261</v>
      </c>
      <c r="C167" s="1" t="s">
        <v>1463</v>
      </c>
      <c r="D167" s="1" t="s">
        <v>1132</v>
      </c>
      <c r="E167" s="1" t="s">
        <v>1371</v>
      </c>
      <c r="F167" s="1" t="s">
        <v>1281</v>
      </c>
      <c r="G167" s="4">
        <v>46163</v>
      </c>
      <c r="H167" s="5">
        <v>0.18402777777777779</v>
      </c>
      <c r="I167" s="1" t="s">
        <v>1329</v>
      </c>
      <c r="J167" s="16" t="s">
        <v>1280</v>
      </c>
      <c r="K167" s="4">
        <v>46179</v>
      </c>
      <c r="L167" s="5">
        <v>0.54166666666666663</v>
      </c>
    </row>
    <row r="168" spans="1:12" x14ac:dyDescent="0.3">
      <c r="A168" s="1">
        <v>499764</v>
      </c>
      <c r="B168" t="s">
        <v>261</v>
      </c>
      <c r="C168" s="1" t="s">
        <v>1462</v>
      </c>
      <c r="D168" s="1" t="s">
        <v>1138</v>
      </c>
      <c r="E168" s="1" t="s">
        <v>1371</v>
      </c>
      <c r="F168" s="1" t="s">
        <v>1281</v>
      </c>
      <c r="G168" s="4">
        <v>46163</v>
      </c>
      <c r="H168" s="5">
        <v>0.18402777777777779</v>
      </c>
      <c r="I168" s="1" t="s">
        <v>1372</v>
      </c>
      <c r="J168" s="16" t="s">
        <v>1280</v>
      </c>
      <c r="K168" s="4">
        <v>46179</v>
      </c>
      <c r="L168" s="5">
        <v>6.9444444444444448E-2</v>
      </c>
    </row>
    <row r="169" spans="1:12" x14ac:dyDescent="0.3">
      <c r="A169" s="1">
        <v>667783</v>
      </c>
      <c r="B169" t="s">
        <v>261</v>
      </c>
      <c r="C169" s="1" t="s">
        <v>1462</v>
      </c>
      <c r="D169" s="1" t="s">
        <v>1138</v>
      </c>
      <c r="E169" s="1" t="s">
        <v>1371</v>
      </c>
      <c r="F169" s="1" t="s">
        <v>1281</v>
      </c>
      <c r="G169" s="4">
        <v>46163</v>
      </c>
      <c r="H169" s="5">
        <v>0.18402777777777779</v>
      </c>
      <c r="I169" s="1" t="s">
        <v>1372</v>
      </c>
      <c r="J169" s="16" t="s">
        <v>1280</v>
      </c>
      <c r="K169" s="4">
        <v>46179</v>
      </c>
      <c r="L169" s="5">
        <v>6.9444444444444448E-2</v>
      </c>
    </row>
    <row r="170" spans="1:12" x14ac:dyDescent="0.3">
      <c r="A170" s="1">
        <v>353674</v>
      </c>
      <c r="B170" t="s">
        <v>261</v>
      </c>
      <c r="C170" s="1" t="s">
        <v>1466</v>
      </c>
      <c r="D170" s="1" t="s">
        <v>1146</v>
      </c>
      <c r="E170" s="1" t="s">
        <v>1446</v>
      </c>
      <c r="F170" s="1" t="s">
        <v>1280</v>
      </c>
      <c r="G170" s="4">
        <v>46165</v>
      </c>
      <c r="H170" s="5">
        <v>0.98611111111111116</v>
      </c>
      <c r="I170" s="1" t="s">
        <v>1447</v>
      </c>
      <c r="J170" s="16" t="s">
        <v>1280</v>
      </c>
      <c r="K170" s="4">
        <v>46175</v>
      </c>
      <c r="L170" s="5">
        <v>0.34722222222222221</v>
      </c>
    </row>
    <row r="171" spans="1:12" x14ac:dyDescent="0.3">
      <c r="A171" s="1">
        <v>840272</v>
      </c>
      <c r="B171" t="s">
        <v>261</v>
      </c>
      <c r="C171" s="1" t="s">
        <v>1464</v>
      </c>
      <c r="D171" s="1" t="s">
        <v>1151</v>
      </c>
      <c r="E171" s="1" t="s">
        <v>1328</v>
      </c>
      <c r="F171" s="1" t="s">
        <v>1281</v>
      </c>
      <c r="G171" s="4">
        <v>46163</v>
      </c>
      <c r="H171" s="5">
        <v>1.7361111111111112E-2</v>
      </c>
      <c r="I171" s="1" t="s">
        <v>1429</v>
      </c>
      <c r="J171" s="16" t="s">
        <v>1280</v>
      </c>
      <c r="K171" s="4">
        <v>46179</v>
      </c>
      <c r="L171" s="5">
        <v>0.25347222222222221</v>
      </c>
    </row>
    <row r="172" spans="1:12" x14ac:dyDescent="0.3">
      <c r="A172" s="1">
        <v>840463</v>
      </c>
      <c r="B172" t="s">
        <v>261</v>
      </c>
      <c r="C172" s="1" t="s">
        <v>1464</v>
      </c>
      <c r="D172" s="1" t="s">
        <v>1151</v>
      </c>
      <c r="E172" s="1" t="s">
        <v>1328</v>
      </c>
      <c r="F172" s="1" t="s">
        <v>1281</v>
      </c>
      <c r="G172" s="4">
        <v>46163</v>
      </c>
      <c r="H172" s="5">
        <v>1.7361111111111112E-2</v>
      </c>
      <c r="I172" s="1" t="s">
        <v>1429</v>
      </c>
      <c r="J172" s="16" t="s">
        <v>1280</v>
      </c>
      <c r="K172" s="4">
        <v>46179</v>
      </c>
      <c r="L172" s="5">
        <v>0.25347222222222221</v>
      </c>
    </row>
    <row r="173" spans="1:12" x14ac:dyDescent="0.3">
      <c r="A173" s="1"/>
      <c r="B173" t="s">
        <v>261</v>
      </c>
      <c r="C173" s="1" t="s">
        <v>1344</v>
      </c>
      <c r="D173" s="1" t="s">
        <v>637</v>
      </c>
      <c r="E173" s="1" t="s">
        <v>1345</v>
      </c>
      <c r="F173" s="1" t="s">
        <v>1281</v>
      </c>
      <c r="G173" s="4">
        <v>46163</v>
      </c>
      <c r="H173" s="5">
        <v>0.99652777777777779</v>
      </c>
      <c r="I173" s="1" t="s">
        <v>1346</v>
      </c>
      <c r="J173" s="16" t="s">
        <v>1280</v>
      </c>
      <c r="K173" s="4">
        <v>46173</v>
      </c>
      <c r="L173" s="5">
        <v>0.20833333333333334</v>
      </c>
    </row>
    <row r="174" spans="1:12" x14ac:dyDescent="0.3">
      <c r="A174" s="1"/>
      <c r="B174" t="s">
        <v>261</v>
      </c>
      <c r="C174" s="1" t="s">
        <v>1370</v>
      </c>
      <c r="D174" s="1" t="s">
        <v>598</v>
      </c>
      <c r="E174" s="1" t="s">
        <v>1371</v>
      </c>
      <c r="F174" s="1" t="s">
        <v>1281</v>
      </c>
      <c r="G174" s="4">
        <v>46163</v>
      </c>
      <c r="H174" s="5">
        <v>0.18402777777777779</v>
      </c>
      <c r="I174" s="1" t="s">
        <v>1372</v>
      </c>
      <c r="J174" s="16" t="s">
        <v>1280</v>
      </c>
      <c r="K174" s="4">
        <v>46173</v>
      </c>
      <c r="L174" s="5">
        <v>6.25E-2</v>
      </c>
    </row>
    <row r="175" spans="1:12" x14ac:dyDescent="0.3">
      <c r="A175" s="1"/>
      <c r="B175" t="s">
        <v>261</v>
      </c>
      <c r="C175" s="1" t="s">
        <v>1383</v>
      </c>
      <c r="D175" s="1" t="s">
        <v>782</v>
      </c>
      <c r="E175" s="1" t="s">
        <v>1317</v>
      </c>
      <c r="F175" s="1" t="s">
        <v>1281</v>
      </c>
      <c r="G175" s="4">
        <v>46160</v>
      </c>
      <c r="H175" s="5">
        <v>0.67361111111111116</v>
      </c>
      <c r="I175" s="1" t="s">
        <v>1292</v>
      </c>
      <c r="J175" s="16" t="s">
        <v>1280</v>
      </c>
      <c r="K175" s="4">
        <v>46173</v>
      </c>
      <c r="L175" s="5">
        <v>2.7777777777777776E-2</v>
      </c>
    </row>
    <row r="176" spans="1:12" x14ac:dyDescent="0.3">
      <c r="A176" s="1"/>
      <c r="B176" t="s">
        <v>261</v>
      </c>
      <c r="C176" s="1" t="s">
        <v>1438</v>
      </c>
      <c r="D176" s="1" t="s">
        <v>975</v>
      </c>
      <c r="E176" s="1" t="s">
        <v>1328</v>
      </c>
      <c r="F176" s="1" t="s">
        <v>1281</v>
      </c>
      <c r="G176" s="4">
        <v>46163</v>
      </c>
      <c r="H176" s="5">
        <v>1.7361111111111112E-2</v>
      </c>
      <c r="I176" s="1" t="s">
        <v>1354</v>
      </c>
      <c r="J176" s="16" t="s">
        <v>1280</v>
      </c>
      <c r="K176" s="4">
        <v>46179</v>
      </c>
      <c r="L176" s="5">
        <v>0.36805555555555558</v>
      </c>
    </row>
    <row r="177" spans="1:12" x14ac:dyDescent="0.3">
      <c r="A177" s="1"/>
      <c r="B177" t="s">
        <v>261</v>
      </c>
      <c r="C177" s="1" t="s">
        <v>1467</v>
      </c>
      <c r="D177" s="1" t="s">
        <v>390</v>
      </c>
      <c r="E177" s="1" t="s">
        <v>1322</v>
      </c>
      <c r="F177" s="1" t="s">
        <v>1280</v>
      </c>
      <c r="G177" s="4">
        <v>46163</v>
      </c>
      <c r="H177" s="5">
        <v>0.80902777777777779</v>
      </c>
      <c r="I177" s="1" t="s">
        <v>1298</v>
      </c>
      <c r="J177" s="16" t="s">
        <v>1281</v>
      </c>
      <c r="K177" s="4">
        <v>46175</v>
      </c>
      <c r="L177" s="5">
        <v>0.21527777777777779</v>
      </c>
    </row>
    <row r="178" spans="1:12" x14ac:dyDescent="0.3">
      <c r="A178" s="1"/>
      <c r="B178" t="s">
        <v>261</v>
      </c>
      <c r="C178" s="1" t="s">
        <v>1467</v>
      </c>
      <c r="D178" s="1" t="s">
        <v>390</v>
      </c>
      <c r="E178" s="1" t="s">
        <v>1322</v>
      </c>
      <c r="F178" s="1" t="s">
        <v>1280</v>
      </c>
      <c r="G178" s="4">
        <v>46163</v>
      </c>
      <c r="H178" s="5">
        <v>0.80902777777777779</v>
      </c>
      <c r="I178" s="1" t="s">
        <v>1298</v>
      </c>
      <c r="J178" s="16" t="s">
        <v>1281</v>
      </c>
      <c r="K178" s="4">
        <v>46175</v>
      </c>
      <c r="L178" s="5">
        <v>0.21527777777777779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99E9-4692-4308-AC85-ADFE5A75ACB0}">
  <sheetPr>
    <tabColor rgb="FFFFFF00"/>
  </sheetPr>
  <dimension ref="A1:AD178"/>
  <sheetViews>
    <sheetView zoomScale="85" zoomScaleNormal="85" workbookViewId="0">
      <selection activeCell="C16" sqref="C16"/>
    </sheetView>
  </sheetViews>
  <sheetFormatPr defaultRowHeight="14.4" x14ac:dyDescent="0.3"/>
  <cols>
    <col min="1" max="1" width="16.44140625" bestFit="1" customWidth="1"/>
    <col min="2" max="2" width="80.88671875" bestFit="1" customWidth="1"/>
    <col min="3" max="3" width="25.5546875" bestFit="1" customWidth="1"/>
    <col min="4" max="4" width="21.77734375" bestFit="1" customWidth="1"/>
    <col min="5" max="5" width="19.33203125" bestFit="1" customWidth="1"/>
    <col min="6" max="6" width="22.44140625" bestFit="1" customWidth="1"/>
    <col min="7" max="7" width="22.5546875" bestFit="1" customWidth="1"/>
    <col min="8" max="8" width="20" bestFit="1" customWidth="1"/>
    <col min="9" max="9" width="20.109375" bestFit="1" customWidth="1"/>
    <col min="10" max="10" width="25.5546875" bestFit="1" customWidth="1"/>
    <col min="11" max="11" width="21.77734375" bestFit="1" customWidth="1"/>
    <col min="12" max="12" width="19.33203125" bestFit="1" customWidth="1"/>
    <col min="13" max="13" width="22.44140625" bestFit="1" customWidth="1"/>
    <col min="14" max="14" width="22.5546875" bestFit="1" customWidth="1"/>
    <col min="15" max="15" width="20" bestFit="1" customWidth="1"/>
    <col min="16" max="16" width="20.109375" bestFit="1" customWidth="1"/>
    <col min="17" max="17" width="22.33203125" bestFit="1" customWidth="1"/>
    <col min="18" max="18" width="18.5546875" bestFit="1" customWidth="1"/>
    <col min="19" max="19" width="16.21875" bestFit="1" customWidth="1"/>
    <col min="20" max="20" width="19.21875" bestFit="1" customWidth="1"/>
    <col min="21" max="21" width="19.33203125" bestFit="1" customWidth="1"/>
    <col min="22" max="22" width="16.88671875" bestFit="1" customWidth="1"/>
    <col min="23" max="23" width="17" bestFit="1" customWidth="1"/>
    <col min="24" max="24" width="22.33203125" bestFit="1" customWidth="1"/>
    <col min="25" max="25" width="18.5546875" bestFit="1" customWidth="1"/>
    <col min="26" max="26" width="16.21875" bestFit="1" customWidth="1"/>
    <col min="27" max="27" width="19.21875" bestFit="1" customWidth="1"/>
    <col min="28" max="28" width="19.33203125" bestFit="1" customWidth="1"/>
    <col min="29" max="29" width="16.88671875" bestFit="1" customWidth="1"/>
    <col min="30" max="30" width="17" bestFit="1" customWidth="1"/>
    <col min="31" max="31" width="17.6640625" bestFit="1" customWidth="1"/>
    <col min="32" max="32" width="17.6640625" customWidth="1"/>
    <col min="33" max="33" width="11.44140625" bestFit="1" customWidth="1"/>
    <col min="34" max="34" width="16" bestFit="1" customWidth="1"/>
    <col min="35" max="35" width="11.6640625" bestFit="1" customWidth="1"/>
    <col min="36" max="36" width="11.5546875" bestFit="1" customWidth="1"/>
    <col min="37" max="37" width="12.44140625" bestFit="1" customWidth="1"/>
    <col min="38" max="38" width="12.5546875" bestFit="1" customWidth="1"/>
    <col min="39" max="39" width="10.5546875" bestFit="1" customWidth="1"/>
    <col min="40" max="40" width="11.33203125" bestFit="1" customWidth="1"/>
    <col min="41" max="41" width="20.6640625" bestFit="1" customWidth="1"/>
    <col min="42" max="42" width="20" bestFit="1" customWidth="1"/>
    <col min="43" max="43" width="13.44140625" bestFit="1" customWidth="1"/>
    <col min="44" max="44" width="18.6640625" bestFit="1" customWidth="1"/>
    <col min="45" max="45" width="25.88671875" bestFit="1" customWidth="1"/>
    <col min="46" max="46" width="21.5546875" bestFit="1" customWidth="1"/>
    <col min="47" max="47" width="22.44140625" bestFit="1" customWidth="1"/>
    <col min="48" max="48" width="19" bestFit="1" customWidth="1"/>
    <col min="49" max="49" width="20" bestFit="1" customWidth="1"/>
    <col min="50" max="50" width="15.5546875" bestFit="1" customWidth="1"/>
    <col min="51" max="51" width="22.5546875" bestFit="1" customWidth="1"/>
    <col min="52" max="52" width="18.33203125" bestFit="1" customWidth="1"/>
    <col min="53" max="53" width="19.109375" bestFit="1" customWidth="1"/>
    <col min="54" max="54" width="15.88671875" bestFit="1" customWidth="1"/>
    <col min="55" max="55" width="16.6640625" bestFit="1" customWidth="1"/>
  </cols>
  <sheetData>
    <row r="1" spans="1:30" x14ac:dyDescent="0.3">
      <c r="A1" t="s">
        <v>56</v>
      </c>
      <c r="B1" t="s">
        <v>146</v>
      </c>
      <c r="C1" t="s">
        <v>105</v>
      </c>
      <c r="D1" t="s">
        <v>106</v>
      </c>
      <c r="E1" s="3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s="3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s="3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s="3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</row>
    <row r="2" spans="1:30" x14ac:dyDescent="0.3">
      <c r="A2" s="1" t="s">
        <v>77</v>
      </c>
      <c r="B2" t="s">
        <v>148</v>
      </c>
      <c r="C2" s="1" t="s">
        <v>57</v>
      </c>
      <c r="D2" s="1" t="s">
        <v>58</v>
      </c>
      <c r="E2" s="1" t="s">
        <v>59</v>
      </c>
      <c r="F2" s="4">
        <v>46159</v>
      </c>
      <c r="G2" s="5">
        <v>0.45833333333333331</v>
      </c>
      <c r="H2" s="4">
        <v>46160</v>
      </c>
      <c r="I2" s="5">
        <v>0.2361111111111111</v>
      </c>
      <c r="J2" s="1" t="s">
        <v>133</v>
      </c>
      <c r="K2" s="1" t="s">
        <v>59</v>
      </c>
      <c r="L2" s="1" t="s">
        <v>65</v>
      </c>
      <c r="M2" s="4">
        <v>46160</v>
      </c>
      <c r="N2" s="5">
        <v>0.34722222222222221</v>
      </c>
      <c r="O2" s="4">
        <v>46160</v>
      </c>
      <c r="P2" s="5">
        <v>0.3923611111111111</v>
      </c>
      <c r="Q2" s="1" t="s">
        <v>60</v>
      </c>
      <c r="R2" s="1" t="s">
        <v>59</v>
      </c>
      <c r="S2" s="1" t="s">
        <v>58</v>
      </c>
      <c r="T2" s="4">
        <v>46173</v>
      </c>
      <c r="U2" s="5">
        <v>0.12847222222222221</v>
      </c>
      <c r="V2" s="4">
        <v>46173</v>
      </c>
      <c r="W2" s="5">
        <v>0.375</v>
      </c>
      <c r="X2" s="1"/>
      <c r="Y2" s="1"/>
      <c r="Z2" s="1"/>
      <c r="AA2" s="4"/>
      <c r="AB2" s="5"/>
      <c r="AC2" s="4"/>
      <c r="AD2" s="5"/>
    </row>
    <row r="3" spans="1:30" x14ac:dyDescent="0.3">
      <c r="A3" s="1" t="s">
        <v>77</v>
      </c>
      <c r="B3" t="s">
        <v>149</v>
      </c>
      <c r="C3" s="1" t="s">
        <v>64</v>
      </c>
      <c r="D3" s="1" t="s">
        <v>62</v>
      </c>
      <c r="E3" s="1" t="s">
        <v>65</v>
      </c>
      <c r="F3" s="4">
        <v>46160</v>
      </c>
      <c r="G3" s="5">
        <v>0.78472222222222221</v>
      </c>
      <c r="H3" s="4">
        <v>46161</v>
      </c>
      <c r="I3" s="5">
        <v>0.87847222222222221</v>
      </c>
      <c r="J3" s="1"/>
      <c r="K3" s="1"/>
      <c r="L3" s="1"/>
      <c r="M3" s="4"/>
      <c r="N3" s="5"/>
      <c r="O3" s="4"/>
      <c r="P3" s="5"/>
      <c r="Q3" s="1" t="s">
        <v>63</v>
      </c>
      <c r="R3" s="1" t="s">
        <v>59</v>
      </c>
      <c r="S3" s="1" t="s">
        <v>62</v>
      </c>
      <c r="T3" s="4">
        <v>46173</v>
      </c>
      <c r="U3" s="5">
        <v>0.3923611111111111</v>
      </c>
      <c r="V3" s="4">
        <v>46173</v>
      </c>
      <c r="W3" s="5">
        <v>0.65625</v>
      </c>
      <c r="X3" s="1"/>
      <c r="Y3" s="1"/>
      <c r="Z3" s="1"/>
      <c r="AA3" s="4"/>
      <c r="AB3" s="5"/>
      <c r="AC3" s="4"/>
      <c r="AD3" s="5"/>
    </row>
    <row r="4" spans="1:30" x14ac:dyDescent="0.3">
      <c r="A4" s="1" t="s">
        <v>77</v>
      </c>
      <c r="B4" t="s">
        <v>150</v>
      </c>
      <c r="C4" s="1" t="s">
        <v>66</v>
      </c>
      <c r="D4" s="1" t="s">
        <v>67</v>
      </c>
      <c r="E4" s="1" t="s">
        <v>59</v>
      </c>
      <c r="F4" s="4">
        <v>46159</v>
      </c>
      <c r="G4" s="5">
        <v>0.79166666666666663</v>
      </c>
      <c r="H4" s="4">
        <v>46160</v>
      </c>
      <c r="I4" s="5">
        <v>0.57986111111111116</v>
      </c>
      <c r="J4" s="1" t="s">
        <v>135</v>
      </c>
      <c r="K4" s="1" t="s">
        <v>59</v>
      </c>
      <c r="L4" s="1" t="s">
        <v>65</v>
      </c>
      <c r="M4" s="4">
        <v>46160</v>
      </c>
      <c r="N4" s="5">
        <v>0.84722222222222221</v>
      </c>
      <c r="O4" s="4">
        <v>46160</v>
      </c>
      <c r="P4" s="5">
        <v>0.89236111111111116</v>
      </c>
      <c r="Q4" s="1" t="s">
        <v>68</v>
      </c>
      <c r="R4" s="1" t="s">
        <v>59</v>
      </c>
      <c r="S4" s="1" t="s">
        <v>67</v>
      </c>
      <c r="T4" s="4">
        <v>46172</v>
      </c>
      <c r="U4" s="5">
        <v>0.38541666666666669</v>
      </c>
      <c r="V4" s="4">
        <v>46172</v>
      </c>
      <c r="W4" s="5">
        <v>0.64236111111111116</v>
      </c>
      <c r="X4" s="1"/>
      <c r="Y4" s="1"/>
      <c r="Z4" s="1"/>
      <c r="AA4" s="4"/>
      <c r="AB4" s="5"/>
      <c r="AC4" s="4"/>
      <c r="AD4" s="5"/>
    </row>
    <row r="5" spans="1:30" x14ac:dyDescent="0.3">
      <c r="A5" s="1" t="s">
        <v>77</v>
      </c>
      <c r="B5" t="s">
        <v>150</v>
      </c>
      <c r="C5" s="1" t="s">
        <v>66</v>
      </c>
      <c r="D5" s="1" t="s">
        <v>67</v>
      </c>
      <c r="E5" s="1" t="s">
        <v>59</v>
      </c>
      <c r="F5" s="4">
        <v>46159</v>
      </c>
      <c r="G5" s="5">
        <v>0.79166666666666663</v>
      </c>
      <c r="H5" s="4">
        <v>46160</v>
      </c>
      <c r="I5" s="5">
        <v>0.57986111111111116</v>
      </c>
      <c r="J5" s="1" t="s">
        <v>135</v>
      </c>
      <c r="K5" s="1" t="s">
        <v>59</v>
      </c>
      <c r="L5" s="1" t="s">
        <v>65</v>
      </c>
      <c r="M5" s="4">
        <v>46160</v>
      </c>
      <c r="N5" s="5">
        <v>0.84722222222222221</v>
      </c>
      <c r="O5" s="4">
        <v>46160</v>
      </c>
      <c r="P5" s="5">
        <v>0.89236111111111116</v>
      </c>
      <c r="Q5" s="1" t="s">
        <v>68</v>
      </c>
      <c r="R5" s="1" t="s">
        <v>59</v>
      </c>
      <c r="S5" s="1" t="s">
        <v>67</v>
      </c>
      <c r="T5" s="4">
        <v>46172</v>
      </c>
      <c r="U5" s="5">
        <v>0.38541666666666669</v>
      </c>
      <c r="V5" s="4">
        <v>46172</v>
      </c>
      <c r="W5" s="5">
        <v>0.64236111111111116</v>
      </c>
      <c r="X5" s="1"/>
      <c r="Y5" s="1"/>
      <c r="Z5" s="1"/>
      <c r="AA5" s="4"/>
      <c r="AB5" s="5"/>
      <c r="AC5" s="4"/>
      <c r="AD5" s="5"/>
    </row>
    <row r="6" spans="1:30" x14ac:dyDescent="0.3">
      <c r="A6" s="1" t="s">
        <v>77</v>
      </c>
      <c r="B6" t="s">
        <v>151</v>
      </c>
      <c r="C6" s="1" t="s">
        <v>69</v>
      </c>
      <c r="D6" s="1" t="s">
        <v>70</v>
      </c>
      <c r="E6" s="1" t="s">
        <v>59</v>
      </c>
      <c r="F6" s="4">
        <v>46158</v>
      </c>
      <c r="G6" s="5">
        <v>0.875</v>
      </c>
      <c r="H6" s="4">
        <v>46159</v>
      </c>
      <c r="I6" s="5">
        <v>0.93055555555555558</v>
      </c>
      <c r="J6" s="1" t="s">
        <v>136</v>
      </c>
      <c r="K6" s="1" t="s">
        <v>59</v>
      </c>
      <c r="L6" s="1" t="s">
        <v>65</v>
      </c>
      <c r="M6" s="4">
        <v>46160</v>
      </c>
      <c r="N6" s="5">
        <v>6.25E-2</v>
      </c>
      <c r="O6" s="4">
        <v>46160</v>
      </c>
      <c r="P6" s="5">
        <v>0.1076388888888889</v>
      </c>
      <c r="Q6" s="1" t="s">
        <v>71</v>
      </c>
      <c r="R6" s="1" t="s">
        <v>59</v>
      </c>
      <c r="S6" s="1" t="s">
        <v>70</v>
      </c>
      <c r="T6" s="4">
        <v>46172</v>
      </c>
      <c r="U6" s="5">
        <v>0.40972222222222221</v>
      </c>
      <c r="V6" s="4">
        <v>46172</v>
      </c>
      <c r="W6" s="5">
        <v>0.67013888888888884</v>
      </c>
      <c r="X6" s="1"/>
      <c r="Y6" s="1"/>
      <c r="Z6" s="1"/>
      <c r="AA6" s="4"/>
      <c r="AB6" s="5"/>
      <c r="AC6" s="4"/>
      <c r="AD6" s="5"/>
    </row>
    <row r="7" spans="1:30" x14ac:dyDescent="0.3">
      <c r="A7" s="1" t="s">
        <v>77</v>
      </c>
      <c r="B7" t="s">
        <v>152</v>
      </c>
      <c r="C7" s="1" t="s">
        <v>61</v>
      </c>
      <c r="D7" s="1" t="s">
        <v>62</v>
      </c>
      <c r="E7" s="1" t="s">
        <v>59</v>
      </c>
      <c r="F7" s="4">
        <v>46159</v>
      </c>
      <c r="G7" s="5">
        <v>0.78472222222222221</v>
      </c>
      <c r="H7" s="4">
        <v>46160</v>
      </c>
      <c r="I7" s="5">
        <v>0.66319444444444442</v>
      </c>
      <c r="J7" s="1"/>
      <c r="K7" s="1"/>
      <c r="L7" s="1"/>
      <c r="M7" s="4"/>
      <c r="N7" s="5"/>
      <c r="O7" s="4"/>
      <c r="P7" s="5"/>
      <c r="Q7" s="1" t="s">
        <v>63</v>
      </c>
      <c r="R7" s="1" t="s">
        <v>59</v>
      </c>
      <c r="S7" s="1" t="s">
        <v>62</v>
      </c>
      <c r="T7" s="4">
        <v>46172</v>
      </c>
      <c r="U7" s="5">
        <v>0.3923611111111111</v>
      </c>
      <c r="V7" s="4">
        <v>46172</v>
      </c>
      <c r="W7" s="5">
        <v>0.65625</v>
      </c>
      <c r="X7" s="1"/>
      <c r="Y7" s="1"/>
      <c r="Z7" s="1"/>
      <c r="AA7" s="4"/>
      <c r="AB7" s="5"/>
      <c r="AC7" s="4"/>
      <c r="AD7" s="5"/>
    </row>
    <row r="8" spans="1:30" x14ac:dyDescent="0.3">
      <c r="A8" s="1" t="s">
        <v>77</v>
      </c>
      <c r="B8" t="s">
        <v>153</v>
      </c>
      <c r="C8" s="1" t="s">
        <v>66</v>
      </c>
      <c r="D8" s="1" t="s">
        <v>67</v>
      </c>
      <c r="E8" s="1" t="s">
        <v>59</v>
      </c>
      <c r="F8" s="4">
        <v>46159</v>
      </c>
      <c r="G8" s="5">
        <v>0.79166666666666663</v>
      </c>
      <c r="H8" s="4">
        <v>46160</v>
      </c>
      <c r="I8" s="5">
        <v>0.57986111111111116</v>
      </c>
      <c r="J8" s="1" t="s">
        <v>134</v>
      </c>
      <c r="K8" s="1" t="s">
        <v>59</v>
      </c>
      <c r="L8" s="1" t="s">
        <v>65</v>
      </c>
      <c r="M8" s="4">
        <v>46160</v>
      </c>
      <c r="N8" s="5">
        <v>0.69444444444444442</v>
      </c>
      <c r="O8" s="4">
        <v>46160</v>
      </c>
      <c r="P8" s="5">
        <v>0.73958333333333337</v>
      </c>
      <c r="Q8" s="1" t="s">
        <v>68</v>
      </c>
      <c r="R8" s="1" t="s">
        <v>59</v>
      </c>
      <c r="S8" s="1" t="s">
        <v>67</v>
      </c>
      <c r="T8" s="4">
        <v>46172</v>
      </c>
      <c r="U8" s="5">
        <v>0.38541666666666669</v>
      </c>
      <c r="V8" s="4">
        <v>46172</v>
      </c>
      <c r="W8" s="5">
        <v>0.64236111111111116</v>
      </c>
      <c r="X8" s="1"/>
      <c r="Y8" s="1"/>
      <c r="Z8" s="1"/>
      <c r="AA8" s="4"/>
      <c r="AB8" s="5"/>
      <c r="AC8" s="4"/>
      <c r="AD8" s="5"/>
    </row>
    <row r="9" spans="1:30" x14ac:dyDescent="0.3">
      <c r="A9" s="1" t="s">
        <v>77</v>
      </c>
      <c r="B9" t="s">
        <v>154</v>
      </c>
      <c r="C9" s="1" t="s">
        <v>66</v>
      </c>
      <c r="D9" s="1" t="s">
        <v>67</v>
      </c>
      <c r="E9" s="1" t="s">
        <v>59</v>
      </c>
      <c r="F9" s="4">
        <v>46161</v>
      </c>
      <c r="G9" s="5">
        <v>0.79166666666666663</v>
      </c>
      <c r="H9" s="4">
        <v>46162</v>
      </c>
      <c r="I9" s="5">
        <v>0.57986111111111116</v>
      </c>
      <c r="J9" s="1" t="s">
        <v>134</v>
      </c>
      <c r="K9" s="1" t="s">
        <v>59</v>
      </c>
      <c r="L9" s="1" t="s">
        <v>65</v>
      </c>
      <c r="M9" s="4">
        <v>46162</v>
      </c>
      <c r="N9" s="5">
        <v>0.69444444444444442</v>
      </c>
      <c r="O9" s="4">
        <v>46162</v>
      </c>
      <c r="P9" s="5">
        <v>0.73958333333333337</v>
      </c>
      <c r="Q9" s="1" t="s">
        <v>68</v>
      </c>
      <c r="R9" s="1" t="s">
        <v>59</v>
      </c>
      <c r="S9" s="1" t="s">
        <v>67</v>
      </c>
      <c r="T9" s="4">
        <v>46173</v>
      </c>
      <c r="U9" s="5">
        <v>0.38541666666666669</v>
      </c>
      <c r="V9" s="4">
        <v>46173</v>
      </c>
      <c r="W9" s="5">
        <v>0.64236111111111116</v>
      </c>
      <c r="X9" s="1"/>
      <c r="Y9" s="1"/>
      <c r="Z9" s="1"/>
      <c r="AA9" s="4"/>
      <c r="AB9" s="5"/>
      <c r="AC9" s="4"/>
      <c r="AD9" s="5"/>
    </row>
    <row r="10" spans="1:30" x14ac:dyDescent="0.3">
      <c r="A10" s="1" t="s">
        <v>77</v>
      </c>
      <c r="B10" t="s">
        <v>154</v>
      </c>
      <c r="C10" s="1" t="s">
        <v>66</v>
      </c>
      <c r="D10" s="1" t="s">
        <v>67</v>
      </c>
      <c r="E10" s="1" t="s">
        <v>59</v>
      </c>
      <c r="F10" s="4">
        <v>46161</v>
      </c>
      <c r="G10" s="5">
        <v>0.79166666666666663</v>
      </c>
      <c r="H10" s="4">
        <v>46162</v>
      </c>
      <c r="I10" s="5">
        <v>0.57986111111111116</v>
      </c>
      <c r="J10" s="1" t="s">
        <v>134</v>
      </c>
      <c r="K10" s="1" t="s">
        <v>59</v>
      </c>
      <c r="L10" s="1" t="s">
        <v>65</v>
      </c>
      <c r="M10" s="4">
        <v>46162</v>
      </c>
      <c r="N10" s="5">
        <v>0.69444444444444442</v>
      </c>
      <c r="O10" s="4">
        <v>46162</v>
      </c>
      <c r="P10" s="5">
        <v>0.73958333333333337</v>
      </c>
      <c r="Q10" s="1" t="s">
        <v>68</v>
      </c>
      <c r="R10" s="1" t="s">
        <v>59</v>
      </c>
      <c r="S10" s="1" t="s">
        <v>67</v>
      </c>
      <c r="T10" s="4">
        <v>46173</v>
      </c>
      <c r="U10" s="5">
        <v>0.38541666666666669</v>
      </c>
      <c r="V10" s="4">
        <v>46173</v>
      </c>
      <c r="W10" s="5">
        <v>0.64236111111111116</v>
      </c>
      <c r="X10" s="1"/>
      <c r="Y10" s="1"/>
      <c r="Z10" s="1"/>
      <c r="AA10" s="4"/>
      <c r="AB10" s="5"/>
      <c r="AC10" s="4"/>
      <c r="AD10" s="5"/>
    </row>
    <row r="11" spans="1:30" x14ac:dyDescent="0.3">
      <c r="A11" s="1" t="s">
        <v>77</v>
      </c>
      <c r="B11" t="s">
        <v>151</v>
      </c>
      <c r="C11" s="1" t="s">
        <v>69</v>
      </c>
      <c r="D11" s="1" t="s">
        <v>70</v>
      </c>
      <c r="E11" s="1" t="s">
        <v>59</v>
      </c>
      <c r="F11" s="4">
        <v>46158</v>
      </c>
      <c r="G11" s="5">
        <v>0.875</v>
      </c>
      <c r="H11" s="4">
        <v>46159</v>
      </c>
      <c r="I11" s="5">
        <v>0.93055555555555558</v>
      </c>
      <c r="J11" s="1" t="s">
        <v>136</v>
      </c>
      <c r="K11" s="1" t="s">
        <v>59</v>
      </c>
      <c r="L11" s="1" t="s">
        <v>65</v>
      </c>
      <c r="M11" s="4">
        <v>46160</v>
      </c>
      <c r="N11" s="5">
        <v>6.25E-2</v>
      </c>
      <c r="O11" s="4">
        <v>46160</v>
      </c>
      <c r="P11" s="5">
        <v>0.1076388888888889</v>
      </c>
      <c r="Q11" s="1" t="s">
        <v>71</v>
      </c>
      <c r="R11" s="1" t="s">
        <v>59</v>
      </c>
      <c r="S11" s="1" t="s">
        <v>70</v>
      </c>
      <c r="T11" s="4">
        <v>46172</v>
      </c>
      <c r="U11" s="5">
        <v>0.40972222222222221</v>
      </c>
      <c r="V11" s="4">
        <v>46172</v>
      </c>
      <c r="W11" s="5">
        <v>0.67013888888888884</v>
      </c>
      <c r="X11" s="1"/>
      <c r="Y11" s="1"/>
      <c r="Z11" s="1"/>
      <c r="AA11" s="4"/>
      <c r="AB11" s="5"/>
      <c r="AC11" s="4"/>
      <c r="AD11" s="5"/>
    </row>
    <row r="12" spans="1:30" x14ac:dyDescent="0.3">
      <c r="A12" s="1" t="s">
        <v>77</v>
      </c>
      <c r="B12" t="s">
        <v>151</v>
      </c>
      <c r="C12" s="1" t="s">
        <v>69</v>
      </c>
      <c r="D12" s="1" t="s">
        <v>70</v>
      </c>
      <c r="E12" s="1" t="s">
        <v>59</v>
      </c>
      <c r="F12" s="4">
        <v>46158</v>
      </c>
      <c r="G12" s="5">
        <v>0.875</v>
      </c>
      <c r="H12" s="4">
        <v>46159</v>
      </c>
      <c r="I12" s="5">
        <v>0.93055555555555558</v>
      </c>
      <c r="J12" s="1" t="s">
        <v>136</v>
      </c>
      <c r="K12" s="1" t="s">
        <v>59</v>
      </c>
      <c r="L12" s="1" t="s">
        <v>65</v>
      </c>
      <c r="M12" s="4">
        <v>46160</v>
      </c>
      <c r="N12" s="5">
        <v>6.25E-2</v>
      </c>
      <c r="O12" s="4">
        <v>46160</v>
      </c>
      <c r="P12" s="5">
        <v>0.1076388888888889</v>
      </c>
      <c r="Q12" s="1" t="s">
        <v>71</v>
      </c>
      <c r="R12" s="1" t="s">
        <v>59</v>
      </c>
      <c r="S12" s="1" t="s">
        <v>70</v>
      </c>
      <c r="T12" s="4">
        <v>46172</v>
      </c>
      <c r="U12" s="5">
        <v>0.40972222222222221</v>
      </c>
      <c r="V12" s="4">
        <v>46172</v>
      </c>
      <c r="W12" s="5">
        <v>0.67013888888888884</v>
      </c>
      <c r="X12" s="1"/>
      <c r="Y12" s="1"/>
      <c r="Z12" s="1"/>
      <c r="AA12" s="4"/>
      <c r="AB12" s="5"/>
      <c r="AC12" s="4"/>
      <c r="AD12" s="5"/>
    </row>
    <row r="13" spans="1:30" x14ac:dyDescent="0.3">
      <c r="A13" s="1" t="s">
        <v>77</v>
      </c>
      <c r="B13" t="s">
        <v>155</v>
      </c>
      <c r="C13" s="1" t="s">
        <v>64</v>
      </c>
      <c r="D13" s="1" t="s">
        <v>62</v>
      </c>
      <c r="E13" s="1" t="s">
        <v>74</v>
      </c>
      <c r="F13" s="4">
        <v>46160</v>
      </c>
      <c r="G13" s="5">
        <v>0.78472222222222221</v>
      </c>
      <c r="H13" s="4">
        <v>46161</v>
      </c>
      <c r="I13" s="5">
        <v>0.60416666666666663</v>
      </c>
      <c r="J13" s="1" t="s">
        <v>137</v>
      </c>
      <c r="K13" s="1" t="s">
        <v>74</v>
      </c>
      <c r="L13" s="1" t="s">
        <v>65</v>
      </c>
      <c r="M13" s="4">
        <v>46161</v>
      </c>
      <c r="N13" s="5">
        <v>0.8125</v>
      </c>
      <c r="O13" s="4">
        <v>46161</v>
      </c>
      <c r="P13" s="5">
        <v>0.87847222222222221</v>
      </c>
      <c r="Q13" s="1" t="s">
        <v>63</v>
      </c>
      <c r="R13" s="1" t="s">
        <v>59</v>
      </c>
      <c r="S13" s="1" t="s">
        <v>62</v>
      </c>
      <c r="T13" s="4">
        <v>46173</v>
      </c>
      <c r="U13" s="5">
        <v>0.3923611111111111</v>
      </c>
      <c r="V13" s="4">
        <v>46173</v>
      </c>
      <c r="W13" s="5">
        <v>0.65625</v>
      </c>
      <c r="X13" s="1"/>
      <c r="Y13" s="1"/>
      <c r="Z13" s="1"/>
      <c r="AA13" s="4"/>
      <c r="AB13" s="5"/>
      <c r="AC13" s="4"/>
      <c r="AD13" s="5"/>
    </row>
    <row r="14" spans="1:30" x14ac:dyDescent="0.3">
      <c r="A14" s="1" t="s">
        <v>77</v>
      </c>
      <c r="B14" t="s">
        <v>156</v>
      </c>
      <c r="C14" s="1" t="s">
        <v>61</v>
      </c>
      <c r="D14" s="1" t="s">
        <v>62</v>
      </c>
      <c r="E14" s="1" t="s">
        <v>59</v>
      </c>
      <c r="F14" s="4">
        <v>46159</v>
      </c>
      <c r="G14" s="5">
        <v>0.78472222222222221</v>
      </c>
      <c r="H14" s="4">
        <v>46160</v>
      </c>
      <c r="I14" s="5">
        <v>0.57986111111111116</v>
      </c>
      <c r="J14" s="1"/>
      <c r="K14" s="1"/>
      <c r="L14" s="1"/>
      <c r="M14" s="4"/>
      <c r="N14" s="5"/>
      <c r="O14" s="4"/>
      <c r="P14" s="5"/>
      <c r="Q14" s="1" t="s">
        <v>63</v>
      </c>
      <c r="R14" s="1" t="s">
        <v>59</v>
      </c>
      <c r="S14" s="1" t="s">
        <v>62</v>
      </c>
      <c r="T14" s="4">
        <v>46172</v>
      </c>
      <c r="U14" s="5">
        <v>0.3923611111111111</v>
      </c>
      <c r="V14" s="4">
        <v>46172</v>
      </c>
      <c r="W14" s="5">
        <v>0.65625</v>
      </c>
      <c r="X14" s="1"/>
      <c r="Y14" s="1"/>
      <c r="Z14" s="1"/>
      <c r="AA14" s="4"/>
      <c r="AB14" s="5"/>
      <c r="AC14" s="4"/>
      <c r="AD14" s="5"/>
    </row>
    <row r="15" spans="1:30" x14ac:dyDescent="0.3">
      <c r="A15" s="1" t="s">
        <v>77</v>
      </c>
      <c r="B15" t="s">
        <v>157</v>
      </c>
      <c r="C15" s="1" t="s">
        <v>61</v>
      </c>
      <c r="D15" s="1" t="s">
        <v>62</v>
      </c>
      <c r="E15" s="1" t="s">
        <v>59</v>
      </c>
      <c r="F15" s="4">
        <v>46159</v>
      </c>
      <c r="G15" s="5">
        <v>0.78472222222222221</v>
      </c>
      <c r="H15" s="4">
        <v>46160</v>
      </c>
      <c r="I15" s="5">
        <v>0.57986111111111116</v>
      </c>
      <c r="J15" s="1" t="s">
        <v>134</v>
      </c>
      <c r="K15" s="1" t="s">
        <v>59</v>
      </c>
      <c r="L15" s="1" t="s">
        <v>65</v>
      </c>
      <c r="M15" s="4">
        <v>46160</v>
      </c>
      <c r="N15" s="5">
        <v>0.69444444444444442</v>
      </c>
      <c r="O15" s="4">
        <v>46160</v>
      </c>
      <c r="P15" s="5">
        <v>0.73958333333333337</v>
      </c>
      <c r="Q15" s="1" t="s">
        <v>63</v>
      </c>
      <c r="R15" s="1" t="s">
        <v>59</v>
      </c>
      <c r="S15" s="1" t="s">
        <v>62</v>
      </c>
      <c r="T15" s="4">
        <v>46172</v>
      </c>
      <c r="U15" s="5">
        <v>0.35069444444444442</v>
      </c>
      <c r="V15" s="4">
        <v>46172</v>
      </c>
      <c r="W15" s="5">
        <v>0.65625</v>
      </c>
      <c r="X15" s="1"/>
      <c r="Y15" s="1"/>
      <c r="Z15" s="1"/>
      <c r="AA15" s="4"/>
      <c r="AB15" s="5"/>
      <c r="AC15" s="4"/>
      <c r="AD15" s="5"/>
    </row>
    <row r="16" spans="1:30" x14ac:dyDescent="0.3">
      <c r="A16" s="1" t="s">
        <v>81</v>
      </c>
      <c r="B16" t="s">
        <v>150</v>
      </c>
      <c r="C16" s="1" t="s">
        <v>66</v>
      </c>
      <c r="D16" s="1" t="s">
        <v>67</v>
      </c>
      <c r="E16" s="1" t="s">
        <v>59</v>
      </c>
      <c r="F16" s="4">
        <v>46159</v>
      </c>
      <c r="G16" s="5">
        <v>0.79166666666666663</v>
      </c>
      <c r="H16" s="4">
        <v>46160</v>
      </c>
      <c r="I16" s="5">
        <v>0.57986111111111116</v>
      </c>
      <c r="J16" s="1" t="s">
        <v>135</v>
      </c>
      <c r="K16" s="1" t="s">
        <v>59</v>
      </c>
      <c r="L16" s="1" t="s">
        <v>65</v>
      </c>
      <c r="M16" s="4">
        <v>46160</v>
      </c>
      <c r="N16" s="5">
        <v>0.84722222222222221</v>
      </c>
      <c r="O16" s="4">
        <v>46160</v>
      </c>
      <c r="P16" s="5">
        <v>0.89236111111111116</v>
      </c>
      <c r="Q16" s="1" t="s">
        <v>68</v>
      </c>
      <c r="R16" s="1" t="s">
        <v>59</v>
      </c>
      <c r="S16" s="1" t="s">
        <v>67</v>
      </c>
      <c r="T16" s="4">
        <v>46172</v>
      </c>
      <c r="U16" s="5">
        <v>0.38541666666666669</v>
      </c>
      <c r="V16" s="4">
        <v>46172</v>
      </c>
      <c r="W16" s="5">
        <v>0.64236111111111116</v>
      </c>
      <c r="X16" s="1"/>
      <c r="Y16" s="1"/>
      <c r="Z16" s="1"/>
      <c r="AA16" s="4"/>
      <c r="AB16" s="5"/>
      <c r="AC16" s="4"/>
      <c r="AD16" s="5"/>
    </row>
    <row r="17" spans="1:30" x14ac:dyDescent="0.3">
      <c r="A17" s="1" t="s">
        <v>81</v>
      </c>
      <c r="B17" t="s">
        <v>150</v>
      </c>
      <c r="C17" s="1" t="s">
        <v>66</v>
      </c>
      <c r="D17" s="1" t="s">
        <v>67</v>
      </c>
      <c r="E17" s="1" t="s">
        <v>59</v>
      </c>
      <c r="F17" s="4">
        <v>46159</v>
      </c>
      <c r="G17" s="5">
        <v>0.79166666666666663</v>
      </c>
      <c r="H17" s="4">
        <v>46160</v>
      </c>
      <c r="I17" s="5">
        <v>0.57986111111111116</v>
      </c>
      <c r="J17" s="1" t="s">
        <v>135</v>
      </c>
      <c r="K17" s="1" t="s">
        <v>59</v>
      </c>
      <c r="L17" s="1" t="s">
        <v>65</v>
      </c>
      <c r="M17" s="4">
        <v>46160</v>
      </c>
      <c r="N17" s="5">
        <v>0.84722222222222221</v>
      </c>
      <c r="O17" s="4">
        <v>46160</v>
      </c>
      <c r="P17" s="5">
        <v>0.89236111111111116</v>
      </c>
      <c r="Q17" s="1" t="s">
        <v>68</v>
      </c>
      <c r="R17" s="1" t="s">
        <v>59</v>
      </c>
      <c r="S17" s="1" t="s">
        <v>67</v>
      </c>
      <c r="T17" s="4">
        <v>46172</v>
      </c>
      <c r="U17" s="5">
        <v>0.38541666666666669</v>
      </c>
      <c r="V17" s="4">
        <v>46172</v>
      </c>
      <c r="W17" s="5">
        <v>0.64236111111111116</v>
      </c>
      <c r="X17" s="1"/>
      <c r="Y17" s="1"/>
      <c r="Z17" s="1"/>
      <c r="AA17" s="4"/>
      <c r="AB17" s="5"/>
      <c r="AC17" s="4"/>
      <c r="AD17" s="5"/>
    </row>
    <row r="18" spans="1:30" x14ac:dyDescent="0.3">
      <c r="A18" s="1" t="s">
        <v>81</v>
      </c>
      <c r="B18" t="s">
        <v>151</v>
      </c>
      <c r="C18" s="1" t="s">
        <v>69</v>
      </c>
      <c r="D18" s="1" t="s">
        <v>70</v>
      </c>
      <c r="E18" s="1" t="s">
        <v>59</v>
      </c>
      <c r="F18" s="4">
        <v>46158</v>
      </c>
      <c r="G18" s="5">
        <v>0.875</v>
      </c>
      <c r="H18" s="4">
        <v>46159</v>
      </c>
      <c r="I18" s="5">
        <v>0.93055555555555558</v>
      </c>
      <c r="J18" s="1" t="s">
        <v>136</v>
      </c>
      <c r="K18" s="1" t="s">
        <v>59</v>
      </c>
      <c r="L18" s="1" t="s">
        <v>65</v>
      </c>
      <c r="M18" s="4">
        <v>46160</v>
      </c>
      <c r="N18" s="5">
        <v>6.25E-2</v>
      </c>
      <c r="O18" s="4">
        <v>46160</v>
      </c>
      <c r="P18" s="5">
        <v>0.1076388888888889</v>
      </c>
      <c r="Q18" s="1" t="s">
        <v>71</v>
      </c>
      <c r="R18" s="1" t="s">
        <v>59</v>
      </c>
      <c r="S18" s="1" t="s">
        <v>70</v>
      </c>
      <c r="T18" s="4">
        <v>46172</v>
      </c>
      <c r="U18" s="5">
        <v>0.40972222222222221</v>
      </c>
      <c r="V18" s="4">
        <v>46172</v>
      </c>
      <c r="W18" s="5">
        <v>0.67013888888888884</v>
      </c>
      <c r="X18" s="1"/>
      <c r="Y18" s="1"/>
      <c r="Z18" s="1"/>
      <c r="AA18" s="4"/>
      <c r="AB18" s="5"/>
      <c r="AC18" s="4"/>
      <c r="AD18" s="5"/>
    </row>
    <row r="19" spans="1:30" x14ac:dyDescent="0.3">
      <c r="A19" s="1" t="s">
        <v>81</v>
      </c>
      <c r="B19" t="s">
        <v>152</v>
      </c>
      <c r="C19" s="1" t="s">
        <v>61</v>
      </c>
      <c r="D19" s="1" t="s">
        <v>62</v>
      </c>
      <c r="E19" s="1" t="s">
        <v>59</v>
      </c>
      <c r="F19" s="4">
        <v>46159</v>
      </c>
      <c r="G19" s="5">
        <v>0.78472222222222221</v>
      </c>
      <c r="H19" s="4">
        <v>46160</v>
      </c>
      <c r="I19" s="5">
        <v>0.66319444444444442</v>
      </c>
      <c r="J19" s="1"/>
      <c r="K19" s="1"/>
      <c r="L19" s="1"/>
      <c r="M19" s="4"/>
      <c r="N19" s="5"/>
      <c r="O19" s="4"/>
      <c r="P19" s="5"/>
      <c r="Q19" s="1" t="s">
        <v>63</v>
      </c>
      <c r="R19" s="1" t="s">
        <v>59</v>
      </c>
      <c r="S19" s="1" t="s">
        <v>62</v>
      </c>
      <c r="T19" s="4">
        <v>46172</v>
      </c>
      <c r="U19" s="5">
        <v>0.3923611111111111</v>
      </c>
      <c r="V19" s="4">
        <v>46172</v>
      </c>
      <c r="W19" s="5">
        <v>0.65625</v>
      </c>
      <c r="X19" s="1"/>
      <c r="Y19" s="1"/>
      <c r="Z19" s="1"/>
      <c r="AA19" s="4"/>
      <c r="AB19" s="5"/>
      <c r="AC19" s="4"/>
      <c r="AD19" s="5"/>
    </row>
    <row r="20" spans="1:30" x14ac:dyDescent="0.3">
      <c r="A20" s="1" t="s">
        <v>81</v>
      </c>
      <c r="B20" t="s">
        <v>153</v>
      </c>
      <c r="C20" s="1" t="s">
        <v>66</v>
      </c>
      <c r="D20" s="1" t="s">
        <v>67</v>
      </c>
      <c r="E20" s="1" t="s">
        <v>59</v>
      </c>
      <c r="F20" s="4">
        <v>46159</v>
      </c>
      <c r="G20" s="5">
        <v>0.79166666666666663</v>
      </c>
      <c r="H20" s="4">
        <v>46160</v>
      </c>
      <c r="I20" s="5">
        <v>0.57986111111111116</v>
      </c>
      <c r="J20" s="1" t="s">
        <v>134</v>
      </c>
      <c r="K20" s="1" t="s">
        <v>59</v>
      </c>
      <c r="L20" s="1" t="s">
        <v>65</v>
      </c>
      <c r="M20" s="4">
        <v>46160</v>
      </c>
      <c r="N20" s="5">
        <v>0.69444444444444442</v>
      </c>
      <c r="O20" s="4">
        <v>46160</v>
      </c>
      <c r="P20" s="5">
        <v>0.73958333333333337</v>
      </c>
      <c r="Q20" s="1" t="s">
        <v>68</v>
      </c>
      <c r="R20" s="1" t="s">
        <v>59</v>
      </c>
      <c r="S20" s="1" t="s">
        <v>67</v>
      </c>
      <c r="T20" s="4">
        <v>46172</v>
      </c>
      <c r="U20" s="5">
        <v>0.38541666666666669</v>
      </c>
      <c r="V20" s="4">
        <v>46172</v>
      </c>
      <c r="W20" s="5">
        <v>0.64236111111111116</v>
      </c>
      <c r="X20" s="1"/>
      <c r="Y20" s="1"/>
      <c r="Z20" s="1"/>
      <c r="AA20" s="4"/>
      <c r="AB20" s="5"/>
      <c r="AC20" s="4"/>
      <c r="AD20" s="5"/>
    </row>
    <row r="21" spans="1:30" x14ac:dyDescent="0.3">
      <c r="A21" s="1" t="s">
        <v>81</v>
      </c>
      <c r="B21" t="s">
        <v>151</v>
      </c>
      <c r="C21" s="1" t="s">
        <v>69</v>
      </c>
      <c r="D21" s="1" t="s">
        <v>70</v>
      </c>
      <c r="E21" s="1" t="s">
        <v>59</v>
      </c>
      <c r="F21" s="4">
        <v>46158</v>
      </c>
      <c r="G21" s="5">
        <v>0.875</v>
      </c>
      <c r="H21" s="4">
        <v>46159</v>
      </c>
      <c r="I21" s="5">
        <v>0.93055555555555558</v>
      </c>
      <c r="J21" s="1" t="s">
        <v>136</v>
      </c>
      <c r="K21" s="1" t="s">
        <v>59</v>
      </c>
      <c r="L21" s="1" t="s">
        <v>65</v>
      </c>
      <c r="M21" s="4">
        <v>46160</v>
      </c>
      <c r="N21" s="5">
        <v>6.25E-2</v>
      </c>
      <c r="O21" s="4">
        <v>46160</v>
      </c>
      <c r="P21" s="5">
        <v>0.1076388888888889</v>
      </c>
      <c r="Q21" s="1" t="s">
        <v>71</v>
      </c>
      <c r="R21" s="1" t="s">
        <v>59</v>
      </c>
      <c r="S21" s="1" t="s">
        <v>70</v>
      </c>
      <c r="T21" s="4">
        <v>46172</v>
      </c>
      <c r="U21" s="5">
        <v>0.40972222222222221</v>
      </c>
      <c r="V21" s="4">
        <v>46172</v>
      </c>
      <c r="W21" s="5">
        <v>0.67013888888888884</v>
      </c>
      <c r="X21" s="1"/>
      <c r="Y21" s="1"/>
      <c r="Z21" s="1"/>
      <c r="AA21" s="4"/>
      <c r="AB21" s="5"/>
      <c r="AC21" s="4"/>
      <c r="AD21" s="5"/>
    </row>
    <row r="22" spans="1:30" x14ac:dyDescent="0.3">
      <c r="A22" s="1" t="s">
        <v>81</v>
      </c>
      <c r="B22" t="s">
        <v>151</v>
      </c>
      <c r="C22" s="1" t="s">
        <v>69</v>
      </c>
      <c r="D22" s="1" t="s">
        <v>70</v>
      </c>
      <c r="E22" s="1" t="s">
        <v>59</v>
      </c>
      <c r="F22" s="4">
        <v>46158</v>
      </c>
      <c r="G22" s="5">
        <v>0.875</v>
      </c>
      <c r="H22" s="4">
        <v>46159</v>
      </c>
      <c r="I22" s="5">
        <v>0.93055555555555558</v>
      </c>
      <c r="J22" s="1" t="s">
        <v>136</v>
      </c>
      <c r="K22" s="1" t="s">
        <v>59</v>
      </c>
      <c r="L22" s="1" t="s">
        <v>65</v>
      </c>
      <c r="M22" s="4">
        <v>46160</v>
      </c>
      <c r="N22" s="5">
        <v>6.25E-2</v>
      </c>
      <c r="O22" s="4">
        <v>46160</v>
      </c>
      <c r="P22" s="5">
        <v>0.1076388888888889</v>
      </c>
      <c r="Q22" s="1" t="s">
        <v>71</v>
      </c>
      <c r="R22" s="1" t="s">
        <v>59</v>
      </c>
      <c r="S22" s="1" t="s">
        <v>70</v>
      </c>
      <c r="T22" s="4">
        <v>46172</v>
      </c>
      <c r="U22" s="5">
        <v>0.40972222222222221</v>
      </c>
      <c r="V22" s="4">
        <v>46172</v>
      </c>
      <c r="W22" s="5">
        <v>0.67013888888888884</v>
      </c>
      <c r="X22" s="1"/>
      <c r="Y22" s="1"/>
      <c r="Z22" s="1"/>
      <c r="AA22" s="4"/>
      <c r="AB22" s="5"/>
      <c r="AC22" s="4"/>
      <c r="AD22" s="5"/>
    </row>
    <row r="23" spans="1:30" x14ac:dyDescent="0.3">
      <c r="A23" s="1" t="s">
        <v>81</v>
      </c>
      <c r="B23" t="s">
        <v>156</v>
      </c>
      <c r="C23" s="1" t="s">
        <v>61</v>
      </c>
      <c r="D23" s="1" t="s">
        <v>62</v>
      </c>
      <c r="E23" s="1" t="s">
        <v>59</v>
      </c>
      <c r="F23" s="4">
        <v>46159</v>
      </c>
      <c r="G23" s="5">
        <v>0.78472222222222221</v>
      </c>
      <c r="H23" s="4">
        <v>46160</v>
      </c>
      <c r="I23" s="5">
        <v>0.57986111111111116</v>
      </c>
      <c r="J23" s="1"/>
      <c r="K23" s="1"/>
      <c r="L23" s="1"/>
      <c r="M23" s="4"/>
      <c r="N23" s="5"/>
      <c r="O23" s="4"/>
      <c r="P23" s="5"/>
      <c r="Q23" s="1" t="s">
        <v>63</v>
      </c>
      <c r="R23" s="1" t="s">
        <v>59</v>
      </c>
      <c r="S23" s="1" t="s">
        <v>62</v>
      </c>
      <c r="T23" s="4">
        <v>46172</v>
      </c>
      <c r="U23" s="5">
        <v>0.3923611111111111</v>
      </c>
      <c r="V23" s="4">
        <v>46172</v>
      </c>
      <c r="W23" s="5">
        <v>0.65625</v>
      </c>
      <c r="X23" s="1"/>
      <c r="Y23" s="1"/>
      <c r="Z23" s="1"/>
      <c r="AA23" s="4"/>
      <c r="AB23" s="5"/>
      <c r="AC23" s="4"/>
      <c r="AD23" s="5"/>
    </row>
    <row r="24" spans="1:30" x14ac:dyDescent="0.3">
      <c r="A24" s="1" t="s">
        <v>81</v>
      </c>
      <c r="B24" t="s">
        <v>157</v>
      </c>
      <c r="C24" s="1" t="s">
        <v>61</v>
      </c>
      <c r="D24" s="1" t="s">
        <v>62</v>
      </c>
      <c r="E24" s="1" t="s">
        <v>59</v>
      </c>
      <c r="F24" s="4">
        <v>46159</v>
      </c>
      <c r="G24" s="5">
        <v>0.78472222222222221</v>
      </c>
      <c r="H24" s="4">
        <v>46160</v>
      </c>
      <c r="I24" s="5">
        <v>0.57986111111111116</v>
      </c>
      <c r="J24" s="1" t="s">
        <v>134</v>
      </c>
      <c r="K24" s="1" t="s">
        <v>59</v>
      </c>
      <c r="L24" s="1" t="s">
        <v>65</v>
      </c>
      <c r="M24" s="4">
        <v>46160</v>
      </c>
      <c r="N24" s="5">
        <v>0.69444444444444442</v>
      </c>
      <c r="O24" s="4">
        <v>46160</v>
      </c>
      <c r="P24" s="5">
        <v>0.73958333333333337</v>
      </c>
      <c r="Q24" s="1" t="s">
        <v>63</v>
      </c>
      <c r="R24" s="1" t="s">
        <v>59</v>
      </c>
      <c r="S24" s="1" t="s">
        <v>62</v>
      </c>
      <c r="T24" s="4">
        <v>46172</v>
      </c>
      <c r="U24" s="5">
        <v>0.35069444444444442</v>
      </c>
      <c r="V24" s="4">
        <v>46172</v>
      </c>
      <c r="W24" s="5">
        <v>0.65625</v>
      </c>
      <c r="X24" s="1"/>
      <c r="Y24" s="1"/>
      <c r="Z24" s="1"/>
      <c r="AA24" s="4"/>
      <c r="AB24" s="5"/>
      <c r="AC24" s="4"/>
      <c r="AD24" s="5"/>
    </row>
    <row r="25" spans="1:30" x14ac:dyDescent="0.3">
      <c r="A25" s="1" t="s">
        <v>82</v>
      </c>
      <c r="B25" t="s">
        <v>148</v>
      </c>
      <c r="C25" s="1" t="s">
        <v>57</v>
      </c>
      <c r="D25" s="1" t="s">
        <v>58</v>
      </c>
      <c r="E25" s="1" t="s">
        <v>59</v>
      </c>
      <c r="F25" s="4">
        <v>46159</v>
      </c>
      <c r="G25" s="5">
        <v>0.45833333333333331</v>
      </c>
      <c r="H25" s="4">
        <v>46160</v>
      </c>
      <c r="I25" s="5">
        <v>0.2361111111111111</v>
      </c>
      <c r="J25" s="1" t="s">
        <v>133</v>
      </c>
      <c r="K25" s="1" t="s">
        <v>59</v>
      </c>
      <c r="L25" s="1" t="s">
        <v>65</v>
      </c>
      <c r="M25" s="4">
        <v>46160</v>
      </c>
      <c r="N25" s="5">
        <v>0.34722222222222221</v>
      </c>
      <c r="O25" s="4">
        <v>46160</v>
      </c>
      <c r="P25" s="5">
        <v>0.3923611111111111</v>
      </c>
      <c r="Q25" s="1" t="s">
        <v>60</v>
      </c>
      <c r="R25" s="1" t="s">
        <v>59</v>
      </c>
      <c r="S25" s="1" t="s">
        <v>58</v>
      </c>
      <c r="T25" s="4">
        <v>46173</v>
      </c>
      <c r="U25" s="5">
        <v>0.12847222222222221</v>
      </c>
      <c r="V25" s="4">
        <v>46173</v>
      </c>
      <c r="W25" s="5">
        <v>0.375</v>
      </c>
      <c r="X25" s="1"/>
      <c r="Y25" s="1"/>
      <c r="Z25" s="1"/>
      <c r="AA25" s="4"/>
      <c r="AB25" s="5"/>
      <c r="AC25" s="4"/>
      <c r="AD25" s="5"/>
    </row>
    <row r="26" spans="1:30" x14ac:dyDescent="0.3">
      <c r="A26" s="1" t="s">
        <v>82</v>
      </c>
      <c r="B26" t="s">
        <v>149</v>
      </c>
      <c r="C26" s="1" t="s">
        <v>64</v>
      </c>
      <c r="D26" s="1" t="s">
        <v>62</v>
      </c>
      <c r="E26" s="1" t="s">
        <v>65</v>
      </c>
      <c r="F26" s="4">
        <v>46160</v>
      </c>
      <c r="G26" s="5">
        <v>0.78472222222222221</v>
      </c>
      <c r="H26" s="4">
        <v>46161</v>
      </c>
      <c r="I26" s="5">
        <v>0.87847222222222221</v>
      </c>
      <c r="J26" s="1"/>
      <c r="K26" s="1"/>
      <c r="L26" s="1"/>
      <c r="M26" s="4"/>
      <c r="N26" s="5"/>
      <c r="O26" s="4"/>
      <c r="P26" s="5"/>
      <c r="Q26" s="1" t="s">
        <v>63</v>
      </c>
      <c r="R26" s="1" t="s">
        <v>59</v>
      </c>
      <c r="S26" s="1" t="s">
        <v>62</v>
      </c>
      <c r="T26" s="4">
        <v>46173</v>
      </c>
      <c r="U26" s="5">
        <v>0.3923611111111111</v>
      </c>
      <c r="V26" s="4">
        <v>46173</v>
      </c>
      <c r="W26" s="5">
        <v>0.65625</v>
      </c>
      <c r="X26" s="1"/>
      <c r="Y26" s="1"/>
      <c r="Z26" s="1"/>
      <c r="AA26" s="4"/>
      <c r="AB26" s="5"/>
      <c r="AC26" s="4"/>
      <c r="AD26" s="5"/>
    </row>
    <row r="27" spans="1:30" x14ac:dyDescent="0.3">
      <c r="A27" s="1" t="s">
        <v>82</v>
      </c>
      <c r="B27" t="s">
        <v>150</v>
      </c>
      <c r="C27" s="1" t="s">
        <v>66</v>
      </c>
      <c r="D27" s="1" t="s">
        <v>67</v>
      </c>
      <c r="E27" s="1" t="s">
        <v>59</v>
      </c>
      <c r="F27" s="4">
        <v>46159</v>
      </c>
      <c r="G27" s="5">
        <v>0.79166666666666663</v>
      </c>
      <c r="H27" s="4">
        <v>46160</v>
      </c>
      <c r="I27" s="5">
        <v>0.57986111111111116</v>
      </c>
      <c r="J27" s="1" t="s">
        <v>135</v>
      </c>
      <c r="K27" s="1" t="s">
        <v>59</v>
      </c>
      <c r="L27" s="1" t="s">
        <v>65</v>
      </c>
      <c r="M27" s="4">
        <v>46160</v>
      </c>
      <c r="N27" s="5">
        <v>0.84722222222222221</v>
      </c>
      <c r="O27" s="4">
        <v>46160</v>
      </c>
      <c r="P27" s="5">
        <v>0.89236111111111116</v>
      </c>
      <c r="Q27" s="1" t="s">
        <v>68</v>
      </c>
      <c r="R27" s="1" t="s">
        <v>59</v>
      </c>
      <c r="S27" s="1" t="s">
        <v>67</v>
      </c>
      <c r="T27" s="4">
        <v>46172</v>
      </c>
      <c r="U27" s="5">
        <v>0.38541666666666669</v>
      </c>
      <c r="V27" s="4">
        <v>46172</v>
      </c>
      <c r="W27" s="5">
        <v>0.64236111111111116</v>
      </c>
      <c r="X27" s="1"/>
      <c r="Y27" s="1"/>
      <c r="Z27" s="1"/>
      <c r="AA27" s="4"/>
      <c r="AB27" s="5"/>
      <c r="AC27" s="4"/>
      <c r="AD27" s="5"/>
    </row>
    <row r="28" spans="1:30" x14ac:dyDescent="0.3">
      <c r="A28" s="1" t="s">
        <v>82</v>
      </c>
      <c r="B28" t="s">
        <v>150</v>
      </c>
      <c r="C28" s="1" t="s">
        <v>66</v>
      </c>
      <c r="D28" s="1" t="s">
        <v>67</v>
      </c>
      <c r="E28" s="1" t="s">
        <v>59</v>
      </c>
      <c r="F28" s="4">
        <v>46159</v>
      </c>
      <c r="G28" s="5">
        <v>0.79166666666666663</v>
      </c>
      <c r="H28" s="4">
        <v>46160</v>
      </c>
      <c r="I28" s="5">
        <v>0.57986111111111116</v>
      </c>
      <c r="J28" s="1" t="s">
        <v>135</v>
      </c>
      <c r="K28" s="1" t="s">
        <v>59</v>
      </c>
      <c r="L28" s="1" t="s">
        <v>65</v>
      </c>
      <c r="M28" s="4">
        <v>46160</v>
      </c>
      <c r="N28" s="5">
        <v>0.84722222222222221</v>
      </c>
      <c r="O28" s="4">
        <v>46160</v>
      </c>
      <c r="P28" s="5">
        <v>0.89236111111111116</v>
      </c>
      <c r="Q28" s="1" t="s">
        <v>68</v>
      </c>
      <c r="R28" s="1" t="s">
        <v>59</v>
      </c>
      <c r="S28" s="1" t="s">
        <v>67</v>
      </c>
      <c r="T28" s="4">
        <v>46172</v>
      </c>
      <c r="U28" s="5">
        <v>0.38541666666666669</v>
      </c>
      <c r="V28" s="4">
        <v>46172</v>
      </c>
      <c r="W28" s="5">
        <v>0.64236111111111116</v>
      </c>
      <c r="X28" s="1"/>
      <c r="Y28" s="1"/>
      <c r="Z28" s="1"/>
      <c r="AA28" s="4"/>
      <c r="AB28" s="5"/>
      <c r="AC28" s="4"/>
      <c r="AD28" s="5"/>
    </row>
    <row r="29" spans="1:30" x14ac:dyDescent="0.3">
      <c r="A29" s="1" t="s">
        <v>82</v>
      </c>
      <c r="B29" t="s">
        <v>151</v>
      </c>
      <c r="C29" s="1" t="s">
        <v>69</v>
      </c>
      <c r="D29" s="1" t="s">
        <v>70</v>
      </c>
      <c r="E29" s="1" t="s">
        <v>59</v>
      </c>
      <c r="F29" s="4">
        <v>46158</v>
      </c>
      <c r="G29" s="5">
        <v>0.875</v>
      </c>
      <c r="H29" s="4">
        <v>46159</v>
      </c>
      <c r="I29" s="5">
        <v>0.93055555555555558</v>
      </c>
      <c r="J29" s="1" t="s">
        <v>136</v>
      </c>
      <c r="K29" s="1" t="s">
        <v>59</v>
      </c>
      <c r="L29" s="1" t="s">
        <v>65</v>
      </c>
      <c r="M29" s="4">
        <v>46160</v>
      </c>
      <c r="N29" s="5">
        <v>6.25E-2</v>
      </c>
      <c r="O29" s="4">
        <v>46160</v>
      </c>
      <c r="P29" s="5">
        <v>0.1076388888888889</v>
      </c>
      <c r="Q29" s="1" t="s">
        <v>71</v>
      </c>
      <c r="R29" s="1" t="s">
        <v>59</v>
      </c>
      <c r="S29" s="1" t="s">
        <v>70</v>
      </c>
      <c r="T29" s="4">
        <v>46172</v>
      </c>
      <c r="U29" s="5">
        <v>0.40972222222222221</v>
      </c>
      <c r="V29" s="4">
        <v>46172</v>
      </c>
      <c r="W29" s="5">
        <v>0.67013888888888884</v>
      </c>
      <c r="X29" s="1"/>
      <c r="Y29" s="1"/>
      <c r="Z29" s="1"/>
      <c r="AA29" s="4"/>
      <c r="AB29" s="5"/>
      <c r="AC29" s="4"/>
      <c r="AD29" s="5"/>
    </row>
    <row r="30" spans="1:30" x14ac:dyDescent="0.3">
      <c r="A30" s="1" t="s">
        <v>82</v>
      </c>
      <c r="B30" t="s">
        <v>152</v>
      </c>
      <c r="C30" s="1" t="s">
        <v>61</v>
      </c>
      <c r="D30" s="1" t="s">
        <v>62</v>
      </c>
      <c r="E30" s="1" t="s">
        <v>59</v>
      </c>
      <c r="F30" s="4">
        <v>46159</v>
      </c>
      <c r="G30" s="5">
        <v>0.78472222222222221</v>
      </c>
      <c r="H30" s="4">
        <v>46160</v>
      </c>
      <c r="I30" s="5">
        <v>0.66319444444444442</v>
      </c>
      <c r="J30" s="1"/>
      <c r="K30" s="1"/>
      <c r="L30" s="1"/>
      <c r="M30" s="4"/>
      <c r="N30" s="5"/>
      <c r="O30" s="4"/>
      <c r="P30" s="5"/>
      <c r="Q30" s="1" t="s">
        <v>63</v>
      </c>
      <c r="R30" s="1" t="s">
        <v>59</v>
      </c>
      <c r="S30" s="1" t="s">
        <v>62</v>
      </c>
      <c r="T30" s="4">
        <v>46172</v>
      </c>
      <c r="U30" s="5">
        <v>0.3923611111111111</v>
      </c>
      <c r="V30" s="4">
        <v>46172</v>
      </c>
      <c r="W30" s="5">
        <v>0.65625</v>
      </c>
      <c r="X30" s="1"/>
      <c r="Y30" s="1"/>
      <c r="Z30" s="1"/>
      <c r="AA30" s="4"/>
      <c r="AB30" s="5"/>
      <c r="AC30" s="4"/>
      <c r="AD30" s="5"/>
    </row>
    <row r="31" spans="1:30" x14ac:dyDescent="0.3">
      <c r="A31" s="1" t="s">
        <v>82</v>
      </c>
      <c r="B31" t="s">
        <v>153</v>
      </c>
      <c r="C31" s="1" t="s">
        <v>66</v>
      </c>
      <c r="D31" s="1" t="s">
        <v>67</v>
      </c>
      <c r="E31" s="1" t="s">
        <v>59</v>
      </c>
      <c r="F31" s="4">
        <v>46159</v>
      </c>
      <c r="G31" s="5">
        <v>0.79166666666666663</v>
      </c>
      <c r="H31" s="4">
        <v>46160</v>
      </c>
      <c r="I31" s="5">
        <v>0.57986111111111116</v>
      </c>
      <c r="J31" s="1" t="s">
        <v>134</v>
      </c>
      <c r="K31" s="1" t="s">
        <v>59</v>
      </c>
      <c r="L31" s="1" t="s">
        <v>65</v>
      </c>
      <c r="M31" s="4">
        <v>46160</v>
      </c>
      <c r="N31" s="5">
        <v>0.69444444444444442</v>
      </c>
      <c r="O31" s="4">
        <v>46160</v>
      </c>
      <c r="P31" s="5">
        <v>0.73958333333333337</v>
      </c>
      <c r="Q31" s="1" t="s">
        <v>68</v>
      </c>
      <c r="R31" s="1" t="s">
        <v>59</v>
      </c>
      <c r="S31" s="1" t="s">
        <v>67</v>
      </c>
      <c r="T31" s="4">
        <v>46172</v>
      </c>
      <c r="U31" s="5">
        <v>0.38541666666666669</v>
      </c>
      <c r="V31" s="4">
        <v>46172</v>
      </c>
      <c r="W31" s="5">
        <v>0.64236111111111116</v>
      </c>
      <c r="X31" s="1"/>
      <c r="Y31" s="1"/>
      <c r="Z31" s="1"/>
      <c r="AA31" s="4"/>
      <c r="AB31" s="5"/>
      <c r="AC31" s="4"/>
      <c r="AD31" s="5"/>
    </row>
    <row r="32" spans="1:30" x14ac:dyDescent="0.3">
      <c r="A32" s="1" t="s">
        <v>82</v>
      </c>
      <c r="B32" t="s">
        <v>154</v>
      </c>
      <c r="C32" s="1" t="s">
        <v>66</v>
      </c>
      <c r="D32" s="1" t="s">
        <v>67</v>
      </c>
      <c r="E32" s="1" t="s">
        <v>59</v>
      </c>
      <c r="F32" s="4">
        <v>46161</v>
      </c>
      <c r="G32" s="5">
        <v>0.79166666666666663</v>
      </c>
      <c r="H32" s="4">
        <v>46162</v>
      </c>
      <c r="I32" s="5">
        <v>0.57986111111111116</v>
      </c>
      <c r="J32" s="1" t="s">
        <v>134</v>
      </c>
      <c r="K32" s="1" t="s">
        <v>59</v>
      </c>
      <c r="L32" s="1" t="s">
        <v>65</v>
      </c>
      <c r="M32" s="4">
        <v>46162</v>
      </c>
      <c r="N32" s="5">
        <v>0.69444444444444442</v>
      </c>
      <c r="O32" s="4">
        <v>46162</v>
      </c>
      <c r="P32" s="5">
        <v>0.73958333333333337</v>
      </c>
      <c r="Q32" s="1" t="s">
        <v>68</v>
      </c>
      <c r="R32" s="1" t="s">
        <v>59</v>
      </c>
      <c r="S32" s="1" t="s">
        <v>67</v>
      </c>
      <c r="T32" s="4">
        <v>46173</v>
      </c>
      <c r="U32" s="5">
        <v>0.38541666666666669</v>
      </c>
      <c r="V32" s="4">
        <v>46173</v>
      </c>
      <c r="W32" s="5">
        <v>0.64236111111111116</v>
      </c>
      <c r="X32" s="1"/>
      <c r="Y32" s="1"/>
      <c r="Z32" s="1"/>
      <c r="AA32" s="4"/>
      <c r="AB32" s="5"/>
      <c r="AC32" s="4"/>
      <c r="AD32" s="5"/>
    </row>
    <row r="33" spans="1:30" x14ac:dyDescent="0.3">
      <c r="A33" s="1" t="s">
        <v>82</v>
      </c>
      <c r="B33" t="s">
        <v>154</v>
      </c>
      <c r="C33" s="1" t="s">
        <v>66</v>
      </c>
      <c r="D33" s="1" t="s">
        <v>67</v>
      </c>
      <c r="E33" s="1" t="s">
        <v>59</v>
      </c>
      <c r="F33" s="4">
        <v>46161</v>
      </c>
      <c r="G33" s="5">
        <v>0.79166666666666663</v>
      </c>
      <c r="H33" s="4">
        <v>46162</v>
      </c>
      <c r="I33" s="5">
        <v>0.57986111111111116</v>
      </c>
      <c r="J33" s="1" t="s">
        <v>134</v>
      </c>
      <c r="K33" s="1" t="s">
        <v>59</v>
      </c>
      <c r="L33" s="1" t="s">
        <v>65</v>
      </c>
      <c r="M33" s="4">
        <v>46162</v>
      </c>
      <c r="N33" s="5">
        <v>0.69444444444444442</v>
      </c>
      <c r="O33" s="4">
        <v>46162</v>
      </c>
      <c r="P33" s="5">
        <v>0.73958333333333337</v>
      </c>
      <c r="Q33" s="1" t="s">
        <v>68</v>
      </c>
      <c r="R33" s="1" t="s">
        <v>59</v>
      </c>
      <c r="S33" s="1" t="s">
        <v>67</v>
      </c>
      <c r="T33" s="4">
        <v>46173</v>
      </c>
      <c r="U33" s="5">
        <v>0.38541666666666669</v>
      </c>
      <c r="V33" s="4">
        <v>46173</v>
      </c>
      <c r="W33" s="5">
        <v>0.64236111111111116</v>
      </c>
      <c r="X33" s="1"/>
      <c r="Y33" s="1"/>
      <c r="Z33" s="1"/>
      <c r="AA33" s="4"/>
      <c r="AB33" s="5"/>
      <c r="AC33" s="4"/>
      <c r="AD33" s="5"/>
    </row>
    <row r="34" spans="1:30" x14ac:dyDescent="0.3">
      <c r="A34" s="1" t="s">
        <v>82</v>
      </c>
      <c r="B34" t="s">
        <v>151</v>
      </c>
      <c r="C34" s="1" t="s">
        <v>69</v>
      </c>
      <c r="D34" s="1" t="s">
        <v>70</v>
      </c>
      <c r="E34" s="1" t="s">
        <v>59</v>
      </c>
      <c r="F34" s="4">
        <v>46158</v>
      </c>
      <c r="G34" s="5">
        <v>0.875</v>
      </c>
      <c r="H34" s="4">
        <v>46159</v>
      </c>
      <c r="I34" s="5">
        <v>0.93055555555555558</v>
      </c>
      <c r="J34" s="1" t="s">
        <v>136</v>
      </c>
      <c r="K34" s="1" t="s">
        <v>59</v>
      </c>
      <c r="L34" s="1" t="s">
        <v>65</v>
      </c>
      <c r="M34" s="4">
        <v>46160</v>
      </c>
      <c r="N34" s="5">
        <v>6.25E-2</v>
      </c>
      <c r="O34" s="4">
        <v>46160</v>
      </c>
      <c r="P34" s="5">
        <v>0.1076388888888889</v>
      </c>
      <c r="Q34" s="1" t="s">
        <v>71</v>
      </c>
      <c r="R34" s="1" t="s">
        <v>59</v>
      </c>
      <c r="S34" s="1" t="s">
        <v>70</v>
      </c>
      <c r="T34" s="4">
        <v>46172</v>
      </c>
      <c r="U34" s="5">
        <v>0.40972222222222221</v>
      </c>
      <c r="V34" s="4">
        <v>46172</v>
      </c>
      <c r="W34" s="5">
        <v>0.67013888888888884</v>
      </c>
      <c r="X34" s="1"/>
      <c r="Y34" s="1"/>
      <c r="Z34" s="1"/>
      <c r="AA34" s="4"/>
      <c r="AB34" s="5"/>
      <c r="AC34" s="4"/>
      <c r="AD34" s="5"/>
    </row>
    <row r="35" spans="1:30" x14ac:dyDescent="0.3">
      <c r="A35" s="1" t="s">
        <v>82</v>
      </c>
      <c r="B35" t="s">
        <v>151</v>
      </c>
      <c r="C35" s="1" t="s">
        <v>69</v>
      </c>
      <c r="D35" s="1" t="s">
        <v>70</v>
      </c>
      <c r="E35" s="1" t="s">
        <v>59</v>
      </c>
      <c r="F35" s="4">
        <v>46158</v>
      </c>
      <c r="G35" s="5">
        <v>0.875</v>
      </c>
      <c r="H35" s="4">
        <v>46159</v>
      </c>
      <c r="I35" s="5">
        <v>0.93055555555555558</v>
      </c>
      <c r="J35" s="1" t="s">
        <v>136</v>
      </c>
      <c r="K35" s="1" t="s">
        <v>59</v>
      </c>
      <c r="L35" s="1" t="s">
        <v>65</v>
      </c>
      <c r="M35" s="4">
        <v>46160</v>
      </c>
      <c r="N35" s="5">
        <v>6.25E-2</v>
      </c>
      <c r="O35" s="4">
        <v>46160</v>
      </c>
      <c r="P35" s="5">
        <v>0.1076388888888889</v>
      </c>
      <c r="Q35" s="1" t="s">
        <v>71</v>
      </c>
      <c r="R35" s="1" t="s">
        <v>59</v>
      </c>
      <c r="S35" s="1" t="s">
        <v>70</v>
      </c>
      <c r="T35" s="4">
        <v>46172</v>
      </c>
      <c r="U35" s="5">
        <v>0.40972222222222221</v>
      </c>
      <c r="V35" s="4">
        <v>46172</v>
      </c>
      <c r="W35" s="5">
        <v>0.67013888888888884</v>
      </c>
      <c r="X35" s="1"/>
      <c r="Y35" s="1"/>
      <c r="Z35" s="1"/>
      <c r="AA35" s="4"/>
      <c r="AB35" s="5"/>
      <c r="AC35" s="4"/>
      <c r="AD35" s="5"/>
    </row>
    <row r="36" spans="1:30" x14ac:dyDescent="0.3">
      <c r="A36" s="1" t="s">
        <v>82</v>
      </c>
      <c r="B36" t="s">
        <v>155</v>
      </c>
      <c r="C36" s="1" t="s">
        <v>64</v>
      </c>
      <c r="D36" s="1" t="s">
        <v>62</v>
      </c>
      <c r="E36" s="1" t="s">
        <v>74</v>
      </c>
      <c r="F36" s="4">
        <v>46160</v>
      </c>
      <c r="G36" s="5">
        <v>0.78472222222222221</v>
      </c>
      <c r="H36" s="4">
        <v>46161</v>
      </c>
      <c r="I36" s="5">
        <v>0.60416666666666663</v>
      </c>
      <c r="J36" s="1" t="s">
        <v>137</v>
      </c>
      <c r="K36" s="1" t="s">
        <v>74</v>
      </c>
      <c r="L36" s="1" t="s">
        <v>65</v>
      </c>
      <c r="M36" s="4">
        <v>46161</v>
      </c>
      <c r="N36" s="5">
        <v>0.8125</v>
      </c>
      <c r="O36" s="4">
        <v>46161</v>
      </c>
      <c r="P36" s="5">
        <v>0.87847222222222221</v>
      </c>
      <c r="Q36" s="1" t="s">
        <v>63</v>
      </c>
      <c r="R36" s="1" t="s">
        <v>59</v>
      </c>
      <c r="S36" s="1" t="s">
        <v>62</v>
      </c>
      <c r="T36" s="4">
        <v>46173</v>
      </c>
      <c r="U36" s="5">
        <v>0.3923611111111111</v>
      </c>
      <c r="V36" s="4">
        <v>46173</v>
      </c>
      <c r="W36" s="5">
        <v>0.65625</v>
      </c>
      <c r="X36" s="1"/>
      <c r="Y36" s="1"/>
      <c r="Z36" s="1"/>
      <c r="AA36" s="4"/>
      <c r="AB36" s="5"/>
      <c r="AC36" s="4"/>
      <c r="AD36" s="5"/>
    </row>
    <row r="37" spans="1:30" x14ac:dyDescent="0.3">
      <c r="A37" s="1" t="s">
        <v>82</v>
      </c>
      <c r="B37" t="s">
        <v>156</v>
      </c>
      <c r="C37" s="1" t="s">
        <v>61</v>
      </c>
      <c r="D37" s="1" t="s">
        <v>62</v>
      </c>
      <c r="E37" s="1" t="s">
        <v>59</v>
      </c>
      <c r="F37" s="4">
        <v>46159</v>
      </c>
      <c r="G37" s="5">
        <v>0.78472222222222221</v>
      </c>
      <c r="H37" s="4">
        <v>46160</v>
      </c>
      <c r="I37" s="5">
        <v>0.57986111111111116</v>
      </c>
      <c r="J37" s="1"/>
      <c r="K37" s="1"/>
      <c r="L37" s="1"/>
      <c r="M37" s="4"/>
      <c r="N37" s="5"/>
      <c r="O37" s="4"/>
      <c r="P37" s="5"/>
      <c r="Q37" s="1" t="s">
        <v>63</v>
      </c>
      <c r="R37" s="1" t="s">
        <v>59</v>
      </c>
      <c r="S37" s="1" t="s">
        <v>62</v>
      </c>
      <c r="T37" s="4">
        <v>46172</v>
      </c>
      <c r="U37" s="5">
        <v>0.3923611111111111</v>
      </c>
      <c r="V37" s="4">
        <v>46172</v>
      </c>
      <c r="W37" s="5">
        <v>0.65625</v>
      </c>
      <c r="X37" s="1"/>
      <c r="Y37" s="1"/>
      <c r="Z37" s="1"/>
      <c r="AA37" s="4"/>
      <c r="AB37" s="5"/>
      <c r="AC37" s="4"/>
      <c r="AD37" s="5"/>
    </row>
    <row r="38" spans="1:30" x14ac:dyDescent="0.3">
      <c r="A38" s="1" t="s">
        <v>82</v>
      </c>
      <c r="B38" t="s">
        <v>157</v>
      </c>
      <c r="C38" s="1" t="s">
        <v>61</v>
      </c>
      <c r="D38" s="1" t="s">
        <v>62</v>
      </c>
      <c r="E38" s="1" t="s">
        <v>59</v>
      </c>
      <c r="F38" s="4">
        <v>46159</v>
      </c>
      <c r="G38" s="5">
        <v>0.78472222222222221</v>
      </c>
      <c r="H38" s="4">
        <v>46160</v>
      </c>
      <c r="I38" s="5">
        <v>0.57986111111111116</v>
      </c>
      <c r="J38" s="1" t="s">
        <v>134</v>
      </c>
      <c r="K38" s="1" t="s">
        <v>59</v>
      </c>
      <c r="L38" s="1" t="s">
        <v>65</v>
      </c>
      <c r="M38" s="4">
        <v>46160</v>
      </c>
      <c r="N38" s="5">
        <v>0.69444444444444442</v>
      </c>
      <c r="O38" s="4">
        <v>46160</v>
      </c>
      <c r="P38" s="5">
        <v>0.73958333333333337</v>
      </c>
      <c r="Q38" s="1" t="s">
        <v>63</v>
      </c>
      <c r="R38" s="1" t="s">
        <v>59</v>
      </c>
      <c r="S38" s="1" t="s">
        <v>62</v>
      </c>
      <c r="T38" s="4">
        <v>46172</v>
      </c>
      <c r="U38" s="5">
        <v>0.35069444444444442</v>
      </c>
      <c r="V38" s="4">
        <v>46172</v>
      </c>
      <c r="W38" s="5">
        <v>0.65625</v>
      </c>
      <c r="X38" s="1"/>
      <c r="Y38" s="1"/>
      <c r="Z38" s="1"/>
      <c r="AA38" s="4"/>
      <c r="AB38" s="5"/>
      <c r="AC38" s="4"/>
      <c r="AD38" s="5"/>
    </row>
    <row r="39" spans="1:30" x14ac:dyDescent="0.3">
      <c r="A39" s="1" t="s">
        <v>83</v>
      </c>
      <c r="B39" t="s">
        <v>148</v>
      </c>
      <c r="C39" s="1" t="s">
        <v>57</v>
      </c>
      <c r="D39" s="1" t="s">
        <v>58</v>
      </c>
      <c r="E39" s="1" t="s">
        <v>59</v>
      </c>
      <c r="F39" s="4">
        <v>46159</v>
      </c>
      <c r="G39" s="5">
        <v>0.45833333333333331</v>
      </c>
      <c r="H39" s="4">
        <v>46160</v>
      </c>
      <c r="I39" s="5">
        <v>0.2361111111111111</v>
      </c>
      <c r="J39" s="1" t="s">
        <v>133</v>
      </c>
      <c r="K39" s="1" t="s">
        <v>59</v>
      </c>
      <c r="L39" s="1" t="s">
        <v>65</v>
      </c>
      <c r="M39" s="4">
        <v>46160</v>
      </c>
      <c r="N39" s="5">
        <v>0.34722222222222221</v>
      </c>
      <c r="O39" s="4">
        <v>46160</v>
      </c>
      <c r="P39" s="5">
        <v>0.3923611111111111</v>
      </c>
      <c r="Q39" s="1" t="s">
        <v>60</v>
      </c>
      <c r="R39" s="1" t="s">
        <v>59</v>
      </c>
      <c r="S39" s="1" t="s">
        <v>58</v>
      </c>
      <c r="T39" s="4">
        <v>46173</v>
      </c>
      <c r="U39" s="5">
        <v>0.12847222222222221</v>
      </c>
      <c r="V39" s="4">
        <v>46173</v>
      </c>
      <c r="W39" s="5">
        <v>0.375</v>
      </c>
      <c r="X39" s="1"/>
      <c r="Y39" s="1"/>
      <c r="Z39" s="1"/>
      <c r="AA39" s="4"/>
      <c r="AB39" s="5"/>
      <c r="AC39" s="4"/>
      <c r="AD39" s="5"/>
    </row>
    <row r="40" spans="1:30" x14ac:dyDescent="0.3">
      <c r="A40" s="1" t="s">
        <v>83</v>
      </c>
      <c r="B40" t="s">
        <v>149</v>
      </c>
      <c r="C40" s="1" t="s">
        <v>64</v>
      </c>
      <c r="D40" s="1" t="s">
        <v>62</v>
      </c>
      <c r="E40" s="1" t="s">
        <v>65</v>
      </c>
      <c r="F40" s="4">
        <v>46160</v>
      </c>
      <c r="G40" s="5">
        <v>0.78472222222222221</v>
      </c>
      <c r="H40" s="4">
        <v>46161</v>
      </c>
      <c r="I40" s="5">
        <v>0.87847222222222221</v>
      </c>
      <c r="J40" s="1"/>
      <c r="K40" s="1"/>
      <c r="L40" s="1"/>
      <c r="M40" s="4"/>
      <c r="N40" s="5"/>
      <c r="O40" s="4"/>
      <c r="P40" s="5"/>
      <c r="Q40" s="1" t="s">
        <v>63</v>
      </c>
      <c r="R40" s="1" t="s">
        <v>59</v>
      </c>
      <c r="S40" s="1" t="s">
        <v>62</v>
      </c>
      <c r="T40" s="4">
        <v>46173</v>
      </c>
      <c r="U40" s="5">
        <v>0.3923611111111111</v>
      </c>
      <c r="V40" s="4">
        <v>46173</v>
      </c>
      <c r="W40" s="5">
        <v>0.65625</v>
      </c>
      <c r="X40" s="1"/>
      <c r="Y40" s="1"/>
      <c r="Z40" s="1"/>
      <c r="AA40" s="4"/>
      <c r="AB40" s="5"/>
      <c r="AC40" s="4"/>
      <c r="AD40" s="5"/>
    </row>
    <row r="41" spans="1:30" x14ac:dyDescent="0.3">
      <c r="A41" s="1" t="s">
        <v>83</v>
      </c>
      <c r="B41" t="s">
        <v>150</v>
      </c>
      <c r="C41" s="1" t="s">
        <v>66</v>
      </c>
      <c r="D41" s="1" t="s">
        <v>67</v>
      </c>
      <c r="E41" s="1" t="s">
        <v>59</v>
      </c>
      <c r="F41" s="4">
        <v>46159</v>
      </c>
      <c r="G41" s="5">
        <v>0.79166666666666663</v>
      </c>
      <c r="H41" s="4">
        <v>46160</v>
      </c>
      <c r="I41" s="5">
        <v>0.57986111111111116</v>
      </c>
      <c r="J41" s="1" t="s">
        <v>135</v>
      </c>
      <c r="K41" s="1" t="s">
        <v>59</v>
      </c>
      <c r="L41" s="1" t="s">
        <v>65</v>
      </c>
      <c r="M41" s="4">
        <v>46160</v>
      </c>
      <c r="N41" s="5">
        <v>0.84722222222222221</v>
      </c>
      <c r="O41" s="4">
        <v>46160</v>
      </c>
      <c r="P41" s="5">
        <v>0.89236111111111116</v>
      </c>
      <c r="Q41" s="1" t="s">
        <v>68</v>
      </c>
      <c r="R41" s="1" t="s">
        <v>59</v>
      </c>
      <c r="S41" s="1" t="s">
        <v>67</v>
      </c>
      <c r="T41" s="4">
        <v>46172</v>
      </c>
      <c r="U41" s="5">
        <v>0.38541666666666669</v>
      </c>
      <c r="V41" s="4">
        <v>46172</v>
      </c>
      <c r="W41" s="5">
        <v>0.64236111111111116</v>
      </c>
      <c r="X41" s="1"/>
      <c r="Y41" s="1"/>
      <c r="Z41" s="1"/>
      <c r="AA41" s="4"/>
      <c r="AB41" s="5"/>
      <c r="AC41" s="4"/>
      <c r="AD41" s="5"/>
    </row>
    <row r="42" spans="1:30" x14ac:dyDescent="0.3">
      <c r="A42" s="1" t="s">
        <v>83</v>
      </c>
      <c r="B42" t="s">
        <v>150</v>
      </c>
      <c r="C42" s="1" t="s">
        <v>66</v>
      </c>
      <c r="D42" s="1" t="s">
        <v>67</v>
      </c>
      <c r="E42" s="1" t="s">
        <v>59</v>
      </c>
      <c r="F42" s="4">
        <v>46159</v>
      </c>
      <c r="G42" s="5">
        <v>0.79166666666666663</v>
      </c>
      <c r="H42" s="4">
        <v>46160</v>
      </c>
      <c r="I42" s="5">
        <v>0.57986111111111116</v>
      </c>
      <c r="J42" s="1" t="s">
        <v>135</v>
      </c>
      <c r="K42" s="1" t="s">
        <v>59</v>
      </c>
      <c r="L42" s="1" t="s">
        <v>65</v>
      </c>
      <c r="M42" s="4">
        <v>46160</v>
      </c>
      <c r="N42" s="5">
        <v>0.84722222222222221</v>
      </c>
      <c r="O42" s="4">
        <v>46160</v>
      </c>
      <c r="P42" s="5">
        <v>0.89236111111111116</v>
      </c>
      <c r="Q42" s="1" t="s">
        <v>68</v>
      </c>
      <c r="R42" s="1" t="s">
        <v>59</v>
      </c>
      <c r="S42" s="1" t="s">
        <v>67</v>
      </c>
      <c r="T42" s="4">
        <v>46172</v>
      </c>
      <c r="U42" s="5">
        <v>0.38541666666666669</v>
      </c>
      <c r="V42" s="4">
        <v>46172</v>
      </c>
      <c r="W42" s="5">
        <v>0.64236111111111116</v>
      </c>
      <c r="X42" s="1"/>
      <c r="Y42" s="1"/>
      <c r="Z42" s="1"/>
      <c r="AA42" s="4"/>
      <c r="AB42" s="5"/>
      <c r="AC42" s="4"/>
      <c r="AD42" s="5"/>
    </row>
    <row r="43" spans="1:30" x14ac:dyDescent="0.3">
      <c r="A43" s="1" t="s">
        <v>83</v>
      </c>
      <c r="B43" t="s">
        <v>151</v>
      </c>
      <c r="C43" s="1" t="s">
        <v>69</v>
      </c>
      <c r="D43" s="1" t="s">
        <v>70</v>
      </c>
      <c r="E43" s="1" t="s">
        <v>59</v>
      </c>
      <c r="F43" s="4">
        <v>46158</v>
      </c>
      <c r="G43" s="5">
        <v>0.875</v>
      </c>
      <c r="H43" s="4">
        <v>46159</v>
      </c>
      <c r="I43" s="5">
        <v>0.93055555555555558</v>
      </c>
      <c r="J43" s="1" t="s">
        <v>136</v>
      </c>
      <c r="K43" s="1" t="s">
        <v>59</v>
      </c>
      <c r="L43" s="1" t="s">
        <v>65</v>
      </c>
      <c r="M43" s="4">
        <v>46160</v>
      </c>
      <c r="N43" s="5">
        <v>6.25E-2</v>
      </c>
      <c r="O43" s="4">
        <v>46160</v>
      </c>
      <c r="P43" s="5">
        <v>0.1076388888888889</v>
      </c>
      <c r="Q43" s="1" t="s">
        <v>71</v>
      </c>
      <c r="R43" s="1" t="s">
        <v>59</v>
      </c>
      <c r="S43" s="1" t="s">
        <v>70</v>
      </c>
      <c r="T43" s="4">
        <v>46172</v>
      </c>
      <c r="U43" s="5">
        <v>0.40972222222222221</v>
      </c>
      <c r="V43" s="4">
        <v>46172</v>
      </c>
      <c r="W43" s="5">
        <v>0.67013888888888884</v>
      </c>
      <c r="X43" s="1"/>
      <c r="Y43" s="1"/>
      <c r="Z43" s="1"/>
      <c r="AA43" s="4"/>
      <c r="AB43" s="5"/>
      <c r="AC43" s="4"/>
      <c r="AD43" s="5"/>
    </row>
    <row r="44" spans="1:30" x14ac:dyDescent="0.3">
      <c r="A44" s="1" t="s">
        <v>83</v>
      </c>
      <c r="B44" t="s">
        <v>152</v>
      </c>
      <c r="C44" s="1" t="s">
        <v>61</v>
      </c>
      <c r="D44" s="1" t="s">
        <v>62</v>
      </c>
      <c r="E44" s="1" t="s">
        <v>59</v>
      </c>
      <c r="F44" s="4">
        <v>46159</v>
      </c>
      <c r="G44" s="5">
        <v>0.78472222222222221</v>
      </c>
      <c r="H44" s="4">
        <v>46160</v>
      </c>
      <c r="I44" s="5">
        <v>0.66319444444444442</v>
      </c>
      <c r="J44" s="1"/>
      <c r="K44" s="1"/>
      <c r="L44" s="1"/>
      <c r="M44" s="4"/>
      <c r="N44" s="5"/>
      <c r="O44" s="4"/>
      <c r="P44" s="5"/>
      <c r="Q44" s="1" t="s">
        <v>63</v>
      </c>
      <c r="R44" s="1" t="s">
        <v>59</v>
      </c>
      <c r="S44" s="1" t="s">
        <v>62</v>
      </c>
      <c r="T44" s="4">
        <v>46172</v>
      </c>
      <c r="U44" s="5">
        <v>0.3923611111111111</v>
      </c>
      <c r="V44" s="4">
        <v>46172</v>
      </c>
      <c r="W44" s="5">
        <v>0.65625</v>
      </c>
      <c r="X44" s="1"/>
      <c r="Y44" s="1"/>
      <c r="Z44" s="1"/>
      <c r="AA44" s="4"/>
      <c r="AB44" s="5"/>
      <c r="AC44" s="4"/>
      <c r="AD44" s="5"/>
    </row>
    <row r="45" spans="1:30" x14ac:dyDescent="0.3">
      <c r="A45" s="1" t="s">
        <v>83</v>
      </c>
      <c r="B45" t="s">
        <v>153</v>
      </c>
      <c r="C45" s="1" t="s">
        <v>66</v>
      </c>
      <c r="D45" s="1" t="s">
        <v>67</v>
      </c>
      <c r="E45" s="1" t="s">
        <v>59</v>
      </c>
      <c r="F45" s="4">
        <v>46159</v>
      </c>
      <c r="G45" s="5">
        <v>0.79166666666666663</v>
      </c>
      <c r="H45" s="4">
        <v>46160</v>
      </c>
      <c r="I45" s="5">
        <v>0.57986111111111116</v>
      </c>
      <c r="J45" s="1" t="s">
        <v>134</v>
      </c>
      <c r="K45" s="1" t="s">
        <v>59</v>
      </c>
      <c r="L45" s="1" t="s">
        <v>65</v>
      </c>
      <c r="M45" s="4">
        <v>46160</v>
      </c>
      <c r="N45" s="5">
        <v>0.69444444444444442</v>
      </c>
      <c r="O45" s="4">
        <v>46160</v>
      </c>
      <c r="P45" s="5">
        <v>0.73958333333333337</v>
      </c>
      <c r="Q45" s="1" t="s">
        <v>68</v>
      </c>
      <c r="R45" s="1" t="s">
        <v>59</v>
      </c>
      <c r="S45" s="1" t="s">
        <v>67</v>
      </c>
      <c r="T45" s="4">
        <v>46172</v>
      </c>
      <c r="U45" s="5">
        <v>0.38541666666666669</v>
      </c>
      <c r="V45" s="4">
        <v>46172</v>
      </c>
      <c r="W45" s="5">
        <v>0.64236111111111116</v>
      </c>
      <c r="X45" s="1"/>
      <c r="Y45" s="1"/>
      <c r="Z45" s="1"/>
      <c r="AA45" s="4"/>
      <c r="AB45" s="5"/>
      <c r="AC45" s="4"/>
      <c r="AD45" s="5"/>
    </row>
    <row r="46" spans="1:30" x14ac:dyDescent="0.3">
      <c r="A46" s="1" t="s">
        <v>83</v>
      </c>
      <c r="B46" t="s">
        <v>154</v>
      </c>
      <c r="C46" s="1" t="s">
        <v>66</v>
      </c>
      <c r="D46" s="1" t="s">
        <v>67</v>
      </c>
      <c r="E46" s="1" t="s">
        <v>59</v>
      </c>
      <c r="F46" s="4">
        <v>46161</v>
      </c>
      <c r="G46" s="5">
        <v>0.79166666666666663</v>
      </c>
      <c r="H46" s="4">
        <v>46162</v>
      </c>
      <c r="I46" s="5">
        <v>0.57986111111111116</v>
      </c>
      <c r="J46" s="1" t="s">
        <v>134</v>
      </c>
      <c r="K46" s="1" t="s">
        <v>59</v>
      </c>
      <c r="L46" s="1" t="s">
        <v>65</v>
      </c>
      <c r="M46" s="4">
        <v>46162</v>
      </c>
      <c r="N46" s="5">
        <v>0.69444444444444442</v>
      </c>
      <c r="O46" s="4">
        <v>46162</v>
      </c>
      <c r="P46" s="5">
        <v>0.73958333333333337</v>
      </c>
      <c r="Q46" s="1" t="s">
        <v>68</v>
      </c>
      <c r="R46" s="1" t="s">
        <v>59</v>
      </c>
      <c r="S46" s="1" t="s">
        <v>67</v>
      </c>
      <c r="T46" s="4">
        <v>46173</v>
      </c>
      <c r="U46" s="5">
        <v>0.38541666666666669</v>
      </c>
      <c r="V46" s="4">
        <v>46173</v>
      </c>
      <c r="W46" s="5">
        <v>0.64236111111111116</v>
      </c>
      <c r="X46" s="1"/>
      <c r="Y46" s="1"/>
      <c r="Z46" s="1"/>
      <c r="AA46" s="4"/>
      <c r="AB46" s="5"/>
      <c r="AC46" s="4"/>
      <c r="AD46" s="5"/>
    </row>
    <row r="47" spans="1:30" x14ac:dyDescent="0.3">
      <c r="A47" s="1" t="s">
        <v>83</v>
      </c>
      <c r="B47" t="s">
        <v>154</v>
      </c>
      <c r="C47" s="1" t="s">
        <v>66</v>
      </c>
      <c r="D47" s="1" t="s">
        <v>67</v>
      </c>
      <c r="E47" s="1" t="s">
        <v>59</v>
      </c>
      <c r="F47" s="4">
        <v>46161</v>
      </c>
      <c r="G47" s="5">
        <v>0.79166666666666663</v>
      </c>
      <c r="H47" s="4">
        <v>46162</v>
      </c>
      <c r="I47" s="5">
        <v>0.57986111111111116</v>
      </c>
      <c r="J47" s="1" t="s">
        <v>134</v>
      </c>
      <c r="K47" s="1" t="s">
        <v>59</v>
      </c>
      <c r="L47" s="1" t="s">
        <v>65</v>
      </c>
      <c r="M47" s="4">
        <v>46162</v>
      </c>
      <c r="N47" s="5">
        <v>0.69444444444444442</v>
      </c>
      <c r="O47" s="4">
        <v>46162</v>
      </c>
      <c r="P47" s="5">
        <v>0.73958333333333337</v>
      </c>
      <c r="Q47" s="1" t="s">
        <v>68</v>
      </c>
      <c r="R47" s="1" t="s">
        <v>59</v>
      </c>
      <c r="S47" s="1" t="s">
        <v>67</v>
      </c>
      <c r="T47" s="4">
        <v>46173</v>
      </c>
      <c r="U47" s="5">
        <v>0.38541666666666669</v>
      </c>
      <c r="V47" s="4">
        <v>46173</v>
      </c>
      <c r="W47" s="5">
        <v>0.64236111111111116</v>
      </c>
      <c r="X47" s="1"/>
      <c r="Y47" s="1"/>
      <c r="Z47" s="1"/>
      <c r="AA47" s="4"/>
      <c r="AB47" s="5"/>
      <c r="AC47" s="4"/>
      <c r="AD47" s="5"/>
    </row>
    <row r="48" spans="1:30" x14ac:dyDescent="0.3">
      <c r="A48" s="1" t="s">
        <v>83</v>
      </c>
      <c r="B48" t="s">
        <v>151</v>
      </c>
      <c r="C48" s="1" t="s">
        <v>69</v>
      </c>
      <c r="D48" s="1" t="s">
        <v>70</v>
      </c>
      <c r="E48" s="1" t="s">
        <v>59</v>
      </c>
      <c r="F48" s="4">
        <v>46158</v>
      </c>
      <c r="G48" s="5">
        <v>0.875</v>
      </c>
      <c r="H48" s="4">
        <v>46159</v>
      </c>
      <c r="I48" s="5">
        <v>0.93055555555555558</v>
      </c>
      <c r="J48" s="1" t="s">
        <v>136</v>
      </c>
      <c r="K48" s="1" t="s">
        <v>59</v>
      </c>
      <c r="L48" s="1" t="s">
        <v>65</v>
      </c>
      <c r="M48" s="4">
        <v>46160</v>
      </c>
      <c r="N48" s="5">
        <v>6.25E-2</v>
      </c>
      <c r="O48" s="4">
        <v>46160</v>
      </c>
      <c r="P48" s="5">
        <v>0.1076388888888889</v>
      </c>
      <c r="Q48" s="1" t="s">
        <v>71</v>
      </c>
      <c r="R48" s="1" t="s">
        <v>59</v>
      </c>
      <c r="S48" s="1" t="s">
        <v>70</v>
      </c>
      <c r="T48" s="4">
        <v>46172</v>
      </c>
      <c r="U48" s="5">
        <v>0.40972222222222221</v>
      </c>
      <c r="V48" s="4">
        <v>46172</v>
      </c>
      <c r="W48" s="5">
        <v>0.67013888888888884</v>
      </c>
      <c r="X48" s="1"/>
      <c r="Y48" s="1"/>
      <c r="Z48" s="1"/>
      <c r="AA48" s="4"/>
      <c r="AB48" s="5"/>
      <c r="AC48" s="4"/>
      <c r="AD48" s="5"/>
    </row>
    <row r="49" spans="1:30" x14ac:dyDescent="0.3">
      <c r="A49" s="1" t="s">
        <v>83</v>
      </c>
      <c r="B49" t="s">
        <v>151</v>
      </c>
      <c r="C49" s="1" t="s">
        <v>69</v>
      </c>
      <c r="D49" s="1" t="s">
        <v>70</v>
      </c>
      <c r="E49" s="1" t="s">
        <v>59</v>
      </c>
      <c r="F49" s="4">
        <v>46158</v>
      </c>
      <c r="G49" s="5">
        <v>0.875</v>
      </c>
      <c r="H49" s="4">
        <v>46159</v>
      </c>
      <c r="I49" s="5">
        <v>0.93055555555555558</v>
      </c>
      <c r="J49" s="1" t="s">
        <v>136</v>
      </c>
      <c r="K49" s="1" t="s">
        <v>59</v>
      </c>
      <c r="L49" s="1" t="s">
        <v>65</v>
      </c>
      <c r="M49" s="4">
        <v>46160</v>
      </c>
      <c r="N49" s="5">
        <v>6.25E-2</v>
      </c>
      <c r="O49" s="4">
        <v>46160</v>
      </c>
      <c r="P49" s="5">
        <v>0.1076388888888889</v>
      </c>
      <c r="Q49" s="1" t="s">
        <v>71</v>
      </c>
      <c r="R49" s="1" t="s">
        <v>59</v>
      </c>
      <c r="S49" s="1" t="s">
        <v>70</v>
      </c>
      <c r="T49" s="4">
        <v>46172</v>
      </c>
      <c r="U49" s="5">
        <v>0.40972222222222221</v>
      </c>
      <c r="V49" s="4">
        <v>46172</v>
      </c>
      <c r="W49" s="5">
        <v>0.67013888888888884</v>
      </c>
      <c r="X49" s="1"/>
      <c r="Y49" s="1"/>
      <c r="Z49" s="1"/>
      <c r="AA49" s="4"/>
      <c r="AB49" s="5"/>
      <c r="AC49" s="4"/>
      <c r="AD49" s="5"/>
    </row>
    <row r="50" spans="1:30" x14ac:dyDescent="0.3">
      <c r="A50" s="1" t="s">
        <v>83</v>
      </c>
      <c r="B50" t="s">
        <v>155</v>
      </c>
      <c r="C50" s="1" t="s">
        <v>64</v>
      </c>
      <c r="D50" s="1" t="s">
        <v>62</v>
      </c>
      <c r="E50" s="1" t="s">
        <v>74</v>
      </c>
      <c r="F50" s="4">
        <v>46160</v>
      </c>
      <c r="G50" s="5">
        <v>0.78472222222222221</v>
      </c>
      <c r="H50" s="4">
        <v>46161</v>
      </c>
      <c r="I50" s="5">
        <v>0.60416666666666663</v>
      </c>
      <c r="J50" s="1" t="s">
        <v>137</v>
      </c>
      <c r="K50" s="1" t="s">
        <v>74</v>
      </c>
      <c r="L50" s="1" t="s">
        <v>65</v>
      </c>
      <c r="M50" s="4">
        <v>46161</v>
      </c>
      <c r="N50" s="5">
        <v>0.8125</v>
      </c>
      <c r="O50" s="4">
        <v>46161</v>
      </c>
      <c r="P50" s="5">
        <v>0.87847222222222221</v>
      </c>
      <c r="Q50" s="1" t="s">
        <v>63</v>
      </c>
      <c r="R50" s="1" t="s">
        <v>59</v>
      </c>
      <c r="S50" s="1" t="s">
        <v>62</v>
      </c>
      <c r="T50" s="4">
        <v>46173</v>
      </c>
      <c r="U50" s="5">
        <v>0.3923611111111111</v>
      </c>
      <c r="V50" s="4">
        <v>46173</v>
      </c>
      <c r="W50" s="5">
        <v>0.65625</v>
      </c>
      <c r="X50" s="1"/>
      <c r="Y50" s="1"/>
      <c r="Z50" s="1"/>
      <c r="AA50" s="4"/>
      <c r="AB50" s="5"/>
      <c r="AC50" s="4"/>
      <c r="AD50" s="5"/>
    </row>
    <row r="51" spans="1:30" x14ac:dyDescent="0.3">
      <c r="A51" s="1" t="s">
        <v>83</v>
      </c>
      <c r="B51" t="s">
        <v>156</v>
      </c>
      <c r="C51" s="1" t="s">
        <v>61</v>
      </c>
      <c r="D51" s="1" t="s">
        <v>62</v>
      </c>
      <c r="E51" s="1" t="s">
        <v>59</v>
      </c>
      <c r="F51" s="4">
        <v>46159</v>
      </c>
      <c r="G51" s="5">
        <v>0.78472222222222221</v>
      </c>
      <c r="H51" s="4">
        <v>46160</v>
      </c>
      <c r="I51" s="5">
        <v>0.57986111111111116</v>
      </c>
      <c r="J51" s="1"/>
      <c r="K51" s="1"/>
      <c r="L51" s="1"/>
      <c r="M51" s="4"/>
      <c r="N51" s="5"/>
      <c r="O51" s="4"/>
      <c r="P51" s="5"/>
      <c r="Q51" s="1" t="s">
        <v>63</v>
      </c>
      <c r="R51" s="1" t="s">
        <v>59</v>
      </c>
      <c r="S51" s="1" t="s">
        <v>62</v>
      </c>
      <c r="T51" s="4">
        <v>46172</v>
      </c>
      <c r="U51" s="5">
        <v>0.3923611111111111</v>
      </c>
      <c r="V51" s="4">
        <v>46172</v>
      </c>
      <c r="W51" s="5">
        <v>0.65625</v>
      </c>
      <c r="X51" s="1"/>
      <c r="Y51" s="1"/>
      <c r="Z51" s="1"/>
      <c r="AA51" s="4"/>
      <c r="AB51" s="5"/>
      <c r="AC51" s="4"/>
      <c r="AD51" s="5"/>
    </row>
    <row r="52" spans="1:30" x14ac:dyDescent="0.3">
      <c r="A52" s="1" t="s">
        <v>83</v>
      </c>
      <c r="B52" t="s">
        <v>157</v>
      </c>
      <c r="C52" s="1" t="s">
        <v>61</v>
      </c>
      <c r="D52" s="1" t="s">
        <v>62</v>
      </c>
      <c r="E52" s="1" t="s">
        <v>59</v>
      </c>
      <c r="F52" s="4">
        <v>46159</v>
      </c>
      <c r="G52" s="5">
        <v>0.78472222222222221</v>
      </c>
      <c r="H52" s="4">
        <v>46160</v>
      </c>
      <c r="I52" s="5">
        <v>0.57986111111111116</v>
      </c>
      <c r="J52" s="1" t="s">
        <v>134</v>
      </c>
      <c r="K52" s="1" t="s">
        <v>59</v>
      </c>
      <c r="L52" s="1" t="s">
        <v>65</v>
      </c>
      <c r="M52" s="4">
        <v>46160</v>
      </c>
      <c r="N52" s="5">
        <v>0.69444444444444442</v>
      </c>
      <c r="O52" s="4">
        <v>46160</v>
      </c>
      <c r="P52" s="5">
        <v>0.73958333333333337</v>
      </c>
      <c r="Q52" s="1" t="s">
        <v>63</v>
      </c>
      <c r="R52" s="1" t="s">
        <v>59</v>
      </c>
      <c r="S52" s="1" t="s">
        <v>62</v>
      </c>
      <c r="T52" s="4">
        <v>46172</v>
      </c>
      <c r="U52" s="5">
        <v>0.35069444444444442</v>
      </c>
      <c r="V52" s="4">
        <v>46172</v>
      </c>
      <c r="W52" s="5">
        <v>0.65625</v>
      </c>
      <c r="X52" s="1"/>
      <c r="Y52" s="1"/>
      <c r="Z52" s="1"/>
      <c r="AA52" s="4"/>
      <c r="AB52" s="5"/>
      <c r="AC52" s="4"/>
      <c r="AD52" s="5"/>
    </row>
    <row r="53" spans="1:30" x14ac:dyDescent="0.3">
      <c r="A53" s="1" t="s">
        <v>84</v>
      </c>
      <c r="B53" t="s">
        <v>158</v>
      </c>
      <c r="C53" s="1" t="s">
        <v>64</v>
      </c>
      <c r="D53" s="1" t="s">
        <v>70</v>
      </c>
      <c r="E53" s="1" t="s">
        <v>59</v>
      </c>
      <c r="F53" s="4">
        <v>46163</v>
      </c>
      <c r="G53" s="5">
        <v>0.875</v>
      </c>
      <c r="H53" s="4">
        <v>46164</v>
      </c>
      <c r="I53" s="5">
        <v>5.5555555555555552E-2</v>
      </c>
      <c r="J53" s="1"/>
      <c r="K53" s="1"/>
      <c r="L53" s="1"/>
      <c r="M53" s="4"/>
      <c r="N53" s="5"/>
      <c r="O53" s="4"/>
      <c r="P53" s="5"/>
      <c r="Q53" s="1" t="s">
        <v>72</v>
      </c>
      <c r="R53" s="1" t="s">
        <v>65</v>
      </c>
      <c r="S53" s="1" t="s">
        <v>59</v>
      </c>
      <c r="T53" s="4">
        <v>46177</v>
      </c>
      <c r="U53" s="5">
        <v>0.25347222222222221</v>
      </c>
      <c r="V53" s="4">
        <v>46177</v>
      </c>
      <c r="W53" s="5">
        <v>0.30208333333333331</v>
      </c>
      <c r="X53" s="1" t="s">
        <v>71</v>
      </c>
      <c r="Y53" s="1" t="s">
        <v>59</v>
      </c>
      <c r="Z53" s="1" t="s">
        <v>70</v>
      </c>
      <c r="AA53" s="4">
        <v>46177</v>
      </c>
      <c r="AB53" s="5">
        <v>0.40972222222222221</v>
      </c>
      <c r="AC53" s="4">
        <v>46177</v>
      </c>
      <c r="AD53" s="5">
        <v>0.67013888888888884</v>
      </c>
    </row>
    <row r="54" spans="1:30" x14ac:dyDescent="0.3">
      <c r="A54" s="1" t="s">
        <v>84</v>
      </c>
      <c r="B54" t="s">
        <v>159</v>
      </c>
      <c r="C54" s="1" t="s">
        <v>66</v>
      </c>
      <c r="D54" s="1" t="s">
        <v>67</v>
      </c>
      <c r="E54" s="1" t="s">
        <v>59</v>
      </c>
      <c r="F54" s="4">
        <v>46163</v>
      </c>
      <c r="G54" s="5">
        <v>0.79166666666666663</v>
      </c>
      <c r="H54" s="4">
        <v>46164</v>
      </c>
      <c r="I54" s="5">
        <v>0.57986111111111116</v>
      </c>
      <c r="J54" s="1"/>
      <c r="K54" s="1"/>
      <c r="L54" s="1"/>
      <c r="M54" s="4"/>
      <c r="N54" s="5"/>
      <c r="O54" s="4"/>
      <c r="P54" s="5"/>
      <c r="Q54" s="1" t="s">
        <v>73</v>
      </c>
      <c r="R54" s="1" t="s">
        <v>65</v>
      </c>
      <c r="S54" s="1" t="s">
        <v>59</v>
      </c>
      <c r="T54" s="4">
        <v>46177</v>
      </c>
      <c r="U54" s="5">
        <v>0.14930555555555555</v>
      </c>
      <c r="V54" s="4">
        <v>46177</v>
      </c>
      <c r="W54" s="5">
        <v>0.19791666666666666</v>
      </c>
      <c r="X54" s="1" t="s">
        <v>68</v>
      </c>
      <c r="Y54" s="1" t="s">
        <v>59</v>
      </c>
      <c r="Z54" s="1" t="s">
        <v>67</v>
      </c>
      <c r="AA54" s="4">
        <v>46177</v>
      </c>
      <c r="AB54" s="5">
        <v>0.38541666666666669</v>
      </c>
      <c r="AC54" s="4">
        <v>46177</v>
      </c>
      <c r="AD54" s="5">
        <v>0.64236111111111116</v>
      </c>
    </row>
    <row r="55" spans="1:30" x14ac:dyDescent="0.3">
      <c r="A55" s="1" t="s">
        <v>84</v>
      </c>
      <c r="B55" t="s">
        <v>159</v>
      </c>
      <c r="C55" s="1" t="s">
        <v>66</v>
      </c>
      <c r="D55" s="1" t="s">
        <v>67</v>
      </c>
      <c r="E55" s="1" t="s">
        <v>59</v>
      </c>
      <c r="F55" s="4">
        <v>46163</v>
      </c>
      <c r="G55" s="5">
        <v>0.79166666666666663</v>
      </c>
      <c r="H55" s="4">
        <v>46164</v>
      </c>
      <c r="I55" s="5">
        <v>0.57986111111111116</v>
      </c>
      <c r="J55" s="1"/>
      <c r="K55" s="1"/>
      <c r="L55" s="1"/>
      <c r="M55" s="4"/>
      <c r="N55" s="5"/>
      <c r="O55" s="4"/>
      <c r="P55" s="5"/>
      <c r="Q55" s="1" t="s">
        <v>73</v>
      </c>
      <c r="R55" s="1" t="s">
        <v>65</v>
      </c>
      <c r="S55" s="1" t="s">
        <v>59</v>
      </c>
      <c r="T55" s="4">
        <v>46177</v>
      </c>
      <c r="U55" s="5">
        <v>0.14930555555555555</v>
      </c>
      <c r="V55" s="4">
        <v>46177</v>
      </c>
      <c r="W55" s="5">
        <v>0.19791666666666666</v>
      </c>
      <c r="X55" s="1" t="s">
        <v>68</v>
      </c>
      <c r="Y55" s="1" t="s">
        <v>59</v>
      </c>
      <c r="Z55" s="1" t="s">
        <v>67</v>
      </c>
      <c r="AA55" s="4">
        <v>46177</v>
      </c>
      <c r="AB55" s="5">
        <v>0.38541666666666669</v>
      </c>
      <c r="AC55" s="4">
        <v>46177</v>
      </c>
      <c r="AD55" s="5">
        <v>0.64236111111111116</v>
      </c>
    </row>
    <row r="56" spans="1:30" x14ac:dyDescent="0.3">
      <c r="A56" s="1" t="s">
        <v>84</v>
      </c>
      <c r="B56" t="s">
        <v>160</v>
      </c>
      <c r="C56" s="1" t="s">
        <v>69</v>
      </c>
      <c r="D56" s="1" t="s">
        <v>70</v>
      </c>
      <c r="E56" s="1" t="s">
        <v>59</v>
      </c>
      <c r="F56" s="4">
        <v>46163</v>
      </c>
      <c r="G56" s="5">
        <v>0.875</v>
      </c>
      <c r="H56" s="4">
        <v>46164</v>
      </c>
      <c r="I56" s="5">
        <v>0.93055555555555558</v>
      </c>
      <c r="J56" s="1"/>
      <c r="K56" s="1"/>
      <c r="L56" s="1"/>
      <c r="M56" s="4"/>
      <c r="N56" s="5"/>
      <c r="O56" s="4"/>
      <c r="P56" s="5"/>
      <c r="Q56" s="1" t="s">
        <v>73</v>
      </c>
      <c r="R56" s="1" t="s">
        <v>65</v>
      </c>
      <c r="S56" s="1" t="s">
        <v>70</v>
      </c>
      <c r="T56" s="4">
        <v>46177</v>
      </c>
      <c r="U56" s="5">
        <v>0.14930555555555555</v>
      </c>
      <c r="V56" s="4">
        <v>46177</v>
      </c>
      <c r="W56" s="5">
        <v>0.67013888888888884</v>
      </c>
      <c r="X56" s="1"/>
      <c r="Y56" s="1"/>
      <c r="Z56" s="1"/>
      <c r="AA56" s="4"/>
      <c r="AB56" s="5"/>
      <c r="AC56" s="4"/>
      <c r="AD56" s="5"/>
    </row>
    <row r="57" spans="1:30" x14ac:dyDescent="0.3">
      <c r="A57" s="1" t="s">
        <v>84</v>
      </c>
      <c r="B57" t="s">
        <v>159</v>
      </c>
      <c r="C57" s="1" t="s">
        <v>66</v>
      </c>
      <c r="D57" s="1" t="s">
        <v>67</v>
      </c>
      <c r="E57" s="1" t="s">
        <v>59</v>
      </c>
      <c r="F57" s="4">
        <v>46163</v>
      </c>
      <c r="G57" s="5">
        <v>0.79166666666666663</v>
      </c>
      <c r="H57" s="4">
        <v>46164</v>
      </c>
      <c r="I57" s="5">
        <v>0.57986111111111116</v>
      </c>
      <c r="J57" s="1"/>
      <c r="K57" s="1"/>
      <c r="L57" s="1"/>
      <c r="M57" s="4"/>
      <c r="N57" s="5"/>
      <c r="O57" s="4"/>
      <c r="P57" s="5"/>
      <c r="Q57" s="1" t="s">
        <v>73</v>
      </c>
      <c r="R57" s="1" t="s">
        <v>65</v>
      </c>
      <c r="S57" s="1" t="s">
        <v>59</v>
      </c>
      <c r="T57" s="4">
        <v>46177</v>
      </c>
      <c r="U57" s="5">
        <v>0.14930555555555555</v>
      </c>
      <c r="V57" s="4">
        <v>46177</v>
      </c>
      <c r="W57" s="5">
        <v>0.19791666666666666</v>
      </c>
      <c r="X57" s="1" t="s">
        <v>68</v>
      </c>
      <c r="Y57" s="1" t="s">
        <v>59</v>
      </c>
      <c r="Z57" s="1" t="s">
        <v>67</v>
      </c>
      <c r="AA57" s="4">
        <v>46177</v>
      </c>
      <c r="AB57" s="5">
        <v>0.38541666666666669</v>
      </c>
      <c r="AC57" s="4">
        <v>46177</v>
      </c>
      <c r="AD57" s="5">
        <v>0.64236111111111116</v>
      </c>
    </row>
    <row r="58" spans="1:30" x14ac:dyDescent="0.3">
      <c r="A58" s="1" t="s">
        <v>85</v>
      </c>
      <c r="B58" t="s">
        <v>158</v>
      </c>
      <c r="C58" s="1" t="s">
        <v>64</v>
      </c>
      <c r="D58" s="1" t="s">
        <v>70</v>
      </c>
      <c r="E58" s="1" t="s">
        <v>59</v>
      </c>
      <c r="F58" s="4">
        <v>46163</v>
      </c>
      <c r="G58" s="5">
        <v>0.875</v>
      </c>
      <c r="H58" s="4">
        <v>46164</v>
      </c>
      <c r="I58" s="5">
        <v>5.5555555555555552E-2</v>
      </c>
      <c r="J58" s="1"/>
      <c r="K58" s="1"/>
      <c r="L58" s="1"/>
      <c r="M58" s="4"/>
      <c r="N58" s="5"/>
      <c r="O58" s="4"/>
      <c r="P58" s="5"/>
      <c r="Q58" s="1" t="s">
        <v>72</v>
      </c>
      <c r="R58" s="1" t="s">
        <v>65</v>
      </c>
      <c r="S58" s="1" t="s">
        <v>59</v>
      </c>
      <c r="T58" s="4">
        <v>46177</v>
      </c>
      <c r="U58" s="5">
        <v>0.25347222222222221</v>
      </c>
      <c r="V58" s="4">
        <v>46177</v>
      </c>
      <c r="W58" s="5">
        <v>0.30208333333333331</v>
      </c>
      <c r="X58" s="1" t="s">
        <v>71</v>
      </c>
      <c r="Y58" s="1" t="s">
        <v>59</v>
      </c>
      <c r="Z58" s="1" t="s">
        <v>70</v>
      </c>
      <c r="AA58" s="4">
        <v>46177</v>
      </c>
      <c r="AB58" s="5">
        <v>0.40972222222222221</v>
      </c>
      <c r="AC58" s="4">
        <v>46177</v>
      </c>
      <c r="AD58" s="5">
        <v>0.67013888888888884</v>
      </c>
    </row>
    <row r="59" spans="1:30" x14ac:dyDescent="0.3">
      <c r="A59" s="1" t="s">
        <v>85</v>
      </c>
      <c r="B59" t="s">
        <v>159</v>
      </c>
      <c r="C59" s="1" t="s">
        <v>66</v>
      </c>
      <c r="D59" s="1" t="s">
        <v>67</v>
      </c>
      <c r="E59" s="1" t="s">
        <v>59</v>
      </c>
      <c r="F59" s="4">
        <v>46163</v>
      </c>
      <c r="G59" s="5">
        <v>0.79166666666666663</v>
      </c>
      <c r="H59" s="4">
        <v>46164</v>
      </c>
      <c r="I59" s="5">
        <v>0.57986111111111116</v>
      </c>
      <c r="J59" s="1"/>
      <c r="K59" s="1"/>
      <c r="L59" s="1"/>
      <c r="M59" s="4"/>
      <c r="N59" s="5"/>
      <c r="O59" s="4"/>
      <c r="P59" s="5"/>
      <c r="Q59" s="1" t="s">
        <v>73</v>
      </c>
      <c r="R59" s="1" t="s">
        <v>65</v>
      </c>
      <c r="S59" s="1" t="s">
        <v>59</v>
      </c>
      <c r="T59" s="4">
        <v>46177</v>
      </c>
      <c r="U59" s="5">
        <v>0.14930555555555555</v>
      </c>
      <c r="V59" s="4">
        <v>46177</v>
      </c>
      <c r="W59" s="5">
        <v>0.19791666666666666</v>
      </c>
      <c r="X59" s="1" t="s">
        <v>68</v>
      </c>
      <c r="Y59" s="1" t="s">
        <v>59</v>
      </c>
      <c r="Z59" s="1" t="s">
        <v>67</v>
      </c>
      <c r="AA59" s="4">
        <v>46177</v>
      </c>
      <c r="AB59" s="5">
        <v>0.38541666666666669</v>
      </c>
      <c r="AC59" s="4">
        <v>46177</v>
      </c>
      <c r="AD59" s="5">
        <v>0.64236111111111116</v>
      </c>
    </row>
    <row r="60" spans="1:30" x14ac:dyDescent="0.3">
      <c r="A60" s="1" t="s">
        <v>85</v>
      </c>
      <c r="B60" t="s">
        <v>159</v>
      </c>
      <c r="C60" s="1" t="s">
        <v>66</v>
      </c>
      <c r="D60" s="1" t="s">
        <v>67</v>
      </c>
      <c r="E60" s="1" t="s">
        <v>59</v>
      </c>
      <c r="F60" s="4">
        <v>46163</v>
      </c>
      <c r="G60" s="5">
        <v>0.79166666666666663</v>
      </c>
      <c r="H60" s="4">
        <v>46164</v>
      </c>
      <c r="I60" s="5">
        <v>0.57986111111111116</v>
      </c>
      <c r="J60" s="1"/>
      <c r="K60" s="1"/>
      <c r="L60" s="1"/>
      <c r="M60" s="4"/>
      <c r="N60" s="5"/>
      <c r="O60" s="4"/>
      <c r="P60" s="5"/>
      <c r="Q60" s="1" t="s">
        <v>73</v>
      </c>
      <c r="R60" s="1" t="s">
        <v>65</v>
      </c>
      <c r="S60" s="1" t="s">
        <v>59</v>
      </c>
      <c r="T60" s="4">
        <v>46177</v>
      </c>
      <c r="U60" s="5">
        <v>0.14930555555555555</v>
      </c>
      <c r="V60" s="4">
        <v>46177</v>
      </c>
      <c r="W60" s="5">
        <v>0.19791666666666666</v>
      </c>
      <c r="X60" s="1" t="s">
        <v>68</v>
      </c>
      <c r="Y60" s="1" t="s">
        <v>59</v>
      </c>
      <c r="Z60" s="1" t="s">
        <v>67</v>
      </c>
      <c r="AA60" s="4">
        <v>46177</v>
      </c>
      <c r="AB60" s="5">
        <v>0.38541666666666669</v>
      </c>
      <c r="AC60" s="4">
        <v>46177</v>
      </c>
      <c r="AD60" s="5">
        <v>0.64236111111111116</v>
      </c>
    </row>
    <row r="61" spans="1:30" x14ac:dyDescent="0.3">
      <c r="A61" s="1" t="s">
        <v>85</v>
      </c>
      <c r="B61" t="s">
        <v>160</v>
      </c>
      <c r="C61" s="1" t="s">
        <v>69</v>
      </c>
      <c r="D61" s="1" t="s">
        <v>70</v>
      </c>
      <c r="E61" s="1" t="s">
        <v>59</v>
      </c>
      <c r="F61" s="4">
        <v>46163</v>
      </c>
      <c r="G61" s="5">
        <v>0.875</v>
      </c>
      <c r="H61" s="4">
        <v>46164</v>
      </c>
      <c r="I61" s="5">
        <v>0.93055555555555558</v>
      </c>
      <c r="J61" s="1"/>
      <c r="K61" s="1"/>
      <c r="L61" s="1"/>
      <c r="M61" s="4"/>
      <c r="N61" s="5"/>
      <c r="O61" s="4"/>
      <c r="P61" s="5"/>
      <c r="Q61" s="1" t="s">
        <v>73</v>
      </c>
      <c r="R61" s="1" t="s">
        <v>65</v>
      </c>
      <c r="S61" s="1" t="s">
        <v>70</v>
      </c>
      <c r="T61" s="4">
        <v>46177</v>
      </c>
      <c r="U61" s="5">
        <v>0.14930555555555555</v>
      </c>
      <c r="V61" s="4">
        <v>46177</v>
      </c>
      <c r="W61" s="5">
        <v>0.67013888888888884</v>
      </c>
      <c r="X61" s="1"/>
      <c r="Y61" s="1"/>
      <c r="Z61" s="1"/>
      <c r="AA61" s="4"/>
      <c r="AB61" s="5"/>
      <c r="AC61" s="4"/>
      <c r="AD61" s="5"/>
    </row>
    <row r="62" spans="1:30" x14ac:dyDescent="0.3">
      <c r="A62" s="1" t="s">
        <v>85</v>
      </c>
      <c r="B62" t="s">
        <v>159</v>
      </c>
      <c r="C62" s="1" t="s">
        <v>66</v>
      </c>
      <c r="D62" s="1" t="s">
        <v>67</v>
      </c>
      <c r="E62" s="1" t="s">
        <v>59</v>
      </c>
      <c r="F62" s="4">
        <v>46163</v>
      </c>
      <c r="G62" s="5">
        <v>0.79166666666666663</v>
      </c>
      <c r="H62" s="4">
        <v>46164</v>
      </c>
      <c r="I62" s="5">
        <v>0.57986111111111116</v>
      </c>
      <c r="J62" s="1"/>
      <c r="K62" s="1"/>
      <c r="L62" s="1"/>
      <c r="M62" s="4"/>
      <c r="N62" s="5"/>
      <c r="O62" s="4"/>
      <c r="P62" s="5"/>
      <c r="Q62" s="1" t="s">
        <v>73</v>
      </c>
      <c r="R62" s="1" t="s">
        <v>65</v>
      </c>
      <c r="S62" s="1" t="s">
        <v>59</v>
      </c>
      <c r="T62" s="4">
        <v>46177</v>
      </c>
      <c r="U62" s="5">
        <v>0.14930555555555555</v>
      </c>
      <c r="V62" s="4">
        <v>46177</v>
      </c>
      <c r="W62" s="5">
        <v>0.19791666666666666</v>
      </c>
      <c r="X62" s="1" t="s">
        <v>68</v>
      </c>
      <c r="Y62" s="1" t="s">
        <v>59</v>
      </c>
      <c r="Z62" s="1" t="s">
        <v>67</v>
      </c>
      <c r="AA62" s="4">
        <v>46177</v>
      </c>
      <c r="AB62" s="5">
        <v>0.38541666666666669</v>
      </c>
      <c r="AC62" s="4">
        <v>46177</v>
      </c>
      <c r="AD62" s="5">
        <v>0.64236111111111116</v>
      </c>
    </row>
    <row r="63" spans="1:30" x14ac:dyDescent="0.3">
      <c r="A63" s="1" t="s">
        <v>86</v>
      </c>
      <c r="B63" t="s">
        <v>161</v>
      </c>
      <c r="C63" s="1" t="s">
        <v>64</v>
      </c>
      <c r="D63" s="1" t="s">
        <v>62</v>
      </c>
      <c r="E63" s="1" t="s">
        <v>74</v>
      </c>
      <c r="F63" s="4">
        <v>46162</v>
      </c>
      <c r="G63" s="5">
        <v>0.78472222222222221</v>
      </c>
      <c r="H63" s="4">
        <v>46163</v>
      </c>
      <c r="I63" s="5">
        <v>0.60416666666666663</v>
      </c>
      <c r="J63" s="1" t="s">
        <v>138</v>
      </c>
      <c r="K63" s="1" t="s">
        <v>74</v>
      </c>
      <c r="L63" s="1" t="s">
        <v>65</v>
      </c>
      <c r="M63" s="4">
        <v>46163</v>
      </c>
      <c r="N63" s="5">
        <v>0.70486111111111116</v>
      </c>
      <c r="O63" s="4">
        <v>46163</v>
      </c>
      <c r="P63" s="5">
        <v>0.77083333333333337</v>
      </c>
      <c r="Q63" s="1" t="s">
        <v>75</v>
      </c>
      <c r="R63" s="1" t="s">
        <v>59</v>
      </c>
      <c r="S63" s="1" t="s">
        <v>74</v>
      </c>
      <c r="T63" s="4">
        <v>46174</v>
      </c>
      <c r="U63" s="5">
        <v>0.20833333333333334</v>
      </c>
      <c r="V63" s="4">
        <v>46174</v>
      </c>
      <c r="W63" s="5">
        <v>0.28472222222222221</v>
      </c>
      <c r="X63" s="1" t="s">
        <v>139</v>
      </c>
      <c r="Y63" s="1" t="s">
        <v>74</v>
      </c>
      <c r="Z63" s="1" t="s">
        <v>62</v>
      </c>
      <c r="AA63" s="4">
        <v>46174</v>
      </c>
      <c r="AB63" s="5">
        <v>0.36805555555555558</v>
      </c>
      <c r="AC63" s="4">
        <v>46174</v>
      </c>
      <c r="AD63" s="5">
        <v>0.65625</v>
      </c>
    </row>
    <row r="64" spans="1:30" x14ac:dyDescent="0.3">
      <c r="A64" s="1" t="s">
        <v>86</v>
      </c>
      <c r="B64" t="s">
        <v>162</v>
      </c>
      <c r="C64" s="1" t="s">
        <v>61</v>
      </c>
      <c r="D64" s="1" t="s">
        <v>62</v>
      </c>
      <c r="E64" s="1" t="s">
        <v>59</v>
      </c>
      <c r="F64" s="4">
        <v>46163</v>
      </c>
      <c r="G64" s="5">
        <v>0.78472222222222221</v>
      </c>
      <c r="H64" s="4">
        <v>46164</v>
      </c>
      <c r="I64" s="5">
        <v>0.57986111111111116</v>
      </c>
      <c r="J64" s="1"/>
      <c r="K64" s="1"/>
      <c r="L64" s="1"/>
      <c r="M64" s="4"/>
      <c r="N64" s="5"/>
      <c r="O64" s="4"/>
      <c r="P64" s="5"/>
      <c r="Q64" s="1" t="s">
        <v>72</v>
      </c>
      <c r="R64" s="1" t="s">
        <v>65</v>
      </c>
      <c r="S64" s="1" t="s">
        <v>59</v>
      </c>
      <c r="T64" s="4">
        <v>46175</v>
      </c>
      <c r="U64" s="5">
        <v>0.25347222222222221</v>
      </c>
      <c r="V64" s="4">
        <v>46175</v>
      </c>
      <c r="W64" s="5">
        <v>0.30208333333333331</v>
      </c>
      <c r="X64" s="1" t="s">
        <v>63</v>
      </c>
      <c r="Y64" s="1" t="s">
        <v>59</v>
      </c>
      <c r="Z64" s="1" t="s">
        <v>62</v>
      </c>
      <c r="AA64" s="4">
        <v>46175</v>
      </c>
      <c r="AB64" s="5">
        <v>0.3923611111111111</v>
      </c>
      <c r="AC64" s="4">
        <v>46177</v>
      </c>
      <c r="AD64" s="5">
        <v>0.65625</v>
      </c>
    </row>
    <row r="65" spans="1:30" x14ac:dyDescent="0.3">
      <c r="A65" s="1" t="s">
        <v>86</v>
      </c>
      <c r="B65" t="s">
        <v>163</v>
      </c>
      <c r="C65" s="1" t="s">
        <v>57</v>
      </c>
      <c r="D65" s="1" t="s">
        <v>58</v>
      </c>
      <c r="E65" s="1" t="s">
        <v>59</v>
      </c>
      <c r="F65" s="4">
        <v>46162</v>
      </c>
      <c r="G65" s="5">
        <v>0.45833333333333331</v>
      </c>
      <c r="H65" s="4">
        <v>46163</v>
      </c>
      <c r="I65" s="5">
        <v>0.2361111111111111</v>
      </c>
      <c r="J65" s="1"/>
      <c r="K65" s="1"/>
      <c r="L65" s="1"/>
      <c r="M65" s="4"/>
      <c r="N65" s="5"/>
      <c r="O65" s="4"/>
      <c r="P65" s="5"/>
      <c r="Q65" s="1" t="s">
        <v>76</v>
      </c>
      <c r="R65" s="1" t="s">
        <v>65</v>
      </c>
      <c r="S65" s="1" t="s">
        <v>58</v>
      </c>
      <c r="T65" s="4">
        <v>46175</v>
      </c>
      <c r="U65" s="5">
        <v>0.93055555555555558</v>
      </c>
      <c r="V65" s="4">
        <v>46176</v>
      </c>
      <c r="W65" s="5">
        <v>0.375</v>
      </c>
      <c r="X65" s="1"/>
      <c r="Y65" s="1"/>
      <c r="Z65" s="1"/>
      <c r="AA65" s="4"/>
      <c r="AB65" s="5"/>
      <c r="AC65" s="4"/>
      <c r="AD65" s="5"/>
    </row>
    <row r="66" spans="1:30" x14ac:dyDescent="0.3">
      <c r="A66" s="1" t="s">
        <v>86</v>
      </c>
      <c r="B66" t="s">
        <v>164</v>
      </c>
      <c r="C66" s="1" t="s">
        <v>57</v>
      </c>
      <c r="D66" s="1" t="s">
        <v>58</v>
      </c>
      <c r="E66" s="1" t="s">
        <v>59</v>
      </c>
      <c r="F66" s="4">
        <v>46162</v>
      </c>
      <c r="G66" s="5">
        <v>0.45833333333333331</v>
      </c>
      <c r="H66" s="4">
        <v>46163</v>
      </c>
      <c r="I66" s="5">
        <v>0.2361111111111111</v>
      </c>
      <c r="J66" s="1"/>
      <c r="K66" s="1"/>
      <c r="L66" s="1"/>
      <c r="M66" s="4"/>
      <c r="N66" s="5"/>
      <c r="O66" s="4"/>
      <c r="P66" s="5"/>
      <c r="Q66" s="1" t="s">
        <v>76</v>
      </c>
      <c r="R66" s="1" t="s">
        <v>65</v>
      </c>
      <c r="S66" s="1" t="s">
        <v>59</v>
      </c>
      <c r="T66" s="4">
        <v>46175</v>
      </c>
      <c r="U66" s="5">
        <v>0.93055555555555558</v>
      </c>
      <c r="V66" s="4">
        <v>46175</v>
      </c>
      <c r="W66" s="5">
        <v>0.97916666666666663</v>
      </c>
      <c r="X66" s="1" t="s">
        <v>60</v>
      </c>
      <c r="Y66" s="1" t="s">
        <v>59</v>
      </c>
      <c r="Z66" s="1" t="s">
        <v>58</v>
      </c>
      <c r="AA66" s="4">
        <v>46176</v>
      </c>
      <c r="AB66" s="5">
        <v>0.12847222222222221</v>
      </c>
      <c r="AC66" s="4">
        <v>46176</v>
      </c>
      <c r="AD66" s="5">
        <v>0.375</v>
      </c>
    </row>
    <row r="67" spans="1:30" x14ac:dyDescent="0.3">
      <c r="A67" s="1" t="s">
        <v>87</v>
      </c>
      <c r="B67" t="s">
        <v>161</v>
      </c>
      <c r="C67" s="1" t="s">
        <v>64</v>
      </c>
      <c r="D67" s="1" t="s">
        <v>62</v>
      </c>
      <c r="E67" s="1" t="s">
        <v>74</v>
      </c>
      <c r="F67" s="4">
        <v>46162</v>
      </c>
      <c r="G67" s="5">
        <v>0.78472222222222221</v>
      </c>
      <c r="H67" s="4">
        <v>46163</v>
      </c>
      <c r="I67" s="5">
        <v>0.60416666666666663</v>
      </c>
      <c r="J67" s="1" t="s">
        <v>138</v>
      </c>
      <c r="K67" s="1" t="s">
        <v>74</v>
      </c>
      <c r="L67" s="1" t="s">
        <v>65</v>
      </c>
      <c r="M67" s="4">
        <v>46163</v>
      </c>
      <c r="N67" s="5">
        <v>0.70486111111111116</v>
      </c>
      <c r="O67" s="4">
        <v>46163</v>
      </c>
      <c r="P67" s="5">
        <v>0.77083333333333337</v>
      </c>
      <c r="Q67" s="1" t="s">
        <v>75</v>
      </c>
      <c r="R67" s="1" t="s">
        <v>59</v>
      </c>
      <c r="S67" s="1" t="s">
        <v>74</v>
      </c>
      <c r="T67" s="4">
        <v>46174</v>
      </c>
      <c r="U67" s="5">
        <v>0.20833333333333334</v>
      </c>
      <c r="V67" s="4">
        <v>46174</v>
      </c>
      <c r="W67" s="5">
        <v>0.28472222222222221</v>
      </c>
      <c r="X67" s="1" t="s">
        <v>139</v>
      </c>
      <c r="Y67" s="1" t="s">
        <v>74</v>
      </c>
      <c r="Z67" s="1" t="s">
        <v>62</v>
      </c>
      <c r="AA67" s="4">
        <v>46174</v>
      </c>
      <c r="AB67" s="5">
        <v>0.36805555555555558</v>
      </c>
      <c r="AC67" s="4">
        <v>46174</v>
      </c>
      <c r="AD67" s="5">
        <v>0.65625</v>
      </c>
    </row>
    <row r="68" spans="1:30" x14ac:dyDescent="0.3">
      <c r="A68" s="1" t="s">
        <v>87</v>
      </c>
      <c r="B68" t="s">
        <v>162</v>
      </c>
      <c r="C68" s="1" t="s">
        <v>61</v>
      </c>
      <c r="D68" s="1" t="s">
        <v>62</v>
      </c>
      <c r="E68" s="1" t="s">
        <v>59</v>
      </c>
      <c r="F68" s="4">
        <v>46163</v>
      </c>
      <c r="G68" s="5">
        <v>0.78472222222222221</v>
      </c>
      <c r="H68" s="4">
        <v>46164</v>
      </c>
      <c r="I68" s="5">
        <v>0.57986111111111116</v>
      </c>
      <c r="J68" s="1"/>
      <c r="K68" s="1"/>
      <c r="L68" s="1"/>
      <c r="M68" s="4"/>
      <c r="N68" s="5"/>
      <c r="O68" s="4"/>
      <c r="P68" s="5"/>
      <c r="Q68" s="1" t="s">
        <v>72</v>
      </c>
      <c r="R68" s="1" t="s">
        <v>65</v>
      </c>
      <c r="S68" s="1" t="s">
        <v>59</v>
      </c>
      <c r="T68" s="4">
        <v>46175</v>
      </c>
      <c r="U68" s="5">
        <v>0.25347222222222221</v>
      </c>
      <c r="V68" s="4">
        <v>46175</v>
      </c>
      <c r="W68" s="5">
        <v>0.30208333333333331</v>
      </c>
      <c r="X68" s="1" t="s">
        <v>63</v>
      </c>
      <c r="Y68" s="1" t="s">
        <v>59</v>
      </c>
      <c r="Z68" s="1" t="s">
        <v>62</v>
      </c>
      <c r="AA68" s="4">
        <v>46175</v>
      </c>
      <c r="AB68" s="5">
        <v>0.3923611111111111</v>
      </c>
      <c r="AC68" s="4">
        <v>46177</v>
      </c>
      <c r="AD68" s="5">
        <v>0.65625</v>
      </c>
    </row>
    <row r="69" spans="1:30" x14ac:dyDescent="0.3">
      <c r="A69" s="1" t="s">
        <v>87</v>
      </c>
      <c r="B69" t="s">
        <v>163</v>
      </c>
      <c r="C69" s="1" t="s">
        <v>57</v>
      </c>
      <c r="D69" s="1" t="s">
        <v>58</v>
      </c>
      <c r="E69" s="1" t="s">
        <v>59</v>
      </c>
      <c r="F69" s="4">
        <v>46162</v>
      </c>
      <c r="G69" s="5">
        <v>0.45833333333333331</v>
      </c>
      <c r="H69" s="4">
        <v>46163</v>
      </c>
      <c r="I69" s="5">
        <v>0.2361111111111111</v>
      </c>
      <c r="J69" s="1"/>
      <c r="K69" s="1"/>
      <c r="L69" s="1"/>
      <c r="M69" s="4"/>
      <c r="N69" s="5"/>
      <c r="O69" s="4"/>
      <c r="P69" s="5"/>
      <c r="Q69" s="1" t="s">
        <v>76</v>
      </c>
      <c r="R69" s="1" t="s">
        <v>65</v>
      </c>
      <c r="S69" s="1" t="s">
        <v>58</v>
      </c>
      <c r="T69" s="4">
        <v>46175</v>
      </c>
      <c r="U69" s="5">
        <v>0.93055555555555558</v>
      </c>
      <c r="V69" s="4">
        <v>46176</v>
      </c>
      <c r="W69" s="5">
        <v>0.375</v>
      </c>
      <c r="X69" s="1"/>
      <c r="Y69" s="1"/>
      <c r="Z69" s="1"/>
      <c r="AA69" s="4"/>
      <c r="AB69" s="5"/>
      <c r="AC69" s="4"/>
      <c r="AD69" s="5"/>
    </row>
    <row r="70" spans="1:30" x14ac:dyDescent="0.3">
      <c r="A70" s="1" t="s">
        <v>87</v>
      </c>
      <c r="B70" t="s">
        <v>164</v>
      </c>
      <c r="C70" s="1" t="s">
        <v>57</v>
      </c>
      <c r="D70" s="1" t="s">
        <v>58</v>
      </c>
      <c r="E70" s="1" t="s">
        <v>59</v>
      </c>
      <c r="F70" s="4">
        <v>46162</v>
      </c>
      <c r="G70" s="5">
        <v>0.45833333333333331</v>
      </c>
      <c r="H70" s="4">
        <v>46163</v>
      </c>
      <c r="I70" s="5">
        <v>0.2361111111111111</v>
      </c>
      <c r="J70" s="1"/>
      <c r="K70" s="1"/>
      <c r="L70" s="1"/>
      <c r="M70" s="4"/>
      <c r="N70" s="5"/>
      <c r="O70" s="4"/>
      <c r="P70" s="5"/>
      <c r="Q70" s="1" t="s">
        <v>76</v>
      </c>
      <c r="R70" s="1" t="s">
        <v>65</v>
      </c>
      <c r="S70" s="1" t="s">
        <v>59</v>
      </c>
      <c r="T70" s="4">
        <v>46175</v>
      </c>
      <c r="U70" s="5">
        <v>0.93055555555555558</v>
      </c>
      <c r="V70" s="4">
        <v>46175</v>
      </c>
      <c r="W70" s="5">
        <v>0.97916666666666663</v>
      </c>
      <c r="X70" s="1" t="s">
        <v>60</v>
      </c>
      <c r="Y70" s="1" t="s">
        <v>59</v>
      </c>
      <c r="Z70" s="1" t="s">
        <v>58</v>
      </c>
      <c r="AA70" s="4">
        <v>46176</v>
      </c>
      <c r="AB70" s="5">
        <v>0.12847222222222221</v>
      </c>
      <c r="AC70" s="4">
        <v>46176</v>
      </c>
      <c r="AD70" s="5">
        <v>0.375</v>
      </c>
    </row>
    <row r="71" spans="1:30" x14ac:dyDescent="0.3">
      <c r="A71" s="1" t="s">
        <v>88</v>
      </c>
      <c r="B71" t="s">
        <v>161</v>
      </c>
      <c r="C71" s="1" t="s">
        <v>64</v>
      </c>
      <c r="D71" s="1" t="s">
        <v>62</v>
      </c>
      <c r="E71" s="1" t="s">
        <v>74</v>
      </c>
      <c r="F71" s="4">
        <v>46162</v>
      </c>
      <c r="G71" s="5">
        <v>0.78472222222222221</v>
      </c>
      <c r="H71" s="4">
        <v>46163</v>
      </c>
      <c r="I71" s="5">
        <v>0.60416666666666663</v>
      </c>
      <c r="J71" s="1" t="s">
        <v>138</v>
      </c>
      <c r="K71" s="1" t="s">
        <v>74</v>
      </c>
      <c r="L71" s="1" t="s">
        <v>65</v>
      </c>
      <c r="M71" s="4">
        <v>46163</v>
      </c>
      <c r="N71" s="5">
        <v>0.70486111111111116</v>
      </c>
      <c r="O71" s="4">
        <v>46163</v>
      </c>
      <c r="P71" s="5">
        <v>0.77083333333333337</v>
      </c>
      <c r="Q71" s="1" t="s">
        <v>75</v>
      </c>
      <c r="R71" s="1" t="s">
        <v>59</v>
      </c>
      <c r="S71" s="1" t="s">
        <v>74</v>
      </c>
      <c r="T71" s="4">
        <v>46174</v>
      </c>
      <c r="U71" s="5">
        <v>0.20833333333333334</v>
      </c>
      <c r="V71" s="4">
        <v>46174</v>
      </c>
      <c r="W71" s="5">
        <v>0.28472222222222221</v>
      </c>
      <c r="X71" s="1" t="s">
        <v>139</v>
      </c>
      <c r="Y71" s="1" t="s">
        <v>74</v>
      </c>
      <c r="Z71" s="1" t="s">
        <v>62</v>
      </c>
      <c r="AA71" s="4">
        <v>46174</v>
      </c>
      <c r="AB71" s="5">
        <v>0.36805555555555558</v>
      </c>
      <c r="AC71" s="4">
        <v>46174</v>
      </c>
      <c r="AD71" s="5">
        <v>0.65625</v>
      </c>
    </row>
    <row r="72" spans="1:30" x14ac:dyDescent="0.3">
      <c r="A72" s="1" t="s">
        <v>88</v>
      </c>
      <c r="B72" t="s">
        <v>162</v>
      </c>
      <c r="C72" s="1" t="s">
        <v>61</v>
      </c>
      <c r="D72" s="1" t="s">
        <v>62</v>
      </c>
      <c r="E72" s="1" t="s">
        <v>59</v>
      </c>
      <c r="F72" s="4">
        <v>46163</v>
      </c>
      <c r="G72" s="5">
        <v>0.78472222222222221</v>
      </c>
      <c r="H72" s="4">
        <v>46164</v>
      </c>
      <c r="I72" s="5">
        <v>0.57986111111111116</v>
      </c>
      <c r="J72" s="1"/>
      <c r="K72" s="1"/>
      <c r="L72" s="1"/>
      <c r="M72" s="4"/>
      <c r="N72" s="5"/>
      <c r="O72" s="4"/>
      <c r="P72" s="5"/>
      <c r="Q72" s="1" t="s">
        <v>72</v>
      </c>
      <c r="R72" s="1" t="s">
        <v>65</v>
      </c>
      <c r="S72" s="1" t="s">
        <v>59</v>
      </c>
      <c r="T72" s="4">
        <v>46175</v>
      </c>
      <c r="U72" s="5">
        <v>0.25347222222222221</v>
      </c>
      <c r="V72" s="4">
        <v>46175</v>
      </c>
      <c r="W72" s="5">
        <v>0.30208333333333331</v>
      </c>
      <c r="X72" s="1" t="s">
        <v>63</v>
      </c>
      <c r="Y72" s="1" t="s">
        <v>59</v>
      </c>
      <c r="Z72" s="1" t="s">
        <v>62</v>
      </c>
      <c r="AA72" s="4">
        <v>46175</v>
      </c>
      <c r="AB72" s="5">
        <v>0.3923611111111111</v>
      </c>
      <c r="AC72" s="4">
        <v>46177</v>
      </c>
      <c r="AD72" s="5">
        <v>0.65625</v>
      </c>
    </row>
    <row r="73" spans="1:30" x14ac:dyDescent="0.3">
      <c r="A73" s="1" t="s">
        <v>88</v>
      </c>
      <c r="B73" t="s">
        <v>163</v>
      </c>
      <c r="C73" s="1" t="s">
        <v>57</v>
      </c>
      <c r="D73" s="1" t="s">
        <v>58</v>
      </c>
      <c r="E73" s="1" t="s">
        <v>59</v>
      </c>
      <c r="F73" s="4">
        <v>46162</v>
      </c>
      <c r="G73" s="5">
        <v>0.45833333333333331</v>
      </c>
      <c r="H73" s="4">
        <v>46163</v>
      </c>
      <c r="I73" s="5">
        <v>0.2361111111111111</v>
      </c>
      <c r="J73" s="1"/>
      <c r="K73" s="1"/>
      <c r="L73" s="1"/>
      <c r="M73" s="4"/>
      <c r="N73" s="5"/>
      <c r="O73" s="4"/>
      <c r="P73" s="5"/>
      <c r="Q73" s="1" t="s">
        <v>76</v>
      </c>
      <c r="R73" s="1" t="s">
        <v>65</v>
      </c>
      <c r="S73" s="1" t="s">
        <v>58</v>
      </c>
      <c r="T73" s="4">
        <v>46175</v>
      </c>
      <c r="U73" s="5">
        <v>0.93055555555555558</v>
      </c>
      <c r="V73" s="4">
        <v>46176</v>
      </c>
      <c r="W73" s="5">
        <v>0.375</v>
      </c>
      <c r="X73" s="1"/>
      <c r="Y73" s="1"/>
      <c r="Z73" s="1"/>
      <c r="AA73" s="4"/>
      <c r="AB73" s="5"/>
      <c r="AC73" s="4"/>
      <c r="AD73" s="5"/>
    </row>
    <row r="74" spans="1:30" x14ac:dyDescent="0.3">
      <c r="A74" s="1" t="s">
        <v>88</v>
      </c>
      <c r="B74" t="s">
        <v>164</v>
      </c>
      <c r="C74" s="1" t="s">
        <v>57</v>
      </c>
      <c r="D74" s="1" t="s">
        <v>58</v>
      </c>
      <c r="E74" s="1" t="s">
        <v>59</v>
      </c>
      <c r="F74" s="4">
        <v>46162</v>
      </c>
      <c r="G74" s="5">
        <v>0.45833333333333331</v>
      </c>
      <c r="H74" s="4">
        <v>46163</v>
      </c>
      <c r="I74" s="5">
        <v>0.2361111111111111</v>
      </c>
      <c r="J74" s="1"/>
      <c r="K74" s="1"/>
      <c r="L74" s="1"/>
      <c r="M74" s="4"/>
      <c r="N74" s="5"/>
      <c r="O74" s="4"/>
      <c r="P74" s="5"/>
      <c r="Q74" s="1" t="s">
        <v>76</v>
      </c>
      <c r="R74" s="1" t="s">
        <v>65</v>
      </c>
      <c r="S74" s="1" t="s">
        <v>59</v>
      </c>
      <c r="T74" s="4">
        <v>46175</v>
      </c>
      <c r="U74" s="5">
        <v>0.93055555555555558</v>
      </c>
      <c r="V74" s="4">
        <v>46175</v>
      </c>
      <c r="W74" s="5">
        <v>0.97916666666666663</v>
      </c>
      <c r="X74" s="1" t="s">
        <v>60</v>
      </c>
      <c r="Y74" s="1" t="s">
        <v>59</v>
      </c>
      <c r="Z74" s="1" t="s">
        <v>58</v>
      </c>
      <c r="AA74" s="4">
        <v>46176</v>
      </c>
      <c r="AB74" s="5">
        <v>0.12847222222222221</v>
      </c>
      <c r="AC74" s="4">
        <v>46176</v>
      </c>
      <c r="AD74" s="5">
        <v>0.375</v>
      </c>
    </row>
    <row r="75" spans="1:30" x14ac:dyDescent="0.3">
      <c r="A75" s="1" t="s">
        <v>78</v>
      </c>
      <c r="B75" t="s">
        <v>1276</v>
      </c>
      <c r="C75" s="1" t="s">
        <v>1275</v>
      </c>
      <c r="D75" s="1" t="s">
        <v>140</v>
      </c>
      <c r="E75" s="1" t="s">
        <v>59</v>
      </c>
      <c r="F75" s="4">
        <v>46162</v>
      </c>
      <c r="G75" s="5">
        <v>0.92361111111111116</v>
      </c>
      <c r="H75" s="4">
        <v>46163</v>
      </c>
      <c r="I75" s="5">
        <v>0.2673611111111111</v>
      </c>
      <c r="J75" s="1" t="s">
        <v>141</v>
      </c>
      <c r="K75" s="1" t="s">
        <v>59</v>
      </c>
      <c r="L75" s="1" t="s">
        <v>65</v>
      </c>
      <c r="M75" s="4">
        <v>46163</v>
      </c>
      <c r="N75" s="5">
        <v>0.34722222222222221</v>
      </c>
      <c r="O75" s="4">
        <v>46163</v>
      </c>
      <c r="P75" s="5">
        <v>0.3923611111111111</v>
      </c>
      <c r="Q75" s="1" t="s">
        <v>142</v>
      </c>
      <c r="R75" s="1" t="s">
        <v>59</v>
      </c>
      <c r="S75" s="1" t="s">
        <v>140</v>
      </c>
      <c r="T75" s="4">
        <v>46172</v>
      </c>
      <c r="U75" s="5">
        <v>0.34027777777777779</v>
      </c>
      <c r="V75" s="4">
        <v>46172</v>
      </c>
      <c r="W75" s="5">
        <v>0.52777777777777779</v>
      </c>
      <c r="X75" s="1"/>
      <c r="Y75" s="1"/>
      <c r="Z75" s="1"/>
      <c r="AA75" s="4"/>
      <c r="AB75" s="5"/>
      <c r="AC75" s="4"/>
      <c r="AD75" s="5"/>
    </row>
    <row r="76" spans="1:30" x14ac:dyDescent="0.3">
      <c r="A76" s="1" t="s">
        <v>79</v>
      </c>
      <c r="B76" t="s">
        <v>1277</v>
      </c>
      <c r="C76" s="1" t="s">
        <v>1275</v>
      </c>
      <c r="D76" s="1" t="s">
        <v>140</v>
      </c>
      <c r="E76" s="1" t="s">
        <v>59</v>
      </c>
      <c r="F76" s="4">
        <v>46165</v>
      </c>
      <c r="G76" s="5">
        <v>0.92361111111111116</v>
      </c>
      <c r="H76" s="4">
        <v>46166</v>
      </c>
      <c r="I76" s="5">
        <v>0.2673611111111111</v>
      </c>
      <c r="J76" s="1"/>
      <c r="K76" s="1"/>
      <c r="L76" s="1"/>
      <c r="M76" s="4"/>
      <c r="N76" s="5"/>
      <c r="O76" s="4"/>
      <c r="P76" s="5"/>
      <c r="Q76" s="1" t="s">
        <v>143</v>
      </c>
      <c r="R76" s="1" t="s">
        <v>65</v>
      </c>
      <c r="S76" s="1" t="s">
        <v>59</v>
      </c>
      <c r="T76" s="4">
        <v>46176</v>
      </c>
      <c r="U76" s="5">
        <v>0.14930555555555555</v>
      </c>
      <c r="V76" s="4">
        <v>46176</v>
      </c>
      <c r="W76" s="5">
        <v>0.19791666666666666</v>
      </c>
      <c r="X76" s="1" t="s">
        <v>142</v>
      </c>
      <c r="Y76" s="1" t="s">
        <v>59</v>
      </c>
      <c r="Z76" s="1" t="s">
        <v>140</v>
      </c>
      <c r="AA76" s="4">
        <v>46176</v>
      </c>
      <c r="AB76" s="5">
        <v>0.34027777777777779</v>
      </c>
      <c r="AC76" s="4">
        <v>46176</v>
      </c>
      <c r="AD76" s="5">
        <v>0.52777777777777779</v>
      </c>
    </row>
    <row r="77" spans="1:30" x14ac:dyDescent="0.3">
      <c r="A77" s="1" t="s">
        <v>90</v>
      </c>
      <c r="B77" t="s">
        <v>148</v>
      </c>
      <c r="C77" s="1" t="s">
        <v>57</v>
      </c>
      <c r="D77" s="1" t="s">
        <v>58</v>
      </c>
      <c r="E77" s="1" t="s">
        <v>59</v>
      </c>
      <c r="F77" s="4">
        <v>46159</v>
      </c>
      <c r="G77" s="5">
        <v>0.45833333333333331</v>
      </c>
      <c r="H77" s="4">
        <v>46160</v>
      </c>
      <c r="I77" s="5">
        <v>0.2361111111111111</v>
      </c>
      <c r="J77" s="1" t="s">
        <v>133</v>
      </c>
      <c r="K77" s="1" t="s">
        <v>59</v>
      </c>
      <c r="L77" s="1" t="s">
        <v>65</v>
      </c>
      <c r="M77" s="4">
        <v>46160</v>
      </c>
      <c r="N77" s="5">
        <v>0.34722222222222221</v>
      </c>
      <c r="O77" s="4">
        <v>46160</v>
      </c>
      <c r="P77" s="5">
        <v>0.3923611111111111</v>
      </c>
      <c r="Q77" s="1" t="s">
        <v>60</v>
      </c>
      <c r="R77" s="1" t="s">
        <v>59</v>
      </c>
      <c r="S77" s="1" t="s">
        <v>58</v>
      </c>
      <c r="T77" s="4">
        <v>46173</v>
      </c>
      <c r="U77" s="5">
        <v>0.12847222222222221</v>
      </c>
      <c r="V77" s="4">
        <v>46173</v>
      </c>
      <c r="W77" s="5">
        <v>0.375</v>
      </c>
      <c r="X77" s="1"/>
      <c r="Y77" s="1"/>
      <c r="Z77" s="1"/>
      <c r="AA77" s="4"/>
      <c r="AB77" s="5"/>
      <c r="AC77" s="4"/>
      <c r="AD77" s="5"/>
    </row>
    <row r="78" spans="1:30" x14ac:dyDescent="0.3">
      <c r="A78" s="1" t="s">
        <v>90</v>
      </c>
      <c r="B78" t="s">
        <v>149</v>
      </c>
      <c r="C78" s="1" t="s">
        <v>64</v>
      </c>
      <c r="D78" s="1" t="s">
        <v>62</v>
      </c>
      <c r="E78" s="1" t="s">
        <v>65</v>
      </c>
      <c r="F78" s="4">
        <v>46160</v>
      </c>
      <c r="G78" s="5">
        <v>0.78472222222222221</v>
      </c>
      <c r="H78" s="4">
        <v>46161</v>
      </c>
      <c r="I78" s="5">
        <v>0.87847222222222221</v>
      </c>
      <c r="J78" s="1"/>
      <c r="K78" s="1"/>
      <c r="L78" s="1"/>
      <c r="M78" s="4"/>
      <c r="N78" s="5"/>
      <c r="O78" s="4"/>
      <c r="P78" s="5"/>
      <c r="Q78" s="1" t="s">
        <v>63</v>
      </c>
      <c r="R78" s="1" t="s">
        <v>59</v>
      </c>
      <c r="S78" s="1" t="s">
        <v>62</v>
      </c>
      <c r="T78" s="4">
        <v>46173</v>
      </c>
      <c r="U78" s="5">
        <v>0.3923611111111111</v>
      </c>
      <c r="V78" s="4">
        <v>46173</v>
      </c>
      <c r="W78" s="5">
        <v>0.65625</v>
      </c>
      <c r="X78" s="1"/>
      <c r="Y78" s="1"/>
      <c r="Z78" s="1"/>
      <c r="AA78" s="4"/>
      <c r="AB78" s="5"/>
      <c r="AC78" s="4"/>
      <c r="AD78" s="5"/>
    </row>
    <row r="79" spans="1:30" x14ac:dyDescent="0.3">
      <c r="A79" s="1" t="s">
        <v>90</v>
      </c>
      <c r="B79" t="s">
        <v>150</v>
      </c>
      <c r="C79" s="1" t="s">
        <v>66</v>
      </c>
      <c r="D79" s="1" t="s">
        <v>67</v>
      </c>
      <c r="E79" s="1" t="s">
        <v>59</v>
      </c>
      <c r="F79" s="4">
        <v>46159</v>
      </c>
      <c r="G79" s="5">
        <v>0.79166666666666663</v>
      </c>
      <c r="H79" s="4">
        <v>46160</v>
      </c>
      <c r="I79" s="5">
        <v>0.57986111111111116</v>
      </c>
      <c r="J79" s="1" t="s">
        <v>135</v>
      </c>
      <c r="K79" s="1" t="s">
        <v>59</v>
      </c>
      <c r="L79" s="1" t="s">
        <v>65</v>
      </c>
      <c r="M79" s="4">
        <v>46160</v>
      </c>
      <c r="N79" s="5">
        <v>0.84722222222222221</v>
      </c>
      <c r="O79" s="4">
        <v>46160</v>
      </c>
      <c r="P79" s="5">
        <v>0.89236111111111116</v>
      </c>
      <c r="Q79" s="1" t="s">
        <v>68</v>
      </c>
      <c r="R79" s="1" t="s">
        <v>59</v>
      </c>
      <c r="S79" s="1" t="s">
        <v>67</v>
      </c>
      <c r="T79" s="4">
        <v>46172</v>
      </c>
      <c r="U79" s="5">
        <v>0.38541666666666669</v>
      </c>
      <c r="V79" s="4">
        <v>46172</v>
      </c>
      <c r="W79" s="5">
        <v>0.64236111111111116</v>
      </c>
      <c r="X79" s="1"/>
      <c r="Y79" s="1"/>
      <c r="Z79" s="1"/>
      <c r="AA79" s="4"/>
      <c r="AB79" s="5"/>
      <c r="AC79" s="4"/>
      <c r="AD79" s="5"/>
    </row>
    <row r="80" spans="1:30" x14ac:dyDescent="0.3">
      <c r="A80" s="1" t="s">
        <v>90</v>
      </c>
      <c r="B80" t="s">
        <v>150</v>
      </c>
      <c r="C80" s="1" t="s">
        <v>66</v>
      </c>
      <c r="D80" s="1" t="s">
        <v>67</v>
      </c>
      <c r="E80" s="1" t="s">
        <v>59</v>
      </c>
      <c r="F80" s="4">
        <v>46159</v>
      </c>
      <c r="G80" s="5">
        <v>0.79166666666666663</v>
      </c>
      <c r="H80" s="4">
        <v>46160</v>
      </c>
      <c r="I80" s="5">
        <v>0.57986111111111116</v>
      </c>
      <c r="J80" s="1" t="s">
        <v>135</v>
      </c>
      <c r="K80" s="1" t="s">
        <v>59</v>
      </c>
      <c r="L80" s="1" t="s">
        <v>65</v>
      </c>
      <c r="M80" s="4">
        <v>46160</v>
      </c>
      <c r="N80" s="5">
        <v>0.84722222222222221</v>
      </c>
      <c r="O80" s="4">
        <v>46160</v>
      </c>
      <c r="P80" s="5">
        <v>0.89236111111111116</v>
      </c>
      <c r="Q80" s="1" t="s">
        <v>68</v>
      </c>
      <c r="R80" s="1" t="s">
        <v>59</v>
      </c>
      <c r="S80" s="1" t="s">
        <v>67</v>
      </c>
      <c r="T80" s="4">
        <v>46172</v>
      </c>
      <c r="U80" s="5">
        <v>0.38541666666666669</v>
      </c>
      <c r="V80" s="4">
        <v>46172</v>
      </c>
      <c r="W80" s="5">
        <v>0.64236111111111116</v>
      </c>
      <c r="X80" s="1"/>
      <c r="Y80" s="1"/>
      <c r="Z80" s="1"/>
      <c r="AA80" s="4"/>
      <c r="AB80" s="5"/>
      <c r="AC80" s="4"/>
      <c r="AD80" s="5"/>
    </row>
    <row r="81" spans="1:30" x14ac:dyDescent="0.3">
      <c r="A81" s="1" t="s">
        <v>90</v>
      </c>
      <c r="B81" t="s">
        <v>151</v>
      </c>
      <c r="C81" s="1" t="s">
        <v>69</v>
      </c>
      <c r="D81" s="1" t="s">
        <v>70</v>
      </c>
      <c r="E81" s="1" t="s">
        <v>59</v>
      </c>
      <c r="F81" s="4">
        <v>46158</v>
      </c>
      <c r="G81" s="5">
        <v>0.875</v>
      </c>
      <c r="H81" s="4">
        <v>46159</v>
      </c>
      <c r="I81" s="5">
        <v>0.93055555555555558</v>
      </c>
      <c r="J81" s="1" t="s">
        <v>136</v>
      </c>
      <c r="K81" s="1" t="s">
        <v>59</v>
      </c>
      <c r="L81" s="1" t="s">
        <v>65</v>
      </c>
      <c r="M81" s="4">
        <v>46160</v>
      </c>
      <c r="N81" s="5">
        <v>6.25E-2</v>
      </c>
      <c r="O81" s="4">
        <v>46160</v>
      </c>
      <c r="P81" s="5">
        <v>0.1076388888888889</v>
      </c>
      <c r="Q81" s="1" t="s">
        <v>71</v>
      </c>
      <c r="R81" s="1" t="s">
        <v>59</v>
      </c>
      <c r="S81" s="1" t="s">
        <v>70</v>
      </c>
      <c r="T81" s="4">
        <v>46172</v>
      </c>
      <c r="U81" s="5">
        <v>0.40972222222222221</v>
      </c>
      <c r="V81" s="4">
        <v>46172</v>
      </c>
      <c r="W81" s="5">
        <v>0.67013888888888884</v>
      </c>
      <c r="X81" s="1"/>
      <c r="Y81" s="1"/>
      <c r="Z81" s="1"/>
      <c r="AA81" s="4"/>
      <c r="AB81" s="5"/>
      <c r="AC81" s="4"/>
      <c r="AD81" s="5"/>
    </row>
    <row r="82" spans="1:30" x14ac:dyDescent="0.3">
      <c r="A82" s="1" t="s">
        <v>90</v>
      </c>
      <c r="B82" t="s">
        <v>152</v>
      </c>
      <c r="C82" s="1" t="s">
        <v>61</v>
      </c>
      <c r="D82" s="1" t="s">
        <v>62</v>
      </c>
      <c r="E82" s="1" t="s">
        <v>59</v>
      </c>
      <c r="F82" s="4">
        <v>46159</v>
      </c>
      <c r="G82" s="5">
        <v>0.78472222222222221</v>
      </c>
      <c r="H82" s="4">
        <v>46160</v>
      </c>
      <c r="I82" s="5">
        <v>0.66319444444444442</v>
      </c>
      <c r="J82" s="1"/>
      <c r="K82" s="1"/>
      <c r="L82" s="1"/>
      <c r="M82" s="4"/>
      <c r="N82" s="5"/>
      <c r="O82" s="4"/>
      <c r="P82" s="5"/>
      <c r="Q82" s="1" t="s">
        <v>63</v>
      </c>
      <c r="R82" s="1" t="s">
        <v>59</v>
      </c>
      <c r="S82" s="1" t="s">
        <v>62</v>
      </c>
      <c r="T82" s="4">
        <v>46172</v>
      </c>
      <c r="U82" s="5">
        <v>0.3923611111111111</v>
      </c>
      <c r="V82" s="4">
        <v>46172</v>
      </c>
      <c r="W82" s="5">
        <v>0.65625</v>
      </c>
      <c r="X82" s="1"/>
      <c r="Y82" s="1"/>
      <c r="Z82" s="1"/>
      <c r="AA82" s="4"/>
      <c r="AB82" s="5"/>
      <c r="AC82" s="4"/>
      <c r="AD82" s="5"/>
    </row>
    <row r="83" spans="1:30" x14ac:dyDescent="0.3">
      <c r="A83" s="1" t="s">
        <v>90</v>
      </c>
      <c r="B83" t="s">
        <v>153</v>
      </c>
      <c r="C83" s="1" t="s">
        <v>66</v>
      </c>
      <c r="D83" s="1" t="s">
        <v>67</v>
      </c>
      <c r="E83" s="1" t="s">
        <v>59</v>
      </c>
      <c r="F83" s="4">
        <v>46159</v>
      </c>
      <c r="G83" s="5">
        <v>0.79166666666666663</v>
      </c>
      <c r="H83" s="4">
        <v>46160</v>
      </c>
      <c r="I83" s="5">
        <v>0.57986111111111116</v>
      </c>
      <c r="J83" s="1" t="s">
        <v>134</v>
      </c>
      <c r="K83" s="1" t="s">
        <v>59</v>
      </c>
      <c r="L83" s="1" t="s">
        <v>65</v>
      </c>
      <c r="M83" s="4">
        <v>46160</v>
      </c>
      <c r="N83" s="5">
        <v>0.69444444444444442</v>
      </c>
      <c r="O83" s="4">
        <v>46160</v>
      </c>
      <c r="P83" s="5">
        <v>0.73958333333333337</v>
      </c>
      <c r="Q83" s="1" t="s">
        <v>68</v>
      </c>
      <c r="R83" s="1" t="s">
        <v>59</v>
      </c>
      <c r="S83" s="1" t="s">
        <v>67</v>
      </c>
      <c r="T83" s="4">
        <v>46172</v>
      </c>
      <c r="U83" s="5">
        <v>0.38541666666666669</v>
      </c>
      <c r="V83" s="4">
        <v>46172</v>
      </c>
      <c r="W83" s="5">
        <v>0.64236111111111116</v>
      </c>
      <c r="X83" s="1"/>
      <c r="Y83" s="1"/>
      <c r="Z83" s="1"/>
      <c r="AA83" s="4"/>
      <c r="AB83" s="5"/>
      <c r="AC83" s="4"/>
      <c r="AD83" s="5"/>
    </row>
    <row r="84" spans="1:30" x14ac:dyDescent="0.3">
      <c r="A84" s="1" t="s">
        <v>90</v>
      </c>
      <c r="B84" t="s">
        <v>154</v>
      </c>
      <c r="C84" s="1" t="s">
        <v>66</v>
      </c>
      <c r="D84" s="1" t="s">
        <v>67</v>
      </c>
      <c r="E84" s="1" t="s">
        <v>59</v>
      </c>
      <c r="F84" s="4">
        <v>46161</v>
      </c>
      <c r="G84" s="5">
        <v>0.79166666666666663</v>
      </c>
      <c r="H84" s="4">
        <v>46162</v>
      </c>
      <c r="I84" s="5">
        <v>0.57986111111111116</v>
      </c>
      <c r="J84" s="1" t="s">
        <v>134</v>
      </c>
      <c r="K84" s="1" t="s">
        <v>59</v>
      </c>
      <c r="L84" s="1" t="s">
        <v>65</v>
      </c>
      <c r="M84" s="4">
        <v>46162</v>
      </c>
      <c r="N84" s="5">
        <v>0.69444444444444442</v>
      </c>
      <c r="O84" s="4">
        <v>46162</v>
      </c>
      <c r="P84" s="5">
        <v>0.73958333333333337</v>
      </c>
      <c r="Q84" s="1" t="s">
        <v>68</v>
      </c>
      <c r="R84" s="1" t="s">
        <v>59</v>
      </c>
      <c r="S84" s="1" t="s">
        <v>67</v>
      </c>
      <c r="T84" s="4">
        <v>46173</v>
      </c>
      <c r="U84" s="5">
        <v>0.38541666666666669</v>
      </c>
      <c r="V84" s="4">
        <v>46173</v>
      </c>
      <c r="W84" s="5">
        <v>0.64236111111111116</v>
      </c>
      <c r="X84" s="1"/>
      <c r="Y84" s="1"/>
      <c r="Z84" s="1"/>
      <c r="AA84" s="4"/>
      <c r="AB84" s="5"/>
      <c r="AC84" s="4"/>
      <c r="AD84" s="5"/>
    </row>
    <row r="85" spans="1:30" x14ac:dyDescent="0.3">
      <c r="A85" s="1" t="s">
        <v>90</v>
      </c>
      <c r="B85" t="s">
        <v>154</v>
      </c>
      <c r="C85" s="1" t="s">
        <v>66</v>
      </c>
      <c r="D85" s="1" t="s">
        <v>67</v>
      </c>
      <c r="E85" s="1" t="s">
        <v>59</v>
      </c>
      <c r="F85" s="4">
        <v>46161</v>
      </c>
      <c r="G85" s="5">
        <v>0.79166666666666663</v>
      </c>
      <c r="H85" s="4">
        <v>46162</v>
      </c>
      <c r="I85" s="5">
        <v>0.57986111111111116</v>
      </c>
      <c r="J85" s="1" t="s">
        <v>134</v>
      </c>
      <c r="K85" s="1" t="s">
        <v>59</v>
      </c>
      <c r="L85" s="1" t="s">
        <v>65</v>
      </c>
      <c r="M85" s="4">
        <v>46162</v>
      </c>
      <c r="N85" s="5">
        <v>0.69444444444444442</v>
      </c>
      <c r="O85" s="4">
        <v>46162</v>
      </c>
      <c r="P85" s="5">
        <v>0.73958333333333337</v>
      </c>
      <c r="Q85" s="1" t="s">
        <v>68</v>
      </c>
      <c r="R85" s="1" t="s">
        <v>59</v>
      </c>
      <c r="S85" s="1" t="s">
        <v>67</v>
      </c>
      <c r="T85" s="4">
        <v>46173</v>
      </c>
      <c r="U85" s="5">
        <v>0.38541666666666669</v>
      </c>
      <c r="V85" s="4">
        <v>46173</v>
      </c>
      <c r="W85" s="5">
        <v>0.64236111111111116</v>
      </c>
      <c r="X85" s="1"/>
      <c r="Y85" s="1"/>
      <c r="Z85" s="1"/>
      <c r="AA85" s="4"/>
      <c r="AB85" s="5"/>
      <c r="AC85" s="4"/>
      <c r="AD85" s="5"/>
    </row>
    <row r="86" spans="1:30" x14ac:dyDescent="0.3">
      <c r="A86" s="1" t="s">
        <v>90</v>
      </c>
      <c r="B86" t="s">
        <v>151</v>
      </c>
      <c r="C86" s="1" t="s">
        <v>69</v>
      </c>
      <c r="D86" s="1" t="s">
        <v>70</v>
      </c>
      <c r="E86" s="1" t="s">
        <v>59</v>
      </c>
      <c r="F86" s="4">
        <v>46158</v>
      </c>
      <c r="G86" s="5">
        <v>0.875</v>
      </c>
      <c r="H86" s="4">
        <v>46159</v>
      </c>
      <c r="I86" s="5">
        <v>0.93055555555555558</v>
      </c>
      <c r="J86" s="1" t="s">
        <v>136</v>
      </c>
      <c r="K86" s="1" t="s">
        <v>59</v>
      </c>
      <c r="L86" s="1" t="s">
        <v>65</v>
      </c>
      <c r="M86" s="4">
        <v>46160</v>
      </c>
      <c r="N86" s="5">
        <v>6.25E-2</v>
      </c>
      <c r="O86" s="4">
        <v>46160</v>
      </c>
      <c r="P86" s="5">
        <v>0.1076388888888889</v>
      </c>
      <c r="Q86" s="1" t="s">
        <v>71</v>
      </c>
      <c r="R86" s="1" t="s">
        <v>59</v>
      </c>
      <c r="S86" s="1" t="s">
        <v>70</v>
      </c>
      <c r="T86" s="4">
        <v>46172</v>
      </c>
      <c r="U86" s="5">
        <v>0.40972222222222221</v>
      </c>
      <c r="V86" s="4">
        <v>46172</v>
      </c>
      <c r="W86" s="5">
        <v>0.67013888888888884</v>
      </c>
      <c r="X86" s="1"/>
      <c r="Y86" s="1"/>
      <c r="Z86" s="1"/>
      <c r="AA86" s="4"/>
      <c r="AB86" s="5"/>
      <c r="AC86" s="4"/>
      <c r="AD86" s="5"/>
    </row>
    <row r="87" spans="1:30" x14ac:dyDescent="0.3">
      <c r="A87" s="1" t="s">
        <v>90</v>
      </c>
      <c r="B87" t="s">
        <v>151</v>
      </c>
      <c r="C87" s="1" t="s">
        <v>69</v>
      </c>
      <c r="D87" s="1" t="s">
        <v>70</v>
      </c>
      <c r="E87" s="1" t="s">
        <v>59</v>
      </c>
      <c r="F87" s="4">
        <v>46158</v>
      </c>
      <c r="G87" s="5">
        <v>0.875</v>
      </c>
      <c r="H87" s="4">
        <v>46159</v>
      </c>
      <c r="I87" s="5">
        <v>0.93055555555555558</v>
      </c>
      <c r="J87" s="1" t="s">
        <v>136</v>
      </c>
      <c r="K87" s="1" t="s">
        <v>59</v>
      </c>
      <c r="L87" s="1" t="s">
        <v>65</v>
      </c>
      <c r="M87" s="4">
        <v>46160</v>
      </c>
      <c r="N87" s="5">
        <v>6.25E-2</v>
      </c>
      <c r="O87" s="4">
        <v>46160</v>
      </c>
      <c r="P87" s="5">
        <v>0.1076388888888889</v>
      </c>
      <c r="Q87" s="1" t="s">
        <v>71</v>
      </c>
      <c r="R87" s="1" t="s">
        <v>59</v>
      </c>
      <c r="S87" s="1" t="s">
        <v>70</v>
      </c>
      <c r="T87" s="4">
        <v>46172</v>
      </c>
      <c r="U87" s="5">
        <v>0.40972222222222221</v>
      </c>
      <c r="V87" s="4">
        <v>46172</v>
      </c>
      <c r="W87" s="5">
        <v>0.67013888888888884</v>
      </c>
      <c r="X87" s="1"/>
      <c r="Y87" s="1"/>
      <c r="Z87" s="1"/>
      <c r="AA87" s="4"/>
      <c r="AB87" s="5"/>
      <c r="AC87" s="4"/>
      <c r="AD87" s="5"/>
    </row>
    <row r="88" spans="1:30" x14ac:dyDescent="0.3">
      <c r="A88" s="1" t="s">
        <v>90</v>
      </c>
      <c r="B88" t="s">
        <v>155</v>
      </c>
      <c r="C88" s="1" t="s">
        <v>64</v>
      </c>
      <c r="D88" s="1" t="s">
        <v>62</v>
      </c>
      <c r="E88" s="1" t="s">
        <v>74</v>
      </c>
      <c r="F88" s="4">
        <v>46160</v>
      </c>
      <c r="G88" s="5">
        <v>0.78472222222222221</v>
      </c>
      <c r="H88" s="4">
        <v>46161</v>
      </c>
      <c r="I88" s="5">
        <v>0.60416666666666663</v>
      </c>
      <c r="J88" s="1" t="s">
        <v>137</v>
      </c>
      <c r="K88" s="1" t="s">
        <v>74</v>
      </c>
      <c r="L88" s="1" t="s">
        <v>65</v>
      </c>
      <c r="M88" s="4">
        <v>46161</v>
      </c>
      <c r="N88" s="5">
        <v>0.8125</v>
      </c>
      <c r="O88" s="4">
        <v>46161</v>
      </c>
      <c r="P88" s="5">
        <v>0.87847222222222221</v>
      </c>
      <c r="Q88" s="1" t="s">
        <v>63</v>
      </c>
      <c r="R88" s="1" t="s">
        <v>59</v>
      </c>
      <c r="S88" s="1" t="s">
        <v>62</v>
      </c>
      <c r="T88" s="4">
        <v>46173</v>
      </c>
      <c r="U88" s="5">
        <v>0.3923611111111111</v>
      </c>
      <c r="V88" s="4">
        <v>46173</v>
      </c>
      <c r="W88" s="5">
        <v>0.65625</v>
      </c>
      <c r="X88" s="1"/>
      <c r="Y88" s="1"/>
      <c r="Z88" s="1"/>
      <c r="AA88" s="4"/>
      <c r="AB88" s="5"/>
      <c r="AC88" s="4"/>
      <c r="AD88" s="5"/>
    </row>
    <row r="89" spans="1:30" x14ac:dyDescent="0.3">
      <c r="A89" s="1" t="s">
        <v>90</v>
      </c>
      <c r="B89" t="s">
        <v>156</v>
      </c>
      <c r="C89" s="1" t="s">
        <v>61</v>
      </c>
      <c r="D89" s="1" t="s">
        <v>62</v>
      </c>
      <c r="E89" s="1" t="s">
        <v>59</v>
      </c>
      <c r="F89" s="4">
        <v>46159</v>
      </c>
      <c r="G89" s="5">
        <v>0.78472222222222221</v>
      </c>
      <c r="H89" s="4">
        <v>46160</v>
      </c>
      <c r="I89" s="5">
        <v>0.57986111111111116</v>
      </c>
      <c r="J89" s="1"/>
      <c r="K89" s="1"/>
      <c r="L89" s="1"/>
      <c r="M89" s="4"/>
      <c r="N89" s="5"/>
      <c r="O89" s="4"/>
      <c r="P89" s="5"/>
      <c r="Q89" s="1" t="s">
        <v>63</v>
      </c>
      <c r="R89" s="1" t="s">
        <v>59</v>
      </c>
      <c r="S89" s="1" t="s">
        <v>62</v>
      </c>
      <c r="T89" s="4">
        <v>46172</v>
      </c>
      <c r="U89" s="5">
        <v>0.3923611111111111</v>
      </c>
      <c r="V89" s="4">
        <v>46172</v>
      </c>
      <c r="W89" s="5">
        <v>0.65625</v>
      </c>
      <c r="X89" s="1"/>
      <c r="Y89" s="1"/>
      <c r="Z89" s="1"/>
      <c r="AA89" s="4"/>
      <c r="AB89" s="5"/>
      <c r="AC89" s="4"/>
      <c r="AD89" s="5"/>
    </row>
    <row r="90" spans="1:30" x14ac:dyDescent="0.3">
      <c r="A90" s="1" t="s">
        <v>90</v>
      </c>
      <c r="B90" t="s">
        <v>157</v>
      </c>
      <c r="C90" s="1" t="s">
        <v>61</v>
      </c>
      <c r="D90" s="1" t="s">
        <v>62</v>
      </c>
      <c r="E90" s="1" t="s">
        <v>59</v>
      </c>
      <c r="F90" s="4">
        <v>46159</v>
      </c>
      <c r="G90" s="5">
        <v>0.78472222222222221</v>
      </c>
      <c r="H90" s="4">
        <v>46160</v>
      </c>
      <c r="I90" s="5">
        <v>0.57986111111111116</v>
      </c>
      <c r="J90" s="1" t="s">
        <v>134</v>
      </c>
      <c r="K90" s="1" t="s">
        <v>59</v>
      </c>
      <c r="L90" s="1" t="s">
        <v>65</v>
      </c>
      <c r="M90" s="4">
        <v>46160</v>
      </c>
      <c r="N90" s="5">
        <v>0.69444444444444442</v>
      </c>
      <c r="O90" s="4">
        <v>46160</v>
      </c>
      <c r="P90" s="5">
        <v>0.73958333333333337</v>
      </c>
      <c r="Q90" s="1" t="s">
        <v>63</v>
      </c>
      <c r="R90" s="1" t="s">
        <v>59</v>
      </c>
      <c r="S90" s="1" t="s">
        <v>62</v>
      </c>
      <c r="T90" s="4">
        <v>46172</v>
      </c>
      <c r="U90" s="5">
        <v>0.35069444444444442</v>
      </c>
      <c r="V90" s="4">
        <v>46172</v>
      </c>
      <c r="W90" s="5">
        <v>0.65625</v>
      </c>
      <c r="X90" s="1"/>
      <c r="Y90" s="1"/>
      <c r="Z90" s="1"/>
      <c r="AA90" s="4"/>
      <c r="AB90" s="5"/>
      <c r="AC90" s="4"/>
      <c r="AD90" s="5"/>
    </row>
    <row r="91" spans="1:30" x14ac:dyDescent="0.3">
      <c r="A91" s="1" t="s">
        <v>91</v>
      </c>
      <c r="B91" t="s">
        <v>148</v>
      </c>
      <c r="C91" s="1" t="s">
        <v>57</v>
      </c>
      <c r="D91" s="1" t="s">
        <v>58</v>
      </c>
      <c r="E91" s="1" t="s">
        <v>59</v>
      </c>
      <c r="F91" s="4">
        <v>46159</v>
      </c>
      <c r="G91" s="5">
        <v>0.45833333333333331</v>
      </c>
      <c r="H91" s="4">
        <v>46160</v>
      </c>
      <c r="I91" s="5">
        <v>0.2361111111111111</v>
      </c>
      <c r="J91" s="1" t="s">
        <v>133</v>
      </c>
      <c r="K91" s="1" t="s">
        <v>59</v>
      </c>
      <c r="L91" s="1" t="s">
        <v>65</v>
      </c>
      <c r="M91" s="4">
        <v>46160</v>
      </c>
      <c r="N91" s="5">
        <v>0.34722222222222221</v>
      </c>
      <c r="O91" s="4">
        <v>46160</v>
      </c>
      <c r="P91" s="5">
        <v>0.3923611111111111</v>
      </c>
      <c r="Q91" s="1" t="s">
        <v>60</v>
      </c>
      <c r="R91" s="1" t="s">
        <v>59</v>
      </c>
      <c r="S91" s="1" t="s">
        <v>58</v>
      </c>
      <c r="T91" s="4">
        <v>46173</v>
      </c>
      <c r="U91" s="5">
        <v>0.12847222222222221</v>
      </c>
      <c r="V91" s="4">
        <v>46173</v>
      </c>
      <c r="W91" s="5">
        <v>0.375</v>
      </c>
      <c r="X91" s="1"/>
      <c r="Y91" s="1"/>
      <c r="Z91" s="1"/>
      <c r="AA91" s="4"/>
      <c r="AB91" s="5"/>
      <c r="AC91" s="4"/>
      <c r="AD91" s="5"/>
    </row>
    <row r="92" spans="1:30" x14ac:dyDescent="0.3">
      <c r="A92" s="1" t="s">
        <v>91</v>
      </c>
      <c r="B92" t="s">
        <v>149</v>
      </c>
      <c r="C92" s="1" t="s">
        <v>64</v>
      </c>
      <c r="D92" s="1" t="s">
        <v>62</v>
      </c>
      <c r="E92" s="1" t="s">
        <v>65</v>
      </c>
      <c r="F92" s="4">
        <v>46160</v>
      </c>
      <c r="G92" s="5">
        <v>0.78472222222222221</v>
      </c>
      <c r="H92" s="4">
        <v>46161</v>
      </c>
      <c r="I92" s="5">
        <v>0.87847222222222221</v>
      </c>
      <c r="J92" s="1"/>
      <c r="K92" s="1"/>
      <c r="L92" s="1"/>
      <c r="M92" s="4"/>
      <c r="N92" s="5"/>
      <c r="O92" s="4"/>
      <c r="P92" s="5"/>
      <c r="Q92" s="1" t="s">
        <v>63</v>
      </c>
      <c r="R92" s="1" t="s">
        <v>59</v>
      </c>
      <c r="S92" s="1" t="s">
        <v>62</v>
      </c>
      <c r="T92" s="4">
        <v>46173</v>
      </c>
      <c r="U92" s="5">
        <v>0.3923611111111111</v>
      </c>
      <c r="V92" s="4">
        <v>46173</v>
      </c>
      <c r="W92" s="5">
        <v>0.65625</v>
      </c>
      <c r="X92" s="1"/>
      <c r="Y92" s="1"/>
      <c r="Z92" s="1"/>
      <c r="AA92" s="4"/>
      <c r="AB92" s="5"/>
      <c r="AC92" s="4"/>
      <c r="AD92" s="5"/>
    </row>
    <row r="93" spans="1:30" x14ac:dyDescent="0.3">
      <c r="A93" s="1" t="s">
        <v>91</v>
      </c>
      <c r="B93" t="s">
        <v>150</v>
      </c>
      <c r="C93" s="1" t="s">
        <v>66</v>
      </c>
      <c r="D93" s="1" t="s">
        <v>67</v>
      </c>
      <c r="E93" s="1" t="s">
        <v>59</v>
      </c>
      <c r="F93" s="4">
        <v>46159</v>
      </c>
      <c r="G93" s="5">
        <v>0.79166666666666663</v>
      </c>
      <c r="H93" s="4">
        <v>46160</v>
      </c>
      <c r="I93" s="5">
        <v>0.57986111111111116</v>
      </c>
      <c r="J93" s="1" t="s">
        <v>135</v>
      </c>
      <c r="K93" s="1" t="s">
        <v>59</v>
      </c>
      <c r="L93" s="1" t="s">
        <v>65</v>
      </c>
      <c r="M93" s="4">
        <v>46160</v>
      </c>
      <c r="N93" s="5">
        <v>0.84722222222222221</v>
      </c>
      <c r="O93" s="4">
        <v>46160</v>
      </c>
      <c r="P93" s="5">
        <v>0.89236111111111116</v>
      </c>
      <c r="Q93" s="1" t="s">
        <v>68</v>
      </c>
      <c r="R93" s="1" t="s">
        <v>59</v>
      </c>
      <c r="S93" s="1" t="s">
        <v>67</v>
      </c>
      <c r="T93" s="4">
        <v>46172</v>
      </c>
      <c r="U93" s="5">
        <v>0.38541666666666669</v>
      </c>
      <c r="V93" s="4">
        <v>46172</v>
      </c>
      <c r="W93" s="5">
        <v>0.64236111111111116</v>
      </c>
      <c r="X93" s="1"/>
      <c r="Y93" s="1"/>
      <c r="Z93" s="1"/>
      <c r="AA93" s="4"/>
      <c r="AB93" s="5"/>
      <c r="AC93" s="4"/>
      <c r="AD93" s="5"/>
    </row>
    <row r="94" spans="1:30" x14ac:dyDescent="0.3">
      <c r="A94" s="1" t="s">
        <v>91</v>
      </c>
      <c r="B94" t="s">
        <v>150</v>
      </c>
      <c r="C94" s="1" t="s">
        <v>66</v>
      </c>
      <c r="D94" s="1" t="s">
        <v>67</v>
      </c>
      <c r="E94" s="1" t="s">
        <v>59</v>
      </c>
      <c r="F94" s="4">
        <v>46159</v>
      </c>
      <c r="G94" s="5">
        <v>0.79166666666666663</v>
      </c>
      <c r="H94" s="4">
        <v>46160</v>
      </c>
      <c r="I94" s="5">
        <v>0.57986111111111116</v>
      </c>
      <c r="J94" s="1" t="s">
        <v>135</v>
      </c>
      <c r="K94" s="1" t="s">
        <v>59</v>
      </c>
      <c r="L94" s="1" t="s">
        <v>65</v>
      </c>
      <c r="M94" s="4">
        <v>46160</v>
      </c>
      <c r="N94" s="5">
        <v>0.84722222222222221</v>
      </c>
      <c r="O94" s="4">
        <v>46160</v>
      </c>
      <c r="P94" s="5">
        <v>0.89236111111111116</v>
      </c>
      <c r="Q94" s="1" t="s">
        <v>68</v>
      </c>
      <c r="R94" s="1" t="s">
        <v>59</v>
      </c>
      <c r="S94" s="1" t="s">
        <v>67</v>
      </c>
      <c r="T94" s="4">
        <v>46172</v>
      </c>
      <c r="U94" s="5">
        <v>0.38541666666666669</v>
      </c>
      <c r="V94" s="4">
        <v>46172</v>
      </c>
      <c r="W94" s="5">
        <v>0.64236111111111116</v>
      </c>
      <c r="X94" s="1"/>
      <c r="Y94" s="1"/>
      <c r="Z94" s="1"/>
      <c r="AA94" s="4"/>
      <c r="AB94" s="5"/>
      <c r="AC94" s="4"/>
      <c r="AD94" s="5"/>
    </row>
    <row r="95" spans="1:30" x14ac:dyDescent="0.3">
      <c r="A95" s="1" t="s">
        <v>91</v>
      </c>
      <c r="B95" t="s">
        <v>151</v>
      </c>
      <c r="C95" s="1" t="s">
        <v>69</v>
      </c>
      <c r="D95" s="1" t="s">
        <v>70</v>
      </c>
      <c r="E95" s="1" t="s">
        <v>59</v>
      </c>
      <c r="F95" s="4">
        <v>46158</v>
      </c>
      <c r="G95" s="5">
        <v>0.875</v>
      </c>
      <c r="H95" s="4">
        <v>46159</v>
      </c>
      <c r="I95" s="5">
        <v>0.93055555555555558</v>
      </c>
      <c r="J95" s="1" t="s">
        <v>136</v>
      </c>
      <c r="K95" s="1" t="s">
        <v>59</v>
      </c>
      <c r="L95" s="1" t="s">
        <v>65</v>
      </c>
      <c r="M95" s="4">
        <v>46160</v>
      </c>
      <c r="N95" s="5">
        <v>6.25E-2</v>
      </c>
      <c r="O95" s="4">
        <v>46160</v>
      </c>
      <c r="P95" s="5">
        <v>0.1076388888888889</v>
      </c>
      <c r="Q95" s="1" t="s">
        <v>71</v>
      </c>
      <c r="R95" s="1" t="s">
        <v>59</v>
      </c>
      <c r="S95" s="1" t="s">
        <v>70</v>
      </c>
      <c r="T95" s="4">
        <v>46172</v>
      </c>
      <c r="U95" s="5">
        <v>0.40972222222222221</v>
      </c>
      <c r="V95" s="4">
        <v>46172</v>
      </c>
      <c r="W95" s="5">
        <v>0.67013888888888884</v>
      </c>
      <c r="X95" s="1"/>
      <c r="Y95" s="1"/>
      <c r="Z95" s="1"/>
      <c r="AA95" s="4"/>
      <c r="AB95" s="5"/>
      <c r="AC95" s="4"/>
      <c r="AD95" s="5"/>
    </row>
    <row r="96" spans="1:30" x14ac:dyDescent="0.3">
      <c r="A96" s="1" t="s">
        <v>91</v>
      </c>
      <c r="B96" t="s">
        <v>152</v>
      </c>
      <c r="C96" s="1" t="s">
        <v>61</v>
      </c>
      <c r="D96" s="1" t="s">
        <v>62</v>
      </c>
      <c r="E96" s="1" t="s">
        <v>59</v>
      </c>
      <c r="F96" s="4">
        <v>46159</v>
      </c>
      <c r="G96" s="5">
        <v>0.78472222222222221</v>
      </c>
      <c r="H96" s="4">
        <v>46160</v>
      </c>
      <c r="I96" s="5">
        <v>0.66319444444444442</v>
      </c>
      <c r="J96" s="1"/>
      <c r="K96" s="1"/>
      <c r="L96" s="1"/>
      <c r="M96" s="4"/>
      <c r="N96" s="5"/>
      <c r="O96" s="4"/>
      <c r="P96" s="5"/>
      <c r="Q96" s="1" t="s">
        <v>63</v>
      </c>
      <c r="R96" s="1" t="s">
        <v>59</v>
      </c>
      <c r="S96" s="1" t="s">
        <v>62</v>
      </c>
      <c r="T96" s="4">
        <v>46172</v>
      </c>
      <c r="U96" s="5">
        <v>0.3923611111111111</v>
      </c>
      <c r="V96" s="4">
        <v>46172</v>
      </c>
      <c r="W96" s="5">
        <v>0.65625</v>
      </c>
      <c r="X96" s="1"/>
      <c r="Y96" s="1"/>
      <c r="Z96" s="1"/>
      <c r="AA96" s="4"/>
      <c r="AB96" s="5"/>
      <c r="AC96" s="4"/>
      <c r="AD96" s="5"/>
    </row>
    <row r="97" spans="1:30" x14ac:dyDescent="0.3">
      <c r="A97" s="1" t="s">
        <v>91</v>
      </c>
      <c r="B97" t="s">
        <v>153</v>
      </c>
      <c r="C97" s="1" t="s">
        <v>66</v>
      </c>
      <c r="D97" s="1" t="s">
        <v>67</v>
      </c>
      <c r="E97" s="1" t="s">
        <v>59</v>
      </c>
      <c r="F97" s="4">
        <v>46159</v>
      </c>
      <c r="G97" s="5">
        <v>0.79166666666666663</v>
      </c>
      <c r="H97" s="4">
        <v>46160</v>
      </c>
      <c r="I97" s="5">
        <v>0.57986111111111116</v>
      </c>
      <c r="J97" s="1" t="s">
        <v>134</v>
      </c>
      <c r="K97" s="1" t="s">
        <v>59</v>
      </c>
      <c r="L97" s="1" t="s">
        <v>65</v>
      </c>
      <c r="M97" s="4">
        <v>46160</v>
      </c>
      <c r="N97" s="5">
        <v>0.69444444444444442</v>
      </c>
      <c r="O97" s="4">
        <v>46160</v>
      </c>
      <c r="P97" s="5">
        <v>0.73958333333333337</v>
      </c>
      <c r="Q97" s="1" t="s">
        <v>68</v>
      </c>
      <c r="R97" s="1" t="s">
        <v>59</v>
      </c>
      <c r="S97" s="1" t="s">
        <v>67</v>
      </c>
      <c r="T97" s="4">
        <v>46172</v>
      </c>
      <c r="U97" s="5">
        <v>0.38541666666666669</v>
      </c>
      <c r="V97" s="4">
        <v>46172</v>
      </c>
      <c r="W97" s="5">
        <v>0.64236111111111116</v>
      </c>
      <c r="X97" s="1"/>
      <c r="Y97" s="1"/>
      <c r="Z97" s="1"/>
      <c r="AA97" s="4"/>
      <c r="AB97" s="5"/>
      <c r="AC97" s="4"/>
      <c r="AD97" s="5"/>
    </row>
    <row r="98" spans="1:30" x14ac:dyDescent="0.3">
      <c r="A98" s="1" t="s">
        <v>91</v>
      </c>
      <c r="B98" t="s">
        <v>154</v>
      </c>
      <c r="C98" s="1" t="s">
        <v>66</v>
      </c>
      <c r="D98" s="1" t="s">
        <v>67</v>
      </c>
      <c r="E98" s="1" t="s">
        <v>59</v>
      </c>
      <c r="F98" s="4">
        <v>46161</v>
      </c>
      <c r="G98" s="5">
        <v>0.79166666666666663</v>
      </c>
      <c r="H98" s="4">
        <v>46162</v>
      </c>
      <c r="I98" s="5">
        <v>0.57986111111111116</v>
      </c>
      <c r="J98" s="1" t="s">
        <v>134</v>
      </c>
      <c r="K98" s="1" t="s">
        <v>59</v>
      </c>
      <c r="L98" s="1" t="s">
        <v>65</v>
      </c>
      <c r="M98" s="4">
        <v>46162</v>
      </c>
      <c r="N98" s="5">
        <v>0.69444444444444442</v>
      </c>
      <c r="O98" s="4">
        <v>46162</v>
      </c>
      <c r="P98" s="5">
        <v>0.73958333333333337</v>
      </c>
      <c r="Q98" s="1" t="s">
        <v>68</v>
      </c>
      <c r="R98" s="1" t="s">
        <v>59</v>
      </c>
      <c r="S98" s="1" t="s">
        <v>67</v>
      </c>
      <c r="T98" s="4">
        <v>46173</v>
      </c>
      <c r="U98" s="5">
        <v>0.38541666666666669</v>
      </c>
      <c r="V98" s="4">
        <v>46173</v>
      </c>
      <c r="W98" s="5">
        <v>0.64236111111111116</v>
      </c>
      <c r="X98" s="1"/>
      <c r="Y98" s="1"/>
      <c r="Z98" s="1"/>
      <c r="AA98" s="4"/>
      <c r="AB98" s="5"/>
      <c r="AC98" s="4"/>
      <c r="AD98" s="5"/>
    </row>
    <row r="99" spans="1:30" x14ac:dyDescent="0.3">
      <c r="A99" s="1" t="s">
        <v>91</v>
      </c>
      <c r="B99" t="s">
        <v>154</v>
      </c>
      <c r="C99" s="1" t="s">
        <v>66</v>
      </c>
      <c r="D99" s="1" t="s">
        <v>67</v>
      </c>
      <c r="E99" s="1" t="s">
        <v>59</v>
      </c>
      <c r="F99" s="4">
        <v>46161</v>
      </c>
      <c r="G99" s="5">
        <v>0.79166666666666663</v>
      </c>
      <c r="H99" s="4">
        <v>46162</v>
      </c>
      <c r="I99" s="5">
        <v>0.57986111111111116</v>
      </c>
      <c r="J99" s="1" t="s">
        <v>134</v>
      </c>
      <c r="K99" s="1" t="s">
        <v>59</v>
      </c>
      <c r="L99" s="1" t="s">
        <v>65</v>
      </c>
      <c r="M99" s="4">
        <v>46162</v>
      </c>
      <c r="N99" s="5">
        <v>0.69444444444444442</v>
      </c>
      <c r="O99" s="4">
        <v>46162</v>
      </c>
      <c r="P99" s="5">
        <v>0.73958333333333337</v>
      </c>
      <c r="Q99" s="1" t="s">
        <v>68</v>
      </c>
      <c r="R99" s="1" t="s">
        <v>59</v>
      </c>
      <c r="S99" s="1" t="s">
        <v>67</v>
      </c>
      <c r="T99" s="4">
        <v>46173</v>
      </c>
      <c r="U99" s="5">
        <v>0.38541666666666669</v>
      </c>
      <c r="V99" s="4">
        <v>46173</v>
      </c>
      <c r="W99" s="5">
        <v>0.64236111111111116</v>
      </c>
      <c r="X99" s="1"/>
      <c r="Y99" s="1"/>
      <c r="Z99" s="1"/>
      <c r="AA99" s="4"/>
      <c r="AB99" s="5"/>
      <c r="AC99" s="4"/>
      <c r="AD99" s="5"/>
    </row>
    <row r="100" spans="1:30" x14ac:dyDescent="0.3">
      <c r="A100" s="1" t="s">
        <v>91</v>
      </c>
      <c r="B100" t="s">
        <v>151</v>
      </c>
      <c r="C100" s="1" t="s">
        <v>69</v>
      </c>
      <c r="D100" s="1" t="s">
        <v>70</v>
      </c>
      <c r="E100" s="1" t="s">
        <v>59</v>
      </c>
      <c r="F100" s="4">
        <v>46158</v>
      </c>
      <c r="G100" s="5">
        <v>0.875</v>
      </c>
      <c r="H100" s="4">
        <v>46159</v>
      </c>
      <c r="I100" s="5">
        <v>0.93055555555555558</v>
      </c>
      <c r="J100" s="1" t="s">
        <v>136</v>
      </c>
      <c r="K100" s="1" t="s">
        <v>59</v>
      </c>
      <c r="L100" s="1" t="s">
        <v>65</v>
      </c>
      <c r="M100" s="4">
        <v>46160</v>
      </c>
      <c r="N100" s="5">
        <v>6.25E-2</v>
      </c>
      <c r="O100" s="4">
        <v>46160</v>
      </c>
      <c r="P100" s="5">
        <v>0.1076388888888889</v>
      </c>
      <c r="Q100" s="1" t="s">
        <v>71</v>
      </c>
      <c r="R100" s="1" t="s">
        <v>59</v>
      </c>
      <c r="S100" s="1" t="s">
        <v>70</v>
      </c>
      <c r="T100" s="4">
        <v>46172</v>
      </c>
      <c r="U100" s="5">
        <v>0.40972222222222221</v>
      </c>
      <c r="V100" s="4">
        <v>46172</v>
      </c>
      <c r="W100" s="5">
        <v>0.67013888888888884</v>
      </c>
      <c r="X100" s="1"/>
      <c r="Y100" s="1"/>
      <c r="Z100" s="1"/>
      <c r="AA100" s="4"/>
      <c r="AB100" s="5"/>
      <c r="AC100" s="4"/>
      <c r="AD100" s="5"/>
    </row>
    <row r="101" spans="1:30" x14ac:dyDescent="0.3">
      <c r="A101" s="1" t="s">
        <v>91</v>
      </c>
      <c r="B101" t="s">
        <v>151</v>
      </c>
      <c r="C101" s="1" t="s">
        <v>69</v>
      </c>
      <c r="D101" s="1" t="s">
        <v>70</v>
      </c>
      <c r="E101" s="1" t="s">
        <v>59</v>
      </c>
      <c r="F101" s="4">
        <v>46158</v>
      </c>
      <c r="G101" s="5">
        <v>0.875</v>
      </c>
      <c r="H101" s="4">
        <v>46159</v>
      </c>
      <c r="I101" s="5">
        <v>0.93055555555555558</v>
      </c>
      <c r="J101" s="1" t="s">
        <v>136</v>
      </c>
      <c r="K101" s="1" t="s">
        <v>59</v>
      </c>
      <c r="L101" s="1" t="s">
        <v>65</v>
      </c>
      <c r="M101" s="4">
        <v>46160</v>
      </c>
      <c r="N101" s="5">
        <v>6.25E-2</v>
      </c>
      <c r="O101" s="4">
        <v>46160</v>
      </c>
      <c r="P101" s="5">
        <v>0.1076388888888889</v>
      </c>
      <c r="Q101" s="1" t="s">
        <v>71</v>
      </c>
      <c r="R101" s="1" t="s">
        <v>59</v>
      </c>
      <c r="S101" s="1" t="s">
        <v>70</v>
      </c>
      <c r="T101" s="4">
        <v>46172</v>
      </c>
      <c r="U101" s="5">
        <v>0.40972222222222221</v>
      </c>
      <c r="V101" s="4">
        <v>46172</v>
      </c>
      <c r="W101" s="5">
        <v>0.67013888888888884</v>
      </c>
      <c r="X101" s="1"/>
      <c r="Y101" s="1"/>
      <c r="Z101" s="1"/>
      <c r="AA101" s="4"/>
      <c r="AB101" s="5"/>
      <c r="AC101" s="4"/>
      <c r="AD101" s="5"/>
    </row>
    <row r="102" spans="1:30" x14ac:dyDescent="0.3">
      <c r="A102" s="1" t="s">
        <v>91</v>
      </c>
      <c r="B102" t="s">
        <v>155</v>
      </c>
      <c r="C102" s="1" t="s">
        <v>64</v>
      </c>
      <c r="D102" s="1" t="s">
        <v>62</v>
      </c>
      <c r="E102" s="1" t="s">
        <v>74</v>
      </c>
      <c r="F102" s="4">
        <v>46160</v>
      </c>
      <c r="G102" s="5">
        <v>0.78472222222222221</v>
      </c>
      <c r="H102" s="4">
        <v>46161</v>
      </c>
      <c r="I102" s="5">
        <v>0.60416666666666663</v>
      </c>
      <c r="J102" s="1" t="s">
        <v>137</v>
      </c>
      <c r="K102" s="1" t="s">
        <v>74</v>
      </c>
      <c r="L102" s="1" t="s">
        <v>65</v>
      </c>
      <c r="M102" s="4">
        <v>46161</v>
      </c>
      <c r="N102" s="5">
        <v>0.8125</v>
      </c>
      <c r="O102" s="4">
        <v>46161</v>
      </c>
      <c r="P102" s="5">
        <v>0.87847222222222221</v>
      </c>
      <c r="Q102" s="1" t="s">
        <v>63</v>
      </c>
      <c r="R102" s="1" t="s">
        <v>59</v>
      </c>
      <c r="S102" s="1" t="s">
        <v>62</v>
      </c>
      <c r="T102" s="4">
        <v>46173</v>
      </c>
      <c r="U102" s="5">
        <v>0.3923611111111111</v>
      </c>
      <c r="V102" s="4">
        <v>46173</v>
      </c>
      <c r="W102" s="5">
        <v>0.65625</v>
      </c>
      <c r="X102" s="1"/>
      <c r="Y102" s="1"/>
      <c r="Z102" s="1"/>
      <c r="AA102" s="4"/>
      <c r="AB102" s="5"/>
      <c r="AC102" s="4"/>
      <c r="AD102" s="5"/>
    </row>
    <row r="103" spans="1:30" x14ac:dyDescent="0.3">
      <c r="A103" s="1" t="s">
        <v>91</v>
      </c>
      <c r="B103" t="s">
        <v>156</v>
      </c>
      <c r="C103" s="1" t="s">
        <v>61</v>
      </c>
      <c r="D103" s="1" t="s">
        <v>62</v>
      </c>
      <c r="E103" s="1" t="s">
        <v>59</v>
      </c>
      <c r="F103" s="4">
        <v>46159</v>
      </c>
      <c r="G103" s="5">
        <v>0.78472222222222221</v>
      </c>
      <c r="H103" s="4">
        <v>46160</v>
      </c>
      <c r="I103" s="5">
        <v>0.57986111111111116</v>
      </c>
      <c r="J103" s="1"/>
      <c r="K103" s="1"/>
      <c r="L103" s="1"/>
      <c r="M103" s="4"/>
      <c r="N103" s="5"/>
      <c r="O103" s="4"/>
      <c r="P103" s="5"/>
      <c r="Q103" s="1" t="s">
        <v>63</v>
      </c>
      <c r="R103" s="1" t="s">
        <v>59</v>
      </c>
      <c r="S103" s="1" t="s">
        <v>62</v>
      </c>
      <c r="T103" s="4">
        <v>46172</v>
      </c>
      <c r="U103" s="5">
        <v>0.3923611111111111</v>
      </c>
      <c r="V103" s="4">
        <v>46172</v>
      </c>
      <c r="W103" s="5">
        <v>0.65625</v>
      </c>
      <c r="X103" s="1"/>
      <c r="Y103" s="1"/>
      <c r="Z103" s="1"/>
      <c r="AA103" s="4"/>
      <c r="AB103" s="5"/>
      <c r="AC103" s="4"/>
      <c r="AD103" s="5"/>
    </row>
    <row r="104" spans="1:30" x14ac:dyDescent="0.3">
      <c r="A104" s="1" t="s">
        <v>91</v>
      </c>
      <c r="B104" t="s">
        <v>157</v>
      </c>
      <c r="C104" s="1" t="s">
        <v>61</v>
      </c>
      <c r="D104" s="1" t="s">
        <v>62</v>
      </c>
      <c r="E104" s="1" t="s">
        <v>59</v>
      </c>
      <c r="F104" s="4">
        <v>46159</v>
      </c>
      <c r="G104" s="5">
        <v>0.78472222222222221</v>
      </c>
      <c r="H104" s="4">
        <v>46160</v>
      </c>
      <c r="I104" s="5">
        <v>0.57986111111111116</v>
      </c>
      <c r="J104" s="1" t="s">
        <v>134</v>
      </c>
      <c r="K104" s="1" t="s">
        <v>59</v>
      </c>
      <c r="L104" s="1" t="s">
        <v>65</v>
      </c>
      <c r="M104" s="4">
        <v>46160</v>
      </c>
      <c r="N104" s="5">
        <v>0.69444444444444442</v>
      </c>
      <c r="O104" s="4">
        <v>46160</v>
      </c>
      <c r="P104" s="5">
        <v>0.73958333333333337</v>
      </c>
      <c r="Q104" s="1" t="s">
        <v>63</v>
      </c>
      <c r="R104" s="1" t="s">
        <v>59</v>
      </c>
      <c r="S104" s="1" t="s">
        <v>62</v>
      </c>
      <c r="T104" s="4">
        <v>46172</v>
      </c>
      <c r="U104" s="5">
        <v>0.35069444444444442</v>
      </c>
      <c r="V104" s="4">
        <v>46172</v>
      </c>
      <c r="W104" s="5">
        <v>0.65625</v>
      </c>
      <c r="X104" s="1"/>
      <c r="Y104" s="1"/>
      <c r="Z104" s="1"/>
      <c r="AA104" s="4"/>
      <c r="AB104" s="5"/>
      <c r="AC104" s="4"/>
      <c r="AD104" s="5"/>
    </row>
    <row r="105" spans="1:30" x14ac:dyDescent="0.3">
      <c r="A105" s="1" t="s">
        <v>92</v>
      </c>
      <c r="B105" t="s">
        <v>158</v>
      </c>
      <c r="C105" s="1" t="s">
        <v>64</v>
      </c>
      <c r="D105" s="1" t="s">
        <v>70</v>
      </c>
      <c r="E105" s="1" t="s">
        <v>59</v>
      </c>
      <c r="F105" s="4">
        <v>46163</v>
      </c>
      <c r="G105" s="5">
        <v>0.875</v>
      </c>
      <c r="H105" s="4">
        <v>46164</v>
      </c>
      <c r="I105" s="5">
        <v>5.5555555555555552E-2</v>
      </c>
      <c r="J105" s="1"/>
      <c r="K105" s="1"/>
      <c r="L105" s="1"/>
      <c r="M105" s="4"/>
      <c r="N105" s="5"/>
      <c r="O105" s="4"/>
      <c r="P105" s="5"/>
      <c r="Q105" s="1" t="s">
        <v>72</v>
      </c>
      <c r="R105" s="1" t="s">
        <v>65</v>
      </c>
      <c r="S105" s="1" t="s">
        <v>59</v>
      </c>
      <c r="T105" s="4">
        <v>46177</v>
      </c>
      <c r="U105" s="5">
        <v>0.25347222222222221</v>
      </c>
      <c r="V105" s="4">
        <v>46177</v>
      </c>
      <c r="W105" s="5">
        <v>0.30208333333333331</v>
      </c>
      <c r="X105" s="1" t="s">
        <v>71</v>
      </c>
      <c r="Y105" s="1" t="s">
        <v>59</v>
      </c>
      <c r="Z105" s="1" t="s">
        <v>70</v>
      </c>
      <c r="AA105" s="4">
        <v>46177</v>
      </c>
      <c r="AB105" s="5">
        <v>0.40972222222222221</v>
      </c>
      <c r="AC105" s="4">
        <v>46177</v>
      </c>
      <c r="AD105" s="5">
        <v>0.67013888888888884</v>
      </c>
    </row>
    <row r="106" spans="1:30" x14ac:dyDescent="0.3">
      <c r="A106" s="1" t="s">
        <v>92</v>
      </c>
      <c r="B106" t="s">
        <v>159</v>
      </c>
      <c r="C106" s="1" t="s">
        <v>66</v>
      </c>
      <c r="D106" s="1" t="s">
        <v>67</v>
      </c>
      <c r="E106" s="1" t="s">
        <v>59</v>
      </c>
      <c r="F106" s="4">
        <v>46163</v>
      </c>
      <c r="G106" s="5">
        <v>0.79166666666666663</v>
      </c>
      <c r="H106" s="4">
        <v>46164</v>
      </c>
      <c r="I106" s="5">
        <v>0.57986111111111116</v>
      </c>
      <c r="J106" s="1"/>
      <c r="K106" s="1"/>
      <c r="L106" s="1"/>
      <c r="M106" s="4"/>
      <c r="N106" s="5"/>
      <c r="O106" s="4"/>
      <c r="P106" s="5"/>
      <c r="Q106" s="1" t="s">
        <v>73</v>
      </c>
      <c r="R106" s="1" t="s">
        <v>65</v>
      </c>
      <c r="S106" s="1" t="s">
        <v>59</v>
      </c>
      <c r="T106" s="4">
        <v>46177</v>
      </c>
      <c r="U106" s="5">
        <v>0.14930555555555555</v>
      </c>
      <c r="V106" s="4">
        <v>46177</v>
      </c>
      <c r="W106" s="5">
        <v>0.19791666666666666</v>
      </c>
      <c r="X106" s="1" t="s">
        <v>68</v>
      </c>
      <c r="Y106" s="1" t="s">
        <v>59</v>
      </c>
      <c r="Z106" s="1" t="s">
        <v>67</v>
      </c>
      <c r="AA106" s="4">
        <v>46177</v>
      </c>
      <c r="AB106" s="5">
        <v>0.38541666666666669</v>
      </c>
      <c r="AC106" s="4">
        <v>46177</v>
      </c>
      <c r="AD106" s="5">
        <v>0.64236111111111116</v>
      </c>
    </row>
    <row r="107" spans="1:30" x14ac:dyDescent="0.3">
      <c r="A107" s="1" t="s">
        <v>92</v>
      </c>
      <c r="B107" t="s">
        <v>159</v>
      </c>
      <c r="C107" s="1" t="s">
        <v>66</v>
      </c>
      <c r="D107" s="1" t="s">
        <v>67</v>
      </c>
      <c r="E107" s="1" t="s">
        <v>59</v>
      </c>
      <c r="F107" s="4">
        <v>46163</v>
      </c>
      <c r="G107" s="5">
        <v>0.79166666666666663</v>
      </c>
      <c r="H107" s="4">
        <v>46164</v>
      </c>
      <c r="I107" s="5">
        <v>0.57986111111111116</v>
      </c>
      <c r="J107" s="1"/>
      <c r="K107" s="1"/>
      <c r="L107" s="1"/>
      <c r="M107" s="4"/>
      <c r="N107" s="5"/>
      <c r="O107" s="4"/>
      <c r="P107" s="5"/>
      <c r="Q107" s="1" t="s">
        <v>73</v>
      </c>
      <c r="R107" s="1" t="s">
        <v>65</v>
      </c>
      <c r="S107" s="1" t="s">
        <v>59</v>
      </c>
      <c r="T107" s="4">
        <v>46177</v>
      </c>
      <c r="U107" s="5">
        <v>0.14930555555555555</v>
      </c>
      <c r="V107" s="4">
        <v>46177</v>
      </c>
      <c r="W107" s="5">
        <v>0.19791666666666666</v>
      </c>
      <c r="X107" s="1" t="s">
        <v>68</v>
      </c>
      <c r="Y107" s="1" t="s">
        <v>59</v>
      </c>
      <c r="Z107" s="1" t="s">
        <v>67</v>
      </c>
      <c r="AA107" s="4">
        <v>46177</v>
      </c>
      <c r="AB107" s="5">
        <v>0.38541666666666669</v>
      </c>
      <c r="AC107" s="4">
        <v>46177</v>
      </c>
      <c r="AD107" s="5">
        <v>0.64236111111111116</v>
      </c>
    </row>
    <row r="108" spans="1:30" x14ac:dyDescent="0.3">
      <c r="A108" s="1" t="s">
        <v>92</v>
      </c>
      <c r="B108" t="s">
        <v>160</v>
      </c>
      <c r="C108" s="1" t="s">
        <v>69</v>
      </c>
      <c r="D108" s="1" t="s">
        <v>70</v>
      </c>
      <c r="E108" s="1" t="s">
        <v>59</v>
      </c>
      <c r="F108" s="4">
        <v>46163</v>
      </c>
      <c r="G108" s="5">
        <v>0.875</v>
      </c>
      <c r="H108" s="4">
        <v>46164</v>
      </c>
      <c r="I108" s="5">
        <v>0.93055555555555558</v>
      </c>
      <c r="J108" s="1"/>
      <c r="K108" s="1"/>
      <c r="L108" s="1"/>
      <c r="M108" s="4"/>
      <c r="N108" s="5"/>
      <c r="O108" s="4"/>
      <c r="P108" s="5"/>
      <c r="Q108" s="1" t="s">
        <v>73</v>
      </c>
      <c r="R108" s="1" t="s">
        <v>65</v>
      </c>
      <c r="S108" s="1" t="s">
        <v>70</v>
      </c>
      <c r="T108" s="4">
        <v>46177</v>
      </c>
      <c r="U108" s="5">
        <v>0.14930555555555555</v>
      </c>
      <c r="V108" s="4">
        <v>46177</v>
      </c>
      <c r="W108" s="5">
        <v>0.67013888888888884</v>
      </c>
      <c r="X108" s="1"/>
      <c r="Y108" s="1"/>
      <c r="Z108" s="1"/>
      <c r="AA108" s="4"/>
      <c r="AB108" s="5"/>
      <c r="AC108" s="4"/>
      <c r="AD108" s="5"/>
    </row>
    <row r="109" spans="1:30" x14ac:dyDescent="0.3">
      <c r="A109" s="1" t="s">
        <v>92</v>
      </c>
      <c r="B109" t="s">
        <v>159</v>
      </c>
      <c r="C109" s="1" t="s">
        <v>66</v>
      </c>
      <c r="D109" s="1" t="s">
        <v>67</v>
      </c>
      <c r="E109" s="1" t="s">
        <v>59</v>
      </c>
      <c r="F109" s="4">
        <v>46163</v>
      </c>
      <c r="G109" s="5">
        <v>0.79166666666666663</v>
      </c>
      <c r="H109" s="4">
        <v>46164</v>
      </c>
      <c r="I109" s="5">
        <v>0.57986111111111116</v>
      </c>
      <c r="J109" s="1"/>
      <c r="K109" s="1"/>
      <c r="L109" s="1"/>
      <c r="M109" s="4"/>
      <c r="N109" s="5"/>
      <c r="O109" s="4"/>
      <c r="P109" s="5"/>
      <c r="Q109" s="1" t="s">
        <v>73</v>
      </c>
      <c r="R109" s="1" t="s">
        <v>65</v>
      </c>
      <c r="S109" s="1" t="s">
        <v>59</v>
      </c>
      <c r="T109" s="4">
        <v>46177</v>
      </c>
      <c r="U109" s="5">
        <v>0.14930555555555555</v>
      </c>
      <c r="V109" s="4">
        <v>46177</v>
      </c>
      <c r="W109" s="5">
        <v>0.19791666666666666</v>
      </c>
      <c r="X109" s="1" t="s">
        <v>68</v>
      </c>
      <c r="Y109" s="1" t="s">
        <v>59</v>
      </c>
      <c r="Z109" s="1" t="s">
        <v>67</v>
      </c>
      <c r="AA109" s="4">
        <v>46177</v>
      </c>
      <c r="AB109" s="5">
        <v>0.38541666666666669</v>
      </c>
      <c r="AC109" s="4">
        <v>46177</v>
      </c>
      <c r="AD109" s="5">
        <v>0.64236111111111116</v>
      </c>
    </row>
    <row r="110" spans="1:30" x14ac:dyDescent="0.3">
      <c r="A110" s="1" t="s">
        <v>93</v>
      </c>
      <c r="B110" t="s">
        <v>158</v>
      </c>
      <c r="C110" s="1" t="s">
        <v>64</v>
      </c>
      <c r="D110" s="1" t="s">
        <v>70</v>
      </c>
      <c r="E110" s="1" t="s">
        <v>59</v>
      </c>
      <c r="F110" s="4">
        <v>46163</v>
      </c>
      <c r="G110" s="5">
        <v>0.875</v>
      </c>
      <c r="H110" s="4">
        <v>46164</v>
      </c>
      <c r="I110" s="5">
        <v>5.5555555555555552E-2</v>
      </c>
      <c r="J110" s="1"/>
      <c r="K110" s="1"/>
      <c r="L110" s="1"/>
      <c r="M110" s="4"/>
      <c r="N110" s="5"/>
      <c r="O110" s="4"/>
      <c r="P110" s="5"/>
      <c r="Q110" s="1" t="s">
        <v>72</v>
      </c>
      <c r="R110" s="1" t="s">
        <v>65</v>
      </c>
      <c r="S110" s="1" t="s">
        <v>59</v>
      </c>
      <c r="T110" s="4">
        <v>46177</v>
      </c>
      <c r="U110" s="5">
        <v>0.25347222222222221</v>
      </c>
      <c r="V110" s="4">
        <v>46177</v>
      </c>
      <c r="W110" s="5">
        <v>0.30208333333333331</v>
      </c>
      <c r="X110" s="1" t="s">
        <v>71</v>
      </c>
      <c r="Y110" s="1" t="s">
        <v>59</v>
      </c>
      <c r="Z110" s="1" t="s">
        <v>70</v>
      </c>
      <c r="AA110" s="4">
        <v>46177</v>
      </c>
      <c r="AB110" s="5">
        <v>0.40972222222222221</v>
      </c>
      <c r="AC110" s="4">
        <v>46177</v>
      </c>
      <c r="AD110" s="5">
        <v>0.67013888888888884</v>
      </c>
    </row>
    <row r="111" spans="1:30" x14ac:dyDescent="0.3">
      <c r="A111" s="1" t="s">
        <v>93</v>
      </c>
      <c r="B111" t="s">
        <v>159</v>
      </c>
      <c r="C111" s="1" t="s">
        <v>66</v>
      </c>
      <c r="D111" s="1" t="s">
        <v>67</v>
      </c>
      <c r="E111" s="1" t="s">
        <v>59</v>
      </c>
      <c r="F111" s="4">
        <v>46163</v>
      </c>
      <c r="G111" s="5">
        <v>0.79166666666666663</v>
      </c>
      <c r="H111" s="4">
        <v>46164</v>
      </c>
      <c r="I111" s="5">
        <v>0.57986111111111116</v>
      </c>
      <c r="J111" s="1"/>
      <c r="K111" s="1"/>
      <c r="L111" s="1"/>
      <c r="M111" s="4"/>
      <c r="N111" s="5"/>
      <c r="O111" s="4"/>
      <c r="P111" s="5"/>
      <c r="Q111" s="1" t="s">
        <v>73</v>
      </c>
      <c r="R111" s="1" t="s">
        <v>65</v>
      </c>
      <c r="S111" s="1" t="s">
        <v>59</v>
      </c>
      <c r="T111" s="4">
        <v>46177</v>
      </c>
      <c r="U111" s="5">
        <v>0.14930555555555555</v>
      </c>
      <c r="V111" s="4">
        <v>46177</v>
      </c>
      <c r="W111" s="5">
        <v>0.19791666666666666</v>
      </c>
      <c r="X111" s="1" t="s">
        <v>68</v>
      </c>
      <c r="Y111" s="1" t="s">
        <v>59</v>
      </c>
      <c r="Z111" s="1" t="s">
        <v>67</v>
      </c>
      <c r="AA111" s="4">
        <v>46177</v>
      </c>
      <c r="AB111" s="5">
        <v>0.38541666666666669</v>
      </c>
      <c r="AC111" s="4">
        <v>46177</v>
      </c>
      <c r="AD111" s="5">
        <v>0.64236111111111116</v>
      </c>
    </row>
    <row r="112" spans="1:30" x14ac:dyDescent="0.3">
      <c r="A112" s="1" t="s">
        <v>93</v>
      </c>
      <c r="B112" t="s">
        <v>159</v>
      </c>
      <c r="C112" s="1" t="s">
        <v>66</v>
      </c>
      <c r="D112" s="1" t="s">
        <v>67</v>
      </c>
      <c r="E112" s="1" t="s">
        <v>59</v>
      </c>
      <c r="F112" s="4">
        <v>46163</v>
      </c>
      <c r="G112" s="5">
        <v>0.79166666666666663</v>
      </c>
      <c r="H112" s="4">
        <v>46164</v>
      </c>
      <c r="I112" s="5">
        <v>0.57986111111111116</v>
      </c>
      <c r="J112" s="1"/>
      <c r="K112" s="1"/>
      <c r="L112" s="1"/>
      <c r="M112" s="4"/>
      <c r="N112" s="5"/>
      <c r="O112" s="4"/>
      <c r="P112" s="5"/>
      <c r="Q112" s="1" t="s">
        <v>73</v>
      </c>
      <c r="R112" s="1" t="s">
        <v>65</v>
      </c>
      <c r="S112" s="1" t="s">
        <v>59</v>
      </c>
      <c r="T112" s="4">
        <v>46177</v>
      </c>
      <c r="U112" s="5">
        <v>0.14930555555555555</v>
      </c>
      <c r="V112" s="4">
        <v>46177</v>
      </c>
      <c r="W112" s="5">
        <v>0.19791666666666666</v>
      </c>
      <c r="X112" s="1" t="s">
        <v>68</v>
      </c>
      <c r="Y112" s="1" t="s">
        <v>59</v>
      </c>
      <c r="Z112" s="1" t="s">
        <v>67</v>
      </c>
      <c r="AA112" s="4">
        <v>46177</v>
      </c>
      <c r="AB112" s="5">
        <v>0.38541666666666669</v>
      </c>
      <c r="AC112" s="4">
        <v>46177</v>
      </c>
      <c r="AD112" s="5">
        <v>0.64236111111111116</v>
      </c>
    </row>
    <row r="113" spans="1:30" x14ac:dyDescent="0.3">
      <c r="A113" s="1" t="s">
        <v>93</v>
      </c>
      <c r="B113" t="s">
        <v>160</v>
      </c>
      <c r="C113" s="1" t="s">
        <v>69</v>
      </c>
      <c r="D113" s="1" t="s">
        <v>70</v>
      </c>
      <c r="E113" s="1" t="s">
        <v>59</v>
      </c>
      <c r="F113" s="4">
        <v>46163</v>
      </c>
      <c r="G113" s="5">
        <v>0.875</v>
      </c>
      <c r="H113" s="4">
        <v>46164</v>
      </c>
      <c r="I113" s="5">
        <v>0.93055555555555558</v>
      </c>
      <c r="J113" s="1"/>
      <c r="K113" s="1"/>
      <c r="L113" s="1"/>
      <c r="M113" s="4"/>
      <c r="N113" s="5"/>
      <c r="O113" s="4"/>
      <c r="P113" s="5"/>
      <c r="Q113" s="1" t="s">
        <v>73</v>
      </c>
      <c r="R113" s="1" t="s">
        <v>65</v>
      </c>
      <c r="S113" s="1" t="s">
        <v>70</v>
      </c>
      <c r="T113" s="4">
        <v>46177</v>
      </c>
      <c r="U113" s="5">
        <v>0.14930555555555555</v>
      </c>
      <c r="V113" s="4">
        <v>46177</v>
      </c>
      <c r="W113" s="5">
        <v>0.67013888888888884</v>
      </c>
      <c r="X113" s="1"/>
      <c r="Y113" s="1"/>
      <c r="Z113" s="1"/>
      <c r="AA113" s="4"/>
      <c r="AB113" s="5"/>
      <c r="AC113" s="4"/>
      <c r="AD113" s="5"/>
    </row>
    <row r="114" spans="1:30" x14ac:dyDescent="0.3">
      <c r="A114" s="1" t="s">
        <v>93</v>
      </c>
      <c r="B114" t="s">
        <v>159</v>
      </c>
      <c r="C114" s="1" t="s">
        <v>66</v>
      </c>
      <c r="D114" s="1" t="s">
        <v>67</v>
      </c>
      <c r="E114" s="1" t="s">
        <v>59</v>
      </c>
      <c r="F114" s="4">
        <v>46163</v>
      </c>
      <c r="G114" s="5">
        <v>0.79166666666666663</v>
      </c>
      <c r="H114" s="4">
        <v>46164</v>
      </c>
      <c r="I114" s="5">
        <v>0.57986111111111116</v>
      </c>
      <c r="J114" s="1"/>
      <c r="K114" s="1"/>
      <c r="L114" s="1"/>
      <c r="M114" s="4"/>
      <c r="N114" s="5"/>
      <c r="O114" s="4"/>
      <c r="P114" s="5"/>
      <c r="Q114" s="1" t="s">
        <v>73</v>
      </c>
      <c r="R114" s="1" t="s">
        <v>65</v>
      </c>
      <c r="S114" s="1" t="s">
        <v>59</v>
      </c>
      <c r="T114" s="4">
        <v>46177</v>
      </c>
      <c r="U114" s="5">
        <v>0.14930555555555555</v>
      </c>
      <c r="V114" s="4">
        <v>46177</v>
      </c>
      <c r="W114" s="5">
        <v>0.19791666666666666</v>
      </c>
      <c r="X114" s="1" t="s">
        <v>68</v>
      </c>
      <c r="Y114" s="1" t="s">
        <v>59</v>
      </c>
      <c r="Z114" s="1" t="s">
        <v>67</v>
      </c>
      <c r="AA114" s="4">
        <v>46177</v>
      </c>
      <c r="AB114" s="5">
        <v>0.38541666666666669</v>
      </c>
      <c r="AC114" s="4">
        <v>46177</v>
      </c>
      <c r="AD114" s="5">
        <v>0.64236111111111116</v>
      </c>
    </row>
    <row r="115" spans="1:30" x14ac:dyDescent="0.3">
      <c r="A115" s="1" t="s">
        <v>103</v>
      </c>
      <c r="B115" t="s">
        <v>158</v>
      </c>
      <c r="C115" s="1" t="s">
        <v>64</v>
      </c>
      <c r="D115" s="1" t="s">
        <v>70</v>
      </c>
      <c r="E115" s="1" t="s">
        <v>59</v>
      </c>
      <c r="F115" s="4">
        <v>46163</v>
      </c>
      <c r="G115" s="5">
        <v>0.875</v>
      </c>
      <c r="H115" s="4">
        <v>46164</v>
      </c>
      <c r="I115" s="5">
        <v>5.5555555555555552E-2</v>
      </c>
      <c r="J115" s="1"/>
      <c r="K115" s="1"/>
      <c r="L115" s="1"/>
      <c r="M115" s="4"/>
      <c r="N115" s="5"/>
      <c r="O115" s="4"/>
      <c r="P115" s="5"/>
      <c r="Q115" s="1" t="s">
        <v>72</v>
      </c>
      <c r="R115" s="1" t="s">
        <v>65</v>
      </c>
      <c r="S115" s="1" t="s">
        <v>59</v>
      </c>
      <c r="T115" s="4">
        <v>46177</v>
      </c>
      <c r="U115" s="5">
        <v>0.25347222222222221</v>
      </c>
      <c r="V115" s="4">
        <v>46177</v>
      </c>
      <c r="W115" s="5">
        <v>0.30208333333333331</v>
      </c>
      <c r="X115" s="1" t="s">
        <v>71</v>
      </c>
      <c r="Y115" s="1" t="s">
        <v>59</v>
      </c>
      <c r="Z115" s="1" t="s">
        <v>70</v>
      </c>
      <c r="AA115" s="4">
        <v>46177</v>
      </c>
      <c r="AB115" s="5">
        <v>0.40972222222222221</v>
      </c>
      <c r="AC115" s="4">
        <v>46177</v>
      </c>
      <c r="AD115" s="5">
        <v>0.67013888888888884</v>
      </c>
    </row>
    <row r="116" spans="1:30" x14ac:dyDescent="0.3">
      <c r="A116" s="1" t="s">
        <v>103</v>
      </c>
      <c r="B116" t="s">
        <v>159</v>
      </c>
      <c r="C116" s="1" t="s">
        <v>66</v>
      </c>
      <c r="D116" s="1" t="s">
        <v>67</v>
      </c>
      <c r="E116" s="1" t="s">
        <v>59</v>
      </c>
      <c r="F116" s="4">
        <v>46163</v>
      </c>
      <c r="G116" s="5">
        <v>0.79166666666666663</v>
      </c>
      <c r="H116" s="4">
        <v>46164</v>
      </c>
      <c r="I116" s="5">
        <v>0.57986111111111116</v>
      </c>
      <c r="J116" s="1"/>
      <c r="K116" s="1"/>
      <c r="L116" s="1"/>
      <c r="M116" s="4"/>
      <c r="N116" s="5"/>
      <c r="O116" s="4"/>
      <c r="P116" s="5"/>
      <c r="Q116" s="1" t="s">
        <v>73</v>
      </c>
      <c r="R116" s="1" t="s">
        <v>65</v>
      </c>
      <c r="S116" s="1" t="s">
        <v>59</v>
      </c>
      <c r="T116" s="4">
        <v>46177</v>
      </c>
      <c r="U116" s="5">
        <v>0.14930555555555555</v>
      </c>
      <c r="V116" s="4">
        <v>46177</v>
      </c>
      <c r="W116" s="5">
        <v>0.19791666666666666</v>
      </c>
      <c r="X116" s="1" t="s">
        <v>68</v>
      </c>
      <c r="Y116" s="1" t="s">
        <v>59</v>
      </c>
      <c r="Z116" s="1" t="s">
        <v>67</v>
      </c>
      <c r="AA116" s="4">
        <v>46177</v>
      </c>
      <c r="AB116" s="5">
        <v>0.38541666666666669</v>
      </c>
      <c r="AC116" s="4">
        <v>46177</v>
      </c>
      <c r="AD116" s="5">
        <v>0.64236111111111116</v>
      </c>
    </row>
    <row r="117" spans="1:30" x14ac:dyDescent="0.3">
      <c r="A117" s="1" t="s">
        <v>103</v>
      </c>
      <c r="B117" t="s">
        <v>159</v>
      </c>
      <c r="C117" s="1" t="s">
        <v>66</v>
      </c>
      <c r="D117" s="1" t="s">
        <v>67</v>
      </c>
      <c r="E117" s="1" t="s">
        <v>59</v>
      </c>
      <c r="F117" s="4">
        <v>46163</v>
      </c>
      <c r="G117" s="5">
        <v>0.79166666666666663</v>
      </c>
      <c r="H117" s="4">
        <v>46164</v>
      </c>
      <c r="I117" s="5">
        <v>0.57986111111111116</v>
      </c>
      <c r="J117" s="1"/>
      <c r="K117" s="1"/>
      <c r="L117" s="1"/>
      <c r="M117" s="4"/>
      <c r="N117" s="5"/>
      <c r="O117" s="4"/>
      <c r="P117" s="5"/>
      <c r="Q117" s="1" t="s">
        <v>73</v>
      </c>
      <c r="R117" s="1" t="s">
        <v>65</v>
      </c>
      <c r="S117" s="1" t="s">
        <v>59</v>
      </c>
      <c r="T117" s="4">
        <v>46177</v>
      </c>
      <c r="U117" s="5">
        <v>0.14930555555555555</v>
      </c>
      <c r="V117" s="4">
        <v>46177</v>
      </c>
      <c r="W117" s="5">
        <v>0.19791666666666666</v>
      </c>
      <c r="X117" s="1" t="s">
        <v>68</v>
      </c>
      <c r="Y117" s="1" t="s">
        <v>59</v>
      </c>
      <c r="Z117" s="1" t="s">
        <v>67</v>
      </c>
      <c r="AA117" s="4">
        <v>46177</v>
      </c>
      <c r="AB117" s="5">
        <v>0.38541666666666669</v>
      </c>
      <c r="AC117" s="4">
        <v>46177</v>
      </c>
      <c r="AD117" s="5">
        <v>0.64236111111111116</v>
      </c>
    </row>
    <row r="118" spans="1:30" x14ac:dyDescent="0.3">
      <c r="A118" s="1" t="s">
        <v>103</v>
      </c>
      <c r="B118" t="s">
        <v>160</v>
      </c>
      <c r="C118" s="1" t="s">
        <v>69</v>
      </c>
      <c r="D118" s="1" t="s">
        <v>70</v>
      </c>
      <c r="E118" s="1" t="s">
        <v>59</v>
      </c>
      <c r="F118" s="4">
        <v>46163</v>
      </c>
      <c r="G118" s="5">
        <v>0.875</v>
      </c>
      <c r="H118" s="4">
        <v>46164</v>
      </c>
      <c r="I118" s="5">
        <v>0.93055555555555558</v>
      </c>
      <c r="J118" s="1"/>
      <c r="K118" s="1"/>
      <c r="L118" s="1"/>
      <c r="M118" s="4"/>
      <c r="N118" s="5"/>
      <c r="O118" s="4"/>
      <c r="P118" s="5"/>
      <c r="Q118" s="1" t="s">
        <v>73</v>
      </c>
      <c r="R118" s="1" t="s">
        <v>65</v>
      </c>
      <c r="S118" s="1" t="s">
        <v>70</v>
      </c>
      <c r="T118" s="4">
        <v>46177</v>
      </c>
      <c r="U118" s="5">
        <v>0.14930555555555555</v>
      </c>
      <c r="V118" s="4">
        <v>46177</v>
      </c>
      <c r="W118" s="5">
        <v>0.67013888888888884</v>
      </c>
      <c r="X118" s="1"/>
      <c r="Y118" s="1"/>
      <c r="Z118" s="1"/>
      <c r="AA118" s="4"/>
      <c r="AB118" s="5"/>
      <c r="AC118" s="4"/>
      <c r="AD118" s="5"/>
    </row>
    <row r="119" spans="1:30" x14ac:dyDescent="0.3">
      <c r="A119" s="1" t="s">
        <v>103</v>
      </c>
      <c r="B119" t="s">
        <v>159</v>
      </c>
      <c r="C119" s="1" t="s">
        <v>66</v>
      </c>
      <c r="D119" s="1" t="s">
        <v>67</v>
      </c>
      <c r="E119" s="1" t="s">
        <v>59</v>
      </c>
      <c r="F119" s="4">
        <v>46163</v>
      </c>
      <c r="G119" s="5">
        <v>0.79166666666666663</v>
      </c>
      <c r="H119" s="4">
        <v>46164</v>
      </c>
      <c r="I119" s="5">
        <v>0.57986111111111116</v>
      </c>
      <c r="J119" s="1"/>
      <c r="K119" s="1"/>
      <c r="L119" s="1"/>
      <c r="M119" s="4"/>
      <c r="N119" s="5"/>
      <c r="O119" s="4"/>
      <c r="P119" s="5"/>
      <c r="Q119" s="1" t="s">
        <v>73</v>
      </c>
      <c r="R119" s="1" t="s">
        <v>65</v>
      </c>
      <c r="S119" s="1" t="s">
        <v>59</v>
      </c>
      <c r="T119" s="4">
        <v>46177</v>
      </c>
      <c r="U119" s="5">
        <v>0.14930555555555555</v>
      </c>
      <c r="V119" s="4">
        <v>46177</v>
      </c>
      <c r="W119" s="5">
        <v>0.19791666666666666</v>
      </c>
      <c r="X119" s="1" t="s">
        <v>68</v>
      </c>
      <c r="Y119" s="1" t="s">
        <v>59</v>
      </c>
      <c r="Z119" s="1" t="s">
        <v>67</v>
      </c>
      <c r="AA119" s="4">
        <v>46177</v>
      </c>
      <c r="AB119" s="5">
        <v>0.38541666666666669</v>
      </c>
      <c r="AC119" s="4">
        <v>46177</v>
      </c>
      <c r="AD119" s="5">
        <v>0.64236111111111116</v>
      </c>
    </row>
    <row r="120" spans="1:30" x14ac:dyDescent="0.3">
      <c r="A120" s="1" t="s">
        <v>94</v>
      </c>
      <c r="B120" t="s">
        <v>158</v>
      </c>
      <c r="C120" s="1" t="s">
        <v>64</v>
      </c>
      <c r="D120" s="1" t="s">
        <v>70</v>
      </c>
      <c r="E120" s="1" t="s">
        <v>59</v>
      </c>
      <c r="F120" s="4">
        <v>46163</v>
      </c>
      <c r="G120" s="5">
        <v>0.875</v>
      </c>
      <c r="H120" s="4">
        <v>46164</v>
      </c>
      <c r="I120" s="5">
        <v>5.5555555555555552E-2</v>
      </c>
      <c r="J120" s="1"/>
      <c r="K120" s="1"/>
      <c r="L120" s="1"/>
      <c r="M120" s="4"/>
      <c r="N120" s="5"/>
      <c r="O120" s="4"/>
      <c r="P120" s="5"/>
      <c r="Q120" s="1" t="s">
        <v>72</v>
      </c>
      <c r="R120" s="1" t="s">
        <v>65</v>
      </c>
      <c r="S120" s="1" t="s">
        <v>59</v>
      </c>
      <c r="T120" s="4">
        <v>46177</v>
      </c>
      <c r="U120" s="5">
        <v>0.25347222222222221</v>
      </c>
      <c r="V120" s="4">
        <v>46177</v>
      </c>
      <c r="W120" s="5">
        <v>0.30208333333333331</v>
      </c>
      <c r="X120" s="1" t="s">
        <v>71</v>
      </c>
      <c r="Y120" s="1" t="s">
        <v>59</v>
      </c>
      <c r="Z120" s="1" t="s">
        <v>70</v>
      </c>
      <c r="AA120" s="4">
        <v>46177</v>
      </c>
      <c r="AB120" s="5">
        <v>0.40972222222222221</v>
      </c>
      <c r="AC120" s="4">
        <v>46177</v>
      </c>
      <c r="AD120" s="5">
        <v>0.67013888888888884</v>
      </c>
    </row>
    <row r="121" spans="1:30" x14ac:dyDescent="0.3">
      <c r="A121" s="1" t="s">
        <v>94</v>
      </c>
      <c r="B121" t="s">
        <v>159</v>
      </c>
      <c r="C121" s="1" t="s">
        <v>66</v>
      </c>
      <c r="D121" s="1" t="s">
        <v>67</v>
      </c>
      <c r="E121" s="1" t="s">
        <v>59</v>
      </c>
      <c r="F121" s="4">
        <v>46163</v>
      </c>
      <c r="G121" s="5">
        <v>0.79166666666666663</v>
      </c>
      <c r="H121" s="4">
        <v>46164</v>
      </c>
      <c r="I121" s="5">
        <v>0.57986111111111116</v>
      </c>
      <c r="J121" s="1"/>
      <c r="K121" s="1"/>
      <c r="L121" s="1"/>
      <c r="M121" s="4"/>
      <c r="N121" s="5"/>
      <c r="O121" s="4"/>
      <c r="P121" s="5"/>
      <c r="Q121" s="1" t="s">
        <v>73</v>
      </c>
      <c r="R121" s="1" t="s">
        <v>65</v>
      </c>
      <c r="S121" s="1" t="s">
        <v>59</v>
      </c>
      <c r="T121" s="4">
        <v>46177</v>
      </c>
      <c r="U121" s="5">
        <v>0.14930555555555555</v>
      </c>
      <c r="V121" s="4">
        <v>46177</v>
      </c>
      <c r="W121" s="5">
        <v>0.19791666666666666</v>
      </c>
      <c r="X121" s="1" t="s">
        <v>68</v>
      </c>
      <c r="Y121" s="1" t="s">
        <v>59</v>
      </c>
      <c r="Z121" s="1" t="s">
        <v>67</v>
      </c>
      <c r="AA121" s="4">
        <v>46177</v>
      </c>
      <c r="AB121" s="5">
        <v>0.38541666666666669</v>
      </c>
      <c r="AC121" s="4">
        <v>46177</v>
      </c>
      <c r="AD121" s="5">
        <v>0.64236111111111116</v>
      </c>
    </row>
    <row r="122" spans="1:30" x14ac:dyDescent="0.3">
      <c r="A122" s="1" t="s">
        <v>94</v>
      </c>
      <c r="B122" t="s">
        <v>159</v>
      </c>
      <c r="C122" s="1" t="s">
        <v>66</v>
      </c>
      <c r="D122" s="1" t="s">
        <v>67</v>
      </c>
      <c r="E122" s="1" t="s">
        <v>59</v>
      </c>
      <c r="F122" s="4">
        <v>46163</v>
      </c>
      <c r="G122" s="5">
        <v>0.79166666666666663</v>
      </c>
      <c r="H122" s="4">
        <v>46164</v>
      </c>
      <c r="I122" s="5">
        <v>0.57986111111111116</v>
      </c>
      <c r="J122" s="1"/>
      <c r="K122" s="1"/>
      <c r="L122" s="1"/>
      <c r="M122" s="4"/>
      <c r="N122" s="5"/>
      <c r="O122" s="4"/>
      <c r="P122" s="5"/>
      <c r="Q122" s="1" t="s">
        <v>73</v>
      </c>
      <c r="R122" s="1" t="s">
        <v>65</v>
      </c>
      <c r="S122" s="1" t="s">
        <v>59</v>
      </c>
      <c r="T122" s="4">
        <v>46177</v>
      </c>
      <c r="U122" s="5">
        <v>0.14930555555555555</v>
      </c>
      <c r="V122" s="4">
        <v>46177</v>
      </c>
      <c r="W122" s="5">
        <v>0.19791666666666666</v>
      </c>
      <c r="X122" s="1" t="s">
        <v>68</v>
      </c>
      <c r="Y122" s="1" t="s">
        <v>59</v>
      </c>
      <c r="Z122" s="1" t="s">
        <v>67</v>
      </c>
      <c r="AA122" s="4">
        <v>46177</v>
      </c>
      <c r="AB122" s="5">
        <v>0.38541666666666669</v>
      </c>
      <c r="AC122" s="4">
        <v>46177</v>
      </c>
      <c r="AD122" s="5">
        <v>0.64236111111111116</v>
      </c>
    </row>
    <row r="123" spans="1:30" x14ac:dyDescent="0.3">
      <c r="A123" s="1" t="s">
        <v>94</v>
      </c>
      <c r="B123" t="s">
        <v>160</v>
      </c>
      <c r="C123" s="1" t="s">
        <v>69</v>
      </c>
      <c r="D123" s="1" t="s">
        <v>70</v>
      </c>
      <c r="E123" s="1" t="s">
        <v>59</v>
      </c>
      <c r="F123" s="4">
        <v>46163</v>
      </c>
      <c r="G123" s="5">
        <v>0.875</v>
      </c>
      <c r="H123" s="4">
        <v>46164</v>
      </c>
      <c r="I123" s="5">
        <v>0.93055555555555558</v>
      </c>
      <c r="J123" s="1"/>
      <c r="K123" s="1"/>
      <c r="L123" s="1"/>
      <c r="M123" s="4"/>
      <c r="N123" s="5"/>
      <c r="O123" s="4"/>
      <c r="P123" s="5"/>
      <c r="Q123" s="1" t="s">
        <v>73</v>
      </c>
      <c r="R123" s="1" t="s">
        <v>65</v>
      </c>
      <c r="S123" s="1" t="s">
        <v>70</v>
      </c>
      <c r="T123" s="4">
        <v>46177</v>
      </c>
      <c r="U123" s="5">
        <v>0.14930555555555555</v>
      </c>
      <c r="V123" s="4">
        <v>46177</v>
      </c>
      <c r="W123" s="5">
        <v>0.67013888888888884</v>
      </c>
      <c r="X123" s="1"/>
      <c r="Y123" s="1"/>
      <c r="Z123" s="1"/>
      <c r="AA123" s="4"/>
      <c r="AB123" s="5"/>
      <c r="AC123" s="4"/>
      <c r="AD123" s="5"/>
    </row>
    <row r="124" spans="1:30" x14ac:dyDescent="0.3">
      <c r="A124" s="1" t="s">
        <v>94</v>
      </c>
      <c r="B124" t="s">
        <v>159</v>
      </c>
      <c r="C124" s="1" t="s">
        <v>66</v>
      </c>
      <c r="D124" s="1" t="s">
        <v>67</v>
      </c>
      <c r="E124" s="1" t="s">
        <v>59</v>
      </c>
      <c r="F124" s="4">
        <v>46163</v>
      </c>
      <c r="G124" s="5">
        <v>0.79166666666666663</v>
      </c>
      <c r="H124" s="4">
        <v>46164</v>
      </c>
      <c r="I124" s="5">
        <v>0.57986111111111116</v>
      </c>
      <c r="J124" s="1"/>
      <c r="K124" s="1"/>
      <c r="L124" s="1"/>
      <c r="M124" s="4"/>
      <c r="N124" s="5"/>
      <c r="O124" s="4"/>
      <c r="P124" s="5"/>
      <c r="Q124" s="1" t="s">
        <v>73</v>
      </c>
      <c r="R124" s="1" t="s">
        <v>65</v>
      </c>
      <c r="S124" s="1" t="s">
        <v>59</v>
      </c>
      <c r="T124" s="4">
        <v>46177</v>
      </c>
      <c r="U124" s="5">
        <v>0.14930555555555555</v>
      </c>
      <c r="V124" s="4">
        <v>46177</v>
      </c>
      <c r="W124" s="5">
        <v>0.19791666666666666</v>
      </c>
      <c r="X124" s="1" t="s">
        <v>68</v>
      </c>
      <c r="Y124" s="1" t="s">
        <v>59</v>
      </c>
      <c r="Z124" s="1" t="s">
        <v>67</v>
      </c>
      <c r="AA124" s="4">
        <v>46177</v>
      </c>
      <c r="AB124" s="5">
        <v>0.38541666666666669</v>
      </c>
      <c r="AC124" s="4">
        <v>46177</v>
      </c>
      <c r="AD124" s="5">
        <v>0.64236111111111116</v>
      </c>
    </row>
    <row r="125" spans="1:30" x14ac:dyDescent="0.3">
      <c r="A125" s="1" t="s">
        <v>89</v>
      </c>
      <c r="B125" t="s">
        <v>1276</v>
      </c>
      <c r="C125" s="1" t="s">
        <v>1275</v>
      </c>
      <c r="D125" s="1" t="s">
        <v>140</v>
      </c>
      <c r="E125" s="1" t="s">
        <v>59</v>
      </c>
      <c r="F125" s="4">
        <v>46162</v>
      </c>
      <c r="G125" s="5">
        <v>0.92361111111111116</v>
      </c>
      <c r="H125" s="4">
        <v>46163</v>
      </c>
      <c r="I125" s="5">
        <v>0.2673611111111111</v>
      </c>
      <c r="J125" s="1" t="s">
        <v>141</v>
      </c>
      <c r="K125" s="1" t="s">
        <v>59</v>
      </c>
      <c r="L125" s="1" t="s">
        <v>65</v>
      </c>
      <c r="M125" s="4">
        <v>46163</v>
      </c>
      <c r="N125" s="5">
        <v>0.34722222222222221</v>
      </c>
      <c r="O125" s="4">
        <v>46163</v>
      </c>
      <c r="P125" s="5">
        <v>0.3923611111111111</v>
      </c>
      <c r="Q125" s="1" t="s">
        <v>142</v>
      </c>
      <c r="R125" s="1" t="s">
        <v>59</v>
      </c>
      <c r="S125" s="1" t="s">
        <v>140</v>
      </c>
      <c r="T125" s="4">
        <v>46172</v>
      </c>
      <c r="U125" s="5">
        <v>0.34027777777777779</v>
      </c>
      <c r="V125" s="4">
        <v>46172</v>
      </c>
      <c r="W125" s="5">
        <v>0.52777777777777779</v>
      </c>
      <c r="X125" s="1"/>
      <c r="Y125" s="1"/>
      <c r="Z125" s="1"/>
      <c r="AA125" s="4"/>
      <c r="AB125" s="5"/>
      <c r="AC125" s="4"/>
      <c r="AD125" s="5"/>
    </row>
    <row r="126" spans="1:30" x14ac:dyDescent="0.3">
      <c r="A126" s="1" t="s">
        <v>104</v>
      </c>
      <c r="B126" t="s">
        <v>1277</v>
      </c>
      <c r="C126" s="1" t="s">
        <v>1275</v>
      </c>
      <c r="D126" s="1" t="s">
        <v>140</v>
      </c>
      <c r="E126" s="1" t="s">
        <v>59</v>
      </c>
      <c r="F126" s="4">
        <v>46165</v>
      </c>
      <c r="G126" s="5">
        <v>0.92361111111111116</v>
      </c>
      <c r="H126" s="4">
        <v>46166</v>
      </c>
      <c r="I126" s="5">
        <v>0.2673611111111111</v>
      </c>
      <c r="J126" s="1"/>
      <c r="K126" s="1"/>
      <c r="L126" s="1"/>
      <c r="M126" s="4"/>
      <c r="N126" s="5"/>
      <c r="O126" s="4"/>
      <c r="P126" s="5"/>
      <c r="Q126" s="1" t="s">
        <v>143</v>
      </c>
      <c r="R126" s="1" t="s">
        <v>65</v>
      </c>
      <c r="S126" s="1" t="s">
        <v>59</v>
      </c>
      <c r="T126" s="4">
        <v>46176</v>
      </c>
      <c r="U126" s="5">
        <v>0.14930555555555555</v>
      </c>
      <c r="V126" s="4">
        <v>46176</v>
      </c>
      <c r="W126" s="5">
        <v>0.19791666666666666</v>
      </c>
      <c r="X126" s="1" t="s">
        <v>142</v>
      </c>
      <c r="Y126" s="1" t="s">
        <v>59</v>
      </c>
      <c r="Z126" s="1" t="s">
        <v>140</v>
      </c>
      <c r="AA126" s="4">
        <v>46176</v>
      </c>
      <c r="AB126" s="5">
        <v>0.34027777777777779</v>
      </c>
      <c r="AC126" s="4">
        <v>46176</v>
      </c>
      <c r="AD126" s="5">
        <v>0.52777777777777779</v>
      </c>
    </row>
    <row r="127" spans="1:30" x14ac:dyDescent="0.3">
      <c r="A127" s="1" t="s">
        <v>80</v>
      </c>
      <c r="B127" t="s">
        <v>158</v>
      </c>
      <c r="C127" s="1" t="s">
        <v>64</v>
      </c>
      <c r="D127" s="1" t="s">
        <v>70</v>
      </c>
      <c r="E127" s="1" t="s">
        <v>59</v>
      </c>
      <c r="F127" s="4">
        <v>46163</v>
      </c>
      <c r="G127" s="5">
        <v>0.875</v>
      </c>
      <c r="H127" s="4">
        <v>46164</v>
      </c>
      <c r="I127" s="5">
        <v>5.5555555555555552E-2</v>
      </c>
      <c r="J127" s="1"/>
      <c r="K127" s="1"/>
      <c r="L127" s="1"/>
      <c r="M127" s="4"/>
      <c r="N127" s="5"/>
      <c r="O127" s="4"/>
      <c r="P127" s="5"/>
      <c r="Q127" s="1" t="s">
        <v>72</v>
      </c>
      <c r="R127" s="1" t="s">
        <v>65</v>
      </c>
      <c r="S127" s="1" t="s">
        <v>59</v>
      </c>
      <c r="T127" s="4">
        <v>46177</v>
      </c>
      <c r="U127" s="5">
        <v>0.25347222222222221</v>
      </c>
      <c r="V127" s="4">
        <v>46177</v>
      </c>
      <c r="W127" s="5">
        <v>0.30208333333333331</v>
      </c>
      <c r="X127" s="1" t="s">
        <v>71</v>
      </c>
      <c r="Y127" s="1" t="s">
        <v>59</v>
      </c>
      <c r="Z127" s="1" t="s">
        <v>70</v>
      </c>
      <c r="AA127" s="4">
        <v>46177</v>
      </c>
      <c r="AB127" s="5">
        <v>0.40972222222222221</v>
      </c>
      <c r="AC127" s="4">
        <v>46177</v>
      </c>
      <c r="AD127" s="5">
        <v>0.67013888888888884</v>
      </c>
    </row>
    <row r="128" spans="1:30" x14ac:dyDescent="0.3">
      <c r="A128" s="1" t="s">
        <v>80</v>
      </c>
      <c r="B128" t="s">
        <v>159</v>
      </c>
      <c r="C128" s="1" t="s">
        <v>66</v>
      </c>
      <c r="D128" s="1" t="s">
        <v>67</v>
      </c>
      <c r="E128" s="1" t="s">
        <v>59</v>
      </c>
      <c r="F128" s="4">
        <v>46163</v>
      </c>
      <c r="G128" s="5">
        <v>0.79166666666666663</v>
      </c>
      <c r="H128" s="4">
        <v>46164</v>
      </c>
      <c r="I128" s="5">
        <v>0.57986111111111116</v>
      </c>
      <c r="J128" s="1"/>
      <c r="K128" s="1"/>
      <c r="L128" s="1"/>
      <c r="M128" s="4"/>
      <c r="N128" s="5"/>
      <c r="O128" s="4"/>
      <c r="P128" s="5"/>
      <c r="Q128" s="1" t="s">
        <v>73</v>
      </c>
      <c r="R128" s="1" t="s">
        <v>65</v>
      </c>
      <c r="S128" s="1" t="s">
        <v>59</v>
      </c>
      <c r="T128" s="4">
        <v>46177</v>
      </c>
      <c r="U128" s="5">
        <v>0.14930555555555555</v>
      </c>
      <c r="V128" s="4">
        <v>46177</v>
      </c>
      <c r="W128" s="5">
        <v>0.19791666666666666</v>
      </c>
      <c r="X128" s="1" t="s">
        <v>68</v>
      </c>
      <c r="Y128" s="1" t="s">
        <v>59</v>
      </c>
      <c r="Z128" s="1" t="s">
        <v>67</v>
      </c>
      <c r="AA128" s="4">
        <v>46177</v>
      </c>
      <c r="AB128" s="5">
        <v>0.38541666666666669</v>
      </c>
      <c r="AC128" s="4">
        <v>46177</v>
      </c>
      <c r="AD128" s="5">
        <v>0.64236111111111116</v>
      </c>
    </row>
    <row r="129" spans="1:30" x14ac:dyDescent="0.3">
      <c r="A129" s="1" t="s">
        <v>80</v>
      </c>
      <c r="B129" t="s">
        <v>159</v>
      </c>
      <c r="C129" s="1" t="s">
        <v>66</v>
      </c>
      <c r="D129" s="1" t="s">
        <v>67</v>
      </c>
      <c r="E129" s="1" t="s">
        <v>59</v>
      </c>
      <c r="F129" s="4">
        <v>46163</v>
      </c>
      <c r="G129" s="5">
        <v>0.79166666666666663</v>
      </c>
      <c r="H129" s="4">
        <v>46164</v>
      </c>
      <c r="I129" s="5">
        <v>0.57986111111111116</v>
      </c>
      <c r="J129" s="1"/>
      <c r="K129" s="1"/>
      <c r="L129" s="1"/>
      <c r="M129" s="4"/>
      <c r="N129" s="5"/>
      <c r="O129" s="4"/>
      <c r="P129" s="5"/>
      <c r="Q129" s="1" t="s">
        <v>73</v>
      </c>
      <c r="R129" s="1" t="s">
        <v>65</v>
      </c>
      <c r="S129" s="1" t="s">
        <v>59</v>
      </c>
      <c r="T129" s="4">
        <v>46177</v>
      </c>
      <c r="U129" s="5">
        <v>0.14930555555555555</v>
      </c>
      <c r="V129" s="4">
        <v>46177</v>
      </c>
      <c r="W129" s="5">
        <v>0.19791666666666666</v>
      </c>
      <c r="X129" s="1" t="s">
        <v>68</v>
      </c>
      <c r="Y129" s="1" t="s">
        <v>59</v>
      </c>
      <c r="Z129" s="1" t="s">
        <v>67</v>
      </c>
      <c r="AA129" s="4">
        <v>46177</v>
      </c>
      <c r="AB129" s="5">
        <v>0.38541666666666669</v>
      </c>
      <c r="AC129" s="4">
        <v>46177</v>
      </c>
      <c r="AD129" s="5">
        <v>0.64236111111111116</v>
      </c>
    </row>
    <row r="130" spans="1:30" x14ac:dyDescent="0.3">
      <c r="A130" s="1" t="s">
        <v>80</v>
      </c>
      <c r="B130" t="s">
        <v>160</v>
      </c>
      <c r="C130" s="1" t="s">
        <v>69</v>
      </c>
      <c r="D130" s="1" t="s">
        <v>70</v>
      </c>
      <c r="E130" s="1" t="s">
        <v>59</v>
      </c>
      <c r="F130" s="4">
        <v>46163</v>
      </c>
      <c r="G130" s="5">
        <v>0.875</v>
      </c>
      <c r="H130" s="4">
        <v>46164</v>
      </c>
      <c r="I130" s="5">
        <v>0.93055555555555558</v>
      </c>
      <c r="J130" s="1"/>
      <c r="K130" s="1"/>
      <c r="L130" s="1"/>
      <c r="M130" s="4"/>
      <c r="N130" s="5"/>
      <c r="O130" s="4"/>
      <c r="P130" s="5"/>
      <c r="Q130" s="1" t="s">
        <v>73</v>
      </c>
      <c r="R130" s="1" t="s">
        <v>65</v>
      </c>
      <c r="S130" s="1" t="s">
        <v>70</v>
      </c>
      <c r="T130" s="4">
        <v>46177</v>
      </c>
      <c r="U130" s="5">
        <v>0.14930555555555555</v>
      </c>
      <c r="V130" s="4">
        <v>46177</v>
      </c>
      <c r="W130" s="5">
        <v>0.67013888888888884</v>
      </c>
      <c r="X130" s="1"/>
      <c r="Y130" s="1"/>
      <c r="Z130" s="1"/>
      <c r="AA130" s="4"/>
      <c r="AB130" s="5"/>
      <c r="AC130" s="4"/>
      <c r="AD130" s="5"/>
    </row>
    <row r="131" spans="1:30" x14ac:dyDescent="0.3">
      <c r="A131" s="1" t="s">
        <v>80</v>
      </c>
      <c r="B131" t="s">
        <v>159</v>
      </c>
      <c r="C131" s="1" t="s">
        <v>66</v>
      </c>
      <c r="D131" s="1" t="s">
        <v>67</v>
      </c>
      <c r="E131" s="1" t="s">
        <v>59</v>
      </c>
      <c r="F131" s="4">
        <v>46163</v>
      </c>
      <c r="G131" s="5">
        <v>0.79166666666666663</v>
      </c>
      <c r="H131" s="4">
        <v>46164</v>
      </c>
      <c r="I131" s="5">
        <v>0.57986111111111116</v>
      </c>
      <c r="J131" s="1"/>
      <c r="K131" s="1"/>
      <c r="L131" s="1"/>
      <c r="M131" s="4"/>
      <c r="N131" s="5"/>
      <c r="O131" s="4"/>
      <c r="P131" s="5"/>
      <c r="Q131" s="1" t="s">
        <v>73</v>
      </c>
      <c r="R131" s="1" t="s">
        <v>65</v>
      </c>
      <c r="S131" s="1" t="s">
        <v>59</v>
      </c>
      <c r="T131" s="4">
        <v>46177</v>
      </c>
      <c r="U131" s="5">
        <v>0.14930555555555555</v>
      </c>
      <c r="V131" s="4">
        <v>46177</v>
      </c>
      <c r="W131" s="5">
        <v>0.19791666666666666</v>
      </c>
      <c r="X131" s="1" t="s">
        <v>68</v>
      </c>
      <c r="Y131" s="1" t="s">
        <v>59</v>
      </c>
      <c r="Z131" s="1" t="s">
        <v>67</v>
      </c>
      <c r="AA131" s="4">
        <v>46177</v>
      </c>
      <c r="AB131" s="5">
        <v>0.38541666666666669</v>
      </c>
      <c r="AC131" s="4">
        <v>46177</v>
      </c>
      <c r="AD131" s="5">
        <v>0.64236111111111116</v>
      </c>
    </row>
    <row r="132" spans="1:30" x14ac:dyDescent="0.3">
      <c r="A132" s="1" t="s">
        <v>95</v>
      </c>
      <c r="B132" t="s">
        <v>148</v>
      </c>
      <c r="C132" s="1" t="s">
        <v>57</v>
      </c>
      <c r="D132" s="1" t="s">
        <v>58</v>
      </c>
      <c r="E132" s="1" t="s">
        <v>59</v>
      </c>
      <c r="F132" s="4">
        <v>46159</v>
      </c>
      <c r="G132" s="5">
        <v>0.45833333333333331</v>
      </c>
      <c r="H132" s="4">
        <v>46160</v>
      </c>
      <c r="I132" s="5">
        <v>0.2361111111111111</v>
      </c>
      <c r="J132" s="1" t="s">
        <v>133</v>
      </c>
      <c r="K132" s="1" t="s">
        <v>59</v>
      </c>
      <c r="L132" s="1" t="s">
        <v>65</v>
      </c>
      <c r="M132" s="4">
        <v>46160</v>
      </c>
      <c r="N132" s="5">
        <v>0.34722222222222221</v>
      </c>
      <c r="O132" s="4">
        <v>46160</v>
      </c>
      <c r="P132" s="5">
        <v>0.3923611111111111</v>
      </c>
      <c r="Q132" s="1" t="s">
        <v>60</v>
      </c>
      <c r="R132" s="1" t="s">
        <v>59</v>
      </c>
      <c r="S132" s="1" t="s">
        <v>58</v>
      </c>
      <c r="T132" s="4">
        <v>46173</v>
      </c>
      <c r="U132" s="5">
        <v>0.12847222222222221</v>
      </c>
      <c r="V132" s="4">
        <v>46173</v>
      </c>
      <c r="W132" s="5">
        <v>0.375</v>
      </c>
      <c r="X132" s="1"/>
      <c r="Y132" s="1"/>
      <c r="Z132" s="1"/>
      <c r="AA132" s="4"/>
      <c r="AB132" s="5"/>
      <c r="AC132" s="4"/>
      <c r="AD132" s="5"/>
    </row>
    <row r="133" spans="1:30" x14ac:dyDescent="0.3">
      <c r="A133" s="1" t="s">
        <v>95</v>
      </c>
      <c r="B133" t="s">
        <v>149</v>
      </c>
      <c r="C133" s="1" t="s">
        <v>64</v>
      </c>
      <c r="D133" s="1" t="s">
        <v>62</v>
      </c>
      <c r="E133" s="1" t="s">
        <v>65</v>
      </c>
      <c r="F133" s="4">
        <v>46160</v>
      </c>
      <c r="G133" s="5">
        <v>0.78472222222222221</v>
      </c>
      <c r="H133" s="4">
        <v>46161</v>
      </c>
      <c r="I133" s="5">
        <v>0.87847222222222221</v>
      </c>
      <c r="J133" s="1"/>
      <c r="K133" s="1"/>
      <c r="L133" s="1"/>
      <c r="M133" s="4"/>
      <c r="N133" s="5"/>
      <c r="O133" s="4"/>
      <c r="P133" s="5"/>
      <c r="Q133" s="1" t="s">
        <v>63</v>
      </c>
      <c r="R133" s="1" t="s">
        <v>59</v>
      </c>
      <c r="S133" s="1" t="s">
        <v>62</v>
      </c>
      <c r="T133" s="4">
        <v>46173</v>
      </c>
      <c r="U133" s="5">
        <v>0.3923611111111111</v>
      </c>
      <c r="V133" s="4">
        <v>46173</v>
      </c>
      <c r="W133" s="5">
        <v>0.65625</v>
      </c>
      <c r="X133" s="1"/>
      <c r="Y133" s="1"/>
      <c r="Z133" s="1"/>
      <c r="AA133" s="4"/>
      <c r="AB133" s="5"/>
      <c r="AC133" s="4"/>
      <c r="AD133" s="5"/>
    </row>
    <row r="134" spans="1:30" x14ac:dyDescent="0.3">
      <c r="A134" s="1" t="s">
        <v>95</v>
      </c>
      <c r="B134" t="s">
        <v>150</v>
      </c>
      <c r="C134" s="1" t="s">
        <v>66</v>
      </c>
      <c r="D134" s="1" t="s">
        <v>67</v>
      </c>
      <c r="E134" s="1" t="s">
        <v>59</v>
      </c>
      <c r="F134" s="4">
        <v>46159</v>
      </c>
      <c r="G134" s="5">
        <v>0.79166666666666663</v>
      </c>
      <c r="H134" s="4">
        <v>46160</v>
      </c>
      <c r="I134" s="5">
        <v>0.57986111111111116</v>
      </c>
      <c r="J134" s="1" t="s">
        <v>135</v>
      </c>
      <c r="K134" s="1" t="s">
        <v>59</v>
      </c>
      <c r="L134" s="1" t="s">
        <v>65</v>
      </c>
      <c r="M134" s="4">
        <v>46160</v>
      </c>
      <c r="N134" s="5">
        <v>0.84722222222222221</v>
      </c>
      <c r="O134" s="4">
        <v>46160</v>
      </c>
      <c r="P134" s="5">
        <v>0.89236111111111116</v>
      </c>
      <c r="Q134" s="1" t="s">
        <v>68</v>
      </c>
      <c r="R134" s="1" t="s">
        <v>59</v>
      </c>
      <c r="S134" s="1" t="s">
        <v>67</v>
      </c>
      <c r="T134" s="4">
        <v>46172</v>
      </c>
      <c r="U134" s="5">
        <v>0.38541666666666669</v>
      </c>
      <c r="V134" s="4">
        <v>46172</v>
      </c>
      <c r="W134" s="5">
        <v>0.64236111111111116</v>
      </c>
      <c r="X134" s="1"/>
      <c r="Y134" s="1"/>
      <c r="Z134" s="1"/>
      <c r="AA134" s="4"/>
      <c r="AB134" s="5"/>
      <c r="AC134" s="4"/>
      <c r="AD134" s="5"/>
    </row>
    <row r="135" spans="1:30" x14ac:dyDescent="0.3">
      <c r="A135" s="1" t="s">
        <v>95</v>
      </c>
      <c r="B135" t="s">
        <v>150</v>
      </c>
      <c r="C135" s="1" t="s">
        <v>66</v>
      </c>
      <c r="D135" s="1" t="s">
        <v>67</v>
      </c>
      <c r="E135" s="1" t="s">
        <v>59</v>
      </c>
      <c r="F135" s="4">
        <v>46159</v>
      </c>
      <c r="G135" s="5">
        <v>0.79166666666666663</v>
      </c>
      <c r="H135" s="4">
        <v>46160</v>
      </c>
      <c r="I135" s="5">
        <v>0.57986111111111116</v>
      </c>
      <c r="J135" s="1" t="s">
        <v>135</v>
      </c>
      <c r="K135" s="1" t="s">
        <v>59</v>
      </c>
      <c r="L135" s="1" t="s">
        <v>65</v>
      </c>
      <c r="M135" s="4">
        <v>46160</v>
      </c>
      <c r="N135" s="5">
        <v>0.84722222222222221</v>
      </c>
      <c r="O135" s="4">
        <v>46160</v>
      </c>
      <c r="P135" s="5">
        <v>0.89236111111111116</v>
      </c>
      <c r="Q135" s="1" t="s">
        <v>68</v>
      </c>
      <c r="R135" s="1" t="s">
        <v>59</v>
      </c>
      <c r="S135" s="1" t="s">
        <v>67</v>
      </c>
      <c r="T135" s="4">
        <v>46172</v>
      </c>
      <c r="U135" s="5">
        <v>0.38541666666666669</v>
      </c>
      <c r="V135" s="4">
        <v>46172</v>
      </c>
      <c r="W135" s="5">
        <v>0.64236111111111116</v>
      </c>
      <c r="X135" s="1"/>
      <c r="Y135" s="1"/>
      <c r="Z135" s="1"/>
      <c r="AA135" s="4"/>
      <c r="AB135" s="5"/>
      <c r="AC135" s="4"/>
      <c r="AD135" s="5"/>
    </row>
    <row r="136" spans="1:30" x14ac:dyDescent="0.3">
      <c r="A136" s="1" t="s">
        <v>95</v>
      </c>
      <c r="B136" t="s">
        <v>151</v>
      </c>
      <c r="C136" s="1" t="s">
        <v>69</v>
      </c>
      <c r="D136" s="1" t="s">
        <v>70</v>
      </c>
      <c r="E136" s="1" t="s">
        <v>59</v>
      </c>
      <c r="F136" s="4">
        <v>46158</v>
      </c>
      <c r="G136" s="5">
        <v>0.875</v>
      </c>
      <c r="H136" s="4">
        <v>46159</v>
      </c>
      <c r="I136" s="5">
        <v>0.93055555555555558</v>
      </c>
      <c r="J136" s="1" t="s">
        <v>136</v>
      </c>
      <c r="K136" s="1" t="s">
        <v>59</v>
      </c>
      <c r="L136" s="1" t="s">
        <v>65</v>
      </c>
      <c r="M136" s="4">
        <v>46160</v>
      </c>
      <c r="N136" s="5">
        <v>6.25E-2</v>
      </c>
      <c r="O136" s="4">
        <v>46160</v>
      </c>
      <c r="P136" s="5">
        <v>0.1076388888888889</v>
      </c>
      <c r="Q136" s="1" t="s">
        <v>71</v>
      </c>
      <c r="R136" s="1" t="s">
        <v>59</v>
      </c>
      <c r="S136" s="1" t="s">
        <v>70</v>
      </c>
      <c r="T136" s="4">
        <v>46172</v>
      </c>
      <c r="U136" s="5">
        <v>0.40972222222222221</v>
      </c>
      <c r="V136" s="4">
        <v>46172</v>
      </c>
      <c r="W136" s="5">
        <v>0.67013888888888884</v>
      </c>
      <c r="X136" s="1"/>
      <c r="Y136" s="1"/>
      <c r="Z136" s="1"/>
      <c r="AA136" s="4"/>
      <c r="AB136" s="5"/>
      <c r="AC136" s="4"/>
      <c r="AD136" s="5"/>
    </row>
    <row r="137" spans="1:30" x14ac:dyDescent="0.3">
      <c r="A137" s="1" t="s">
        <v>95</v>
      </c>
      <c r="B137" t="s">
        <v>152</v>
      </c>
      <c r="C137" s="1" t="s">
        <v>61</v>
      </c>
      <c r="D137" s="1" t="s">
        <v>62</v>
      </c>
      <c r="E137" s="1" t="s">
        <v>59</v>
      </c>
      <c r="F137" s="4">
        <v>46159</v>
      </c>
      <c r="G137" s="5">
        <v>0.78472222222222221</v>
      </c>
      <c r="H137" s="4">
        <v>46160</v>
      </c>
      <c r="I137" s="5">
        <v>0.66319444444444442</v>
      </c>
      <c r="J137" s="1"/>
      <c r="K137" s="1"/>
      <c r="L137" s="1"/>
      <c r="M137" s="4"/>
      <c r="N137" s="5"/>
      <c r="O137" s="4"/>
      <c r="P137" s="5"/>
      <c r="Q137" s="1" t="s">
        <v>63</v>
      </c>
      <c r="R137" s="1" t="s">
        <v>59</v>
      </c>
      <c r="S137" s="1" t="s">
        <v>62</v>
      </c>
      <c r="T137" s="4">
        <v>46172</v>
      </c>
      <c r="U137" s="5">
        <v>0.3923611111111111</v>
      </c>
      <c r="V137" s="4">
        <v>46172</v>
      </c>
      <c r="W137" s="5">
        <v>0.65625</v>
      </c>
      <c r="X137" s="1"/>
      <c r="Y137" s="1"/>
      <c r="Z137" s="1"/>
      <c r="AA137" s="4"/>
      <c r="AB137" s="5"/>
      <c r="AC137" s="4"/>
      <c r="AD137" s="5"/>
    </row>
    <row r="138" spans="1:30" x14ac:dyDescent="0.3">
      <c r="A138" s="1" t="s">
        <v>95</v>
      </c>
      <c r="B138" t="s">
        <v>153</v>
      </c>
      <c r="C138" s="1" t="s">
        <v>66</v>
      </c>
      <c r="D138" s="1" t="s">
        <v>67</v>
      </c>
      <c r="E138" s="1" t="s">
        <v>59</v>
      </c>
      <c r="F138" s="4">
        <v>46159</v>
      </c>
      <c r="G138" s="5">
        <v>0.79166666666666663</v>
      </c>
      <c r="H138" s="4">
        <v>46160</v>
      </c>
      <c r="I138" s="5">
        <v>0.57986111111111116</v>
      </c>
      <c r="J138" s="1" t="s">
        <v>134</v>
      </c>
      <c r="K138" s="1" t="s">
        <v>59</v>
      </c>
      <c r="L138" s="1" t="s">
        <v>65</v>
      </c>
      <c r="M138" s="4">
        <v>46160</v>
      </c>
      <c r="N138" s="5">
        <v>0.69444444444444442</v>
      </c>
      <c r="O138" s="4">
        <v>46160</v>
      </c>
      <c r="P138" s="5">
        <v>0.73958333333333337</v>
      </c>
      <c r="Q138" s="1" t="s">
        <v>68</v>
      </c>
      <c r="R138" s="1" t="s">
        <v>59</v>
      </c>
      <c r="S138" s="1" t="s">
        <v>67</v>
      </c>
      <c r="T138" s="4">
        <v>46172</v>
      </c>
      <c r="U138" s="5">
        <v>0.38541666666666669</v>
      </c>
      <c r="V138" s="4">
        <v>46172</v>
      </c>
      <c r="W138" s="5">
        <v>0.64236111111111116</v>
      </c>
      <c r="X138" s="1"/>
      <c r="Y138" s="1"/>
      <c r="Z138" s="1"/>
      <c r="AA138" s="4"/>
      <c r="AB138" s="5"/>
      <c r="AC138" s="4"/>
      <c r="AD138" s="5"/>
    </row>
    <row r="139" spans="1:30" x14ac:dyDescent="0.3">
      <c r="A139" s="1" t="s">
        <v>95</v>
      </c>
      <c r="B139" t="s">
        <v>154</v>
      </c>
      <c r="C139" s="1" t="s">
        <v>66</v>
      </c>
      <c r="D139" s="1" t="s">
        <v>67</v>
      </c>
      <c r="E139" s="1" t="s">
        <v>59</v>
      </c>
      <c r="F139" s="4">
        <v>46161</v>
      </c>
      <c r="G139" s="5">
        <v>0.79166666666666663</v>
      </c>
      <c r="H139" s="4">
        <v>46162</v>
      </c>
      <c r="I139" s="5">
        <v>0.57986111111111116</v>
      </c>
      <c r="J139" s="1" t="s">
        <v>134</v>
      </c>
      <c r="K139" s="1" t="s">
        <v>59</v>
      </c>
      <c r="L139" s="1" t="s">
        <v>65</v>
      </c>
      <c r="M139" s="4">
        <v>46162</v>
      </c>
      <c r="N139" s="5">
        <v>0.69444444444444442</v>
      </c>
      <c r="O139" s="4">
        <v>46162</v>
      </c>
      <c r="P139" s="5">
        <v>0.73958333333333337</v>
      </c>
      <c r="Q139" s="1" t="s">
        <v>68</v>
      </c>
      <c r="R139" s="1" t="s">
        <v>59</v>
      </c>
      <c r="S139" s="1" t="s">
        <v>67</v>
      </c>
      <c r="T139" s="4">
        <v>46173</v>
      </c>
      <c r="U139" s="5">
        <v>0.38541666666666669</v>
      </c>
      <c r="V139" s="4">
        <v>46173</v>
      </c>
      <c r="W139" s="5">
        <v>0.64236111111111116</v>
      </c>
      <c r="X139" s="1"/>
      <c r="Y139" s="1"/>
      <c r="Z139" s="1"/>
      <c r="AA139" s="4"/>
      <c r="AB139" s="5"/>
      <c r="AC139" s="4"/>
      <c r="AD139" s="5"/>
    </row>
    <row r="140" spans="1:30" x14ac:dyDescent="0.3">
      <c r="A140" s="1" t="s">
        <v>95</v>
      </c>
      <c r="B140" t="s">
        <v>154</v>
      </c>
      <c r="C140" s="1" t="s">
        <v>66</v>
      </c>
      <c r="D140" s="1" t="s">
        <v>67</v>
      </c>
      <c r="E140" s="1" t="s">
        <v>59</v>
      </c>
      <c r="F140" s="4">
        <v>46161</v>
      </c>
      <c r="G140" s="5">
        <v>0.79166666666666663</v>
      </c>
      <c r="H140" s="4">
        <v>46162</v>
      </c>
      <c r="I140" s="5">
        <v>0.57986111111111116</v>
      </c>
      <c r="J140" s="1" t="s">
        <v>134</v>
      </c>
      <c r="K140" s="1" t="s">
        <v>59</v>
      </c>
      <c r="L140" s="1" t="s">
        <v>65</v>
      </c>
      <c r="M140" s="4">
        <v>46162</v>
      </c>
      <c r="N140" s="5">
        <v>0.69444444444444442</v>
      </c>
      <c r="O140" s="4">
        <v>46162</v>
      </c>
      <c r="P140" s="5">
        <v>0.73958333333333337</v>
      </c>
      <c r="Q140" s="1" t="s">
        <v>68</v>
      </c>
      <c r="R140" s="1" t="s">
        <v>59</v>
      </c>
      <c r="S140" s="1" t="s">
        <v>67</v>
      </c>
      <c r="T140" s="4">
        <v>46173</v>
      </c>
      <c r="U140" s="5">
        <v>0.38541666666666669</v>
      </c>
      <c r="V140" s="4">
        <v>46173</v>
      </c>
      <c r="W140" s="5">
        <v>0.64236111111111116</v>
      </c>
      <c r="X140" s="1"/>
      <c r="Y140" s="1"/>
      <c r="Z140" s="1"/>
      <c r="AA140" s="4"/>
      <c r="AB140" s="5"/>
      <c r="AC140" s="4"/>
      <c r="AD140" s="5"/>
    </row>
    <row r="141" spans="1:30" x14ac:dyDescent="0.3">
      <c r="A141" s="1" t="s">
        <v>95</v>
      </c>
      <c r="B141" t="s">
        <v>151</v>
      </c>
      <c r="C141" s="1" t="s">
        <v>69</v>
      </c>
      <c r="D141" s="1" t="s">
        <v>70</v>
      </c>
      <c r="E141" s="1" t="s">
        <v>59</v>
      </c>
      <c r="F141" s="4">
        <v>46158</v>
      </c>
      <c r="G141" s="5">
        <v>0.875</v>
      </c>
      <c r="H141" s="4">
        <v>46159</v>
      </c>
      <c r="I141" s="5">
        <v>0.93055555555555558</v>
      </c>
      <c r="J141" s="1" t="s">
        <v>136</v>
      </c>
      <c r="K141" s="1" t="s">
        <v>59</v>
      </c>
      <c r="L141" s="1" t="s">
        <v>65</v>
      </c>
      <c r="M141" s="4">
        <v>46160</v>
      </c>
      <c r="N141" s="5">
        <v>6.25E-2</v>
      </c>
      <c r="O141" s="4">
        <v>46160</v>
      </c>
      <c r="P141" s="5">
        <v>0.1076388888888889</v>
      </c>
      <c r="Q141" s="1" t="s">
        <v>71</v>
      </c>
      <c r="R141" s="1" t="s">
        <v>59</v>
      </c>
      <c r="S141" s="1" t="s">
        <v>70</v>
      </c>
      <c r="T141" s="4">
        <v>46172</v>
      </c>
      <c r="U141" s="5">
        <v>0.40972222222222221</v>
      </c>
      <c r="V141" s="4">
        <v>46172</v>
      </c>
      <c r="W141" s="5">
        <v>0.67013888888888884</v>
      </c>
      <c r="X141" s="1"/>
      <c r="Y141" s="1"/>
      <c r="Z141" s="1"/>
      <c r="AA141" s="4"/>
      <c r="AB141" s="5"/>
      <c r="AC141" s="4"/>
      <c r="AD141" s="5"/>
    </row>
    <row r="142" spans="1:30" x14ac:dyDescent="0.3">
      <c r="A142" s="1" t="s">
        <v>95</v>
      </c>
      <c r="B142" t="s">
        <v>151</v>
      </c>
      <c r="C142" s="1" t="s">
        <v>69</v>
      </c>
      <c r="D142" s="1" t="s">
        <v>70</v>
      </c>
      <c r="E142" s="1" t="s">
        <v>59</v>
      </c>
      <c r="F142" s="4">
        <v>46158</v>
      </c>
      <c r="G142" s="5">
        <v>0.875</v>
      </c>
      <c r="H142" s="4">
        <v>46159</v>
      </c>
      <c r="I142" s="5">
        <v>0.93055555555555558</v>
      </c>
      <c r="J142" s="1" t="s">
        <v>136</v>
      </c>
      <c r="K142" s="1" t="s">
        <v>59</v>
      </c>
      <c r="L142" s="1" t="s">
        <v>65</v>
      </c>
      <c r="M142" s="4">
        <v>46160</v>
      </c>
      <c r="N142" s="5">
        <v>6.25E-2</v>
      </c>
      <c r="O142" s="4">
        <v>46160</v>
      </c>
      <c r="P142" s="5">
        <v>0.1076388888888889</v>
      </c>
      <c r="Q142" s="1" t="s">
        <v>71</v>
      </c>
      <c r="R142" s="1" t="s">
        <v>59</v>
      </c>
      <c r="S142" s="1" t="s">
        <v>70</v>
      </c>
      <c r="T142" s="4">
        <v>46172</v>
      </c>
      <c r="U142" s="5">
        <v>0.40972222222222221</v>
      </c>
      <c r="V142" s="4">
        <v>46172</v>
      </c>
      <c r="W142" s="5">
        <v>0.67013888888888884</v>
      </c>
      <c r="X142" s="1"/>
      <c r="Y142" s="1"/>
      <c r="Z142" s="1"/>
      <c r="AA142" s="4"/>
      <c r="AB142" s="5"/>
      <c r="AC142" s="4"/>
      <c r="AD142" s="5"/>
    </row>
    <row r="143" spans="1:30" x14ac:dyDescent="0.3">
      <c r="A143" s="1" t="s">
        <v>95</v>
      </c>
      <c r="B143" t="s">
        <v>155</v>
      </c>
      <c r="C143" s="1" t="s">
        <v>64</v>
      </c>
      <c r="D143" s="1" t="s">
        <v>62</v>
      </c>
      <c r="E143" s="1" t="s">
        <v>74</v>
      </c>
      <c r="F143" s="4">
        <v>46160</v>
      </c>
      <c r="G143" s="5">
        <v>0.78472222222222221</v>
      </c>
      <c r="H143" s="4">
        <v>46161</v>
      </c>
      <c r="I143" s="5">
        <v>0.60416666666666663</v>
      </c>
      <c r="J143" s="1" t="s">
        <v>137</v>
      </c>
      <c r="K143" s="1" t="s">
        <v>74</v>
      </c>
      <c r="L143" s="1" t="s">
        <v>65</v>
      </c>
      <c r="M143" s="4">
        <v>46161</v>
      </c>
      <c r="N143" s="5">
        <v>0.8125</v>
      </c>
      <c r="O143" s="4">
        <v>46161</v>
      </c>
      <c r="P143" s="5">
        <v>0.87847222222222221</v>
      </c>
      <c r="Q143" s="1" t="s">
        <v>63</v>
      </c>
      <c r="R143" s="1" t="s">
        <v>59</v>
      </c>
      <c r="S143" s="1" t="s">
        <v>62</v>
      </c>
      <c r="T143" s="4">
        <v>46173</v>
      </c>
      <c r="U143" s="5">
        <v>0.3923611111111111</v>
      </c>
      <c r="V143" s="4">
        <v>46173</v>
      </c>
      <c r="W143" s="5">
        <v>0.65625</v>
      </c>
      <c r="X143" s="1"/>
      <c r="Y143" s="1"/>
      <c r="Z143" s="1"/>
      <c r="AA143" s="4"/>
      <c r="AB143" s="5"/>
      <c r="AC143" s="4"/>
      <c r="AD143" s="5"/>
    </row>
    <row r="144" spans="1:30" x14ac:dyDescent="0.3">
      <c r="A144" s="1" t="s">
        <v>95</v>
      </c>
      <c r="B144" t="s">
        <v>156</v>
      </c>
      <c r="C144" s="1" t="s">
        <v>61</v>
      </c>
      <c r="D144" s="1" t="s">
        <v>62</v>
      </c>
      <c r="E144" s="1" t="s">
        <v>59</v>
      </c>
      <c r="F144" s="4">
        <v>46159</v>
      </c>
      <c r="G144" s="5">
        <v>0.78472222222222221</v>
      </c>
      <c r="H144" s="4">
        <v>46160</v>
      </c>
      <c r="I144" s="5">
        <v>0.57986111111111116</v>
      </c>
      <c r="J144" s="1"/>
      <c r="K144" s="1"/>
      <c r="L144" s="1"/>
      <c r="M144" s="4"/>
      <c r="N144" s="5"/>
      <c r="O144" s="4"/>
      <c r="P144" s="5"/>
      <c r="Q144" s="1" t="s">
        <v>63</v>
      </c>
      <c r="R144" s="1" t="s">
        <v>59</v>
      </c>
      <c r="S144" s="1" t="s">
        <v>62</v>
      </c>
      <c r="T144" s="4">
        <v>46172</v>
      </c>
      <c r="U144" s="5">
        <v>0.3923611111111111</v>
      </c>
      <c r="V144" s="4">
        <v>46172</v>
      </c>
      <c r="W144" s="5">
        <v>0.65625</v>
      </c>
      <c r="X144" s="1"/>
      <c r="Y144" s="1"/>
      <c r="Z144" s="1"/>
      <c r="AA144" s="4"/>
      <c r="AB144" s="5"/>
      <c r="AC144" s="4"/>
      <c r="AD144" s="5"/>
    </row>
    <row r="145" spans="1:30" x14ac:dyDescent="0.3">
      <c r="A145" s="1" t="s">
        <v>95</v>
      </c>
      <c r="B145" t="s">
        <v>157</v>
      </c>
      <c r="C145" s="1" t="s">
        <v>61</v>
      </c>
      <c r="D145" s="1" t="s">
        <v>62</v>
      </c>
      <c r="E145" s="1" t="s">
        <v>59</v>
      </c>
      <c r="F145" s="4">
        <v>46159</v>
      </c>
      <c r="G145" s="5">
        <v>0.78472222222222221</v>
      </c>
      <c r="H145" s="4">
        <v>46160</v>
      </c>
      <c r="I145" s="5">
        <v>0.57986111111111116</v>
      </c>
      <c r="J145" s="1" t="s">
        <v>134</v>
      </c>
      <c r="K145" s="1" t="s">
        <v>59</v>
      </c>
      <c r="L145" s="1" t="s">
        <v>65</v>
      </c>
      <c r="M145" s="4">
        <v>46160</v>
      </c>
      <c r="N145" s="5">
        <v>0.69444444444444442</v>
      </c>
      <c r="O145" s="4">
        <v>46160</v>
      </c>
      <c r="P145" s="5">
        <v>0.73958333333333337</v>
      </c>
      <c r="Q145" s="1" t="s">
        <v>63</v>
      </c>
      <c r="R145" s="1" t="s">
        <v>59</v>
      </c>
      <c r="S145" s="1" t="s">
        <v>62</v>
      </c>
      <c r="T145" s="4">
        <v>46172</v>
      </c>
      <c r="U145" s="5">
        <v>0.35069444444444442</v>
      </c>
      <c r="V145" s="4">
        <v>46172</v>
      </c>
      <c r="W145" s="5">
        <v>0.65625</v>
      </c>
      <c r="X145" s="1"/>
      <c r="Y145" s="1"/>
      <c r="Z145" s="1"/>
      <c r="AA145" s="4"/>
      <c r="AB145" s="5"/>
      <c r="AC145" s="4"/>
      <c r="AD145" s="5"/>
    </row>
    <row r="146" spans="1:30" x14ac:dyDescent="0.3">
      <c r="A146" s="1" t="s">
        <v>96</v>
      </c>
      <c r="B146" t="s">
        <v>148</v>
      </c>
      <c r="C146" s="1" t="s">
        <v>57</v>
      </c>
      <c r="D146" s="1" t="s">
        <v>58</v>
      </c>
      <c r="E146" s="1" t="s">
        <v>59</v>
      </c>
      <c r="F146" s="4">
        <v>46159</v>
      </c>
      <c r="G146" s="5">
        <v>0.45833333333333331</v>
      </c>
      <c r="H146" s="4">
        <v>46160</v>
      </c>
      <c r="I146" s="5">
        <v>0.2361111111111111</v>
      </c>
      <c r="J146" s="1" t="s">
        <v>133</v>
      </c>
      <c r="K146" s="1" t="s">
        <v>59</v>
      </c>
      <c r="L146" s="1" t="s">
        <v>65</v>
      </c>
      <c r="M146" s="4">
        <v>46160</v>
      </c>
      <c r="N146" s="5">
        <v>0.34722222222222221</v>
      </c>
      <c r="O146" s="4">
        <v>46160</v>
      </c>
      <c r="P146" s="5">
        <v>0.3923611111111111</v>
      </c>
      <c r="Q146" s="1" t="s">
        <v>60</v>
      </c>
      <c r="R146" s="1" t="s">
        <v>59</v>
      </c>
      <c r="S146" s="1" t="s">
        <v>58</v>
      </c>
      <c r="T146" s="4">
        <v>46173</v>
      </c>
      <c r="U146" s="5">
        <v>0.12847222222222221</v>
      </c>
      <c r="V146" s="4">
        <v>46173</v>
      </c>
      <c r="W146" s="5">
        <v>0.375</v>
      </c>
      <c r="X146" s="1"/>
      <c r="Y146" s="1"/>
      <c r="Z146" s="1"/>
      <c r="AA146" s="4"/>
      <c r="AB146" s="5"/>
      <c r="AC146" s="4"/>
      <c r="AD146" s="5"/>
    </row>
    <row r="147" spans="1:30" x14ac:dyDescent="0.3">
      <c r="A147" s="1" t="s">
        <v>96</v>
      </c>
      <c r="B147" t="s">
        <v>149</v>
      </c>
      <c r="C147" s="1" t="s">
        <v>64</v>
      </c>
      <c r="D147" s="1" t="s">
        <v>62</v>
      </c>
      <c r="E147" s="1" t="s">
        <v>65</v>
      </c>
      <c r="F147" s="4">
        <v>46160</v>
      </c>
      <c r="G147" s="5">
        <v>0.78472222222222221</v>
      </c>
      <c r="H147" s="4">
        <v>46161</v>
      </c>
      <c r="I147" s="5">
        <v>0.87847222222222221</v>
      </c>
      <c r="J147" s="1"/>
      <c r="K147" s="1"/>
      <c r="L147" s="1"/>
      <c r="M147" s="4"/>
      <c r="N147" s="5"/>
      <c r="O147" s="4"/>
      <c r="P147" s="5"/>
      <c r="Q147" s="1" t="s">
        <v>63</v>
      </c>
      <c r="R147" s="1" t="s">
        <v>59</v>
      </c>
      <c r="S147" s="1" t="s">
        <v>62</v>
      </c>
      <c r="T147" s="4">
        <v>46173</v>
      </c>
      <c r="U147" s="5">
        <v>0.3923611111111111</v>
      </c>
      <c r="V147" s="4">
        <v>46173</v>
      </c>
      <c r="W147" s="5">
        <v>0.65625</v>
      </c>
      <c r="X147" s="1"/>
      <c r="Y147" s="1"/>
      <c r="Z147" s="1"/>
      <c r="AA147" s="4"/>
      <c r="AB147" s="5"/>
      <c r="AC147" s="4"/>
      <c r="AD147" s="5"/>
    </row>
    <row r="148" spans="1:30" x14ac:dyDescent="0.3">
      <c r="A148" s="1" t="s">
        <v>96</v>
      </c>
      <c r="B148" t="s">
        <v>150</v>
      </c>
      <c r="C148" s="1" t="s">
        <v>66</v>
      </c>
      <c r="D148" s="1" t="s">
        <v>67</v>
      </c>
      <c r="E148" s="1" t="s">
        <v>59</v>
      </c>
      <c r="F148" s="4">
        <v>46159</v>
      </c>
      <c r="G148" s="5">
        <v>0.79166666666666663</v>
      </c>
      <c r="H148" s="4">
        <v>46160</v>
      </c>
      <c r="I148" s="5">
        <v>0.57986111111111116</v>
      </c>
      <c r="J148" s="1" t="s">
        <v>135</v>
      </c>
      <c r="K148" s="1" t="s">
        <v>59</v>
      </c>
      <c r="L148" s="1" t="s">
        <v>65</v>
      </c>
      <c r="M148" s="4">
        <v>46160</v>
      </c>
      <c r="N148" s="5">
        <v>0.84722222222222221</v>
      </c>
      <c r="O148" s="4">
        <v>46160</v>
      </c>
      <c r="P148" s="5">
        <v>0.89236111111111116</v>
      </c>
      <c r="Q148" s="1" t="s">
        <v>68</v>
      </c>
      <c r="R148" s="1" t="s">
        <v>59</v>
      </c>
      <c r="S148" s="1" t="s">
        <v>67</v>
      </c>
      <c r="T148" s="4">
        <v>46172</v>
      </c>
      <c r="U148" s="5">
        <v>0.38541666666666669</v>
      </c>
      <c r="V148" s="4">
        <v>46172</v>
      </c>
      <c r="W148" s="5">
        <v>0.64236111111111116</v>
      </c>
      <c r="X148" s="1"/>
      <c r="Y148" s="1"/>
      <c r="Z148" s="1"/>
      <c r="AA148" s="4"/>
      <c r="AB148" s="5"/>
      <c r="AC148" s="4"/>
      <c r="AD148" s="5"/>
    </row>
    <row r="149" spans="1:30" x14ac:dyDescent="0.3">
      <c r="A149" s="1" t="s">
        <v>96</v>
      </c>
      <c r="B149" t="s">
        <v>150</v>
      </c>
      <c r="C149" s="1" t="s">
        <v>66</v>
      </c>
      <c r="D149" s="1" t="s">
        <v>67</v>
      </c>
      <c r="E149" s="1" t="s">
        <v>59</v>
      </c>
      <c r="F149" s="4">
        <v>46159</v>
      </c>
      <c r="G149" s="5">
        <v>0.79166666666666663</v>
      </c>
      <c r="H149" s="4">
        <v>46160</v>
      </c>
      <c r="I149" s="5">
        <v>0.57986111111111116</v>
      </c>
      <c r="J149" s="1" t="s">
        <v>135</v>
      </c>
      <c r="K149" s="1" t="s">
        <v>59</v>
      </c>
      <c r="L149" s="1" t="s">
        <v>65</v>
      </c>
      <c r="M149" s="4">
        <v>46160</v>
      </c>
      <c r="N149" s="5">
        <v>0.84722222222222221</v>
      </c>
      <c r="O149" s="4">
        <v>46160</v>
      </c>
      <c r="P149" s="5">
        <v>0.89236111111111116</v>
      </c>
      <c r="Q149" s="1" t="s">
        <v>68</v>
      </c>
      <c r="R149" s="1" t="s">
        <v>59</v>
      </c>
      <c r="S149" s="1" t="s">
        <v>67</v>
      </c>
      <c r="T149" s="4">
        <v>46172</v>
      </c>
      <c r="U149" s="5">
        <v>0.38541666666666669</v>
      </c>
      <c r="V149" s="4">
        <v>46172</v>
      </c>
      <c r="W149" s="5">
        <v>0.64236111111111116</v>
      </c>
      <c r="X149" s="1"/>
      <c r="Y149" s="1"/>
      <c r="Z149" s="1"/>
      <c r="AA149" s="4"/>
      <c r="AB149" s="5"/>
      <c r="AC149" s="4"/>
      <c r="AD149" s="5"/>
    </row>
    <row r="150" spans="1:30" x14ac:dyDescent="0.3">
      <c r="A150" s="1" t="s">
        <v>96</v>
      </c>
      <c r="B150" t="s">
        <v>151</v>
      </c>
      <c r="C150" s="1" t="s">
        <v>69</v>
      </c>
      <c r="D150" s="1" t="s">
        <v>70</v>
      </c>
      <c r="E150" s="1" t="s">
        <v>59</v>
      </c>
      <c r="F150" s="4">
        <v>46158</v>
      </c>
      <c r="G150" s="5">
        <v>0.875</v>
      </c>
      <c r="H150" s="4">
        <v>46159</v>
      </c>
      <c r="I150" s="5">
        <v>0.93055555555555558</v>
      </c>
      <c r="J150" s="1" t="s">
        <v>136</v>
      </c>
      <c r="K150" s="1" t="s">
        <v>59</v>
      </c>
      <c r="L150" s="1" t="s">
        <v>65</v>
      </c>
      <c r="M150" s="4">
        <v>46160</v>
      </c>
      <c r="N150" s="5">
        <v>6.25E-2</v>
      </c>
      <c r="O150" s="4">
        <v>46160</v>
      </c>
      <c r="P150" s="5">
        <v>0.1076388888888889</v>
      </c>
      <c r="Q150" s="1" t="s">
        <v>71</v>
      </c>
      <c r="R150" s="1" t="s">
        <v>59</v>
      </c>
      <c r="S150" s="1" t="s">
        <v>70</v>
      </c>
      <c r="T150" s="4">
        <v>46172</v>
      </c>
      <c r="U150" s="5">
        <v>0.40972222222222221</v>
      </c>
      <c r="V150" s="4">
        <v>46172</v>
      </c>
      <c r="W150" s="5">
        <v>0.67013888888888884</v>
      </c>
      <c r="X150" s="1"/>
      <c r="Y150" s="1"/>
      <c r="Z150" s="1"/>
      <c r="AA150" s="4"/>
      <c r="AB150" s="5"/>
      <c r="AC150" s="4"/>
      <c r="AD150" s="5"/>
    </row>
    <row r="151" spans="1:30" x14ac:dyDescent="0.3">
      <c r="A151" s="1" t="s">
        <v>96</v>
      </c>
      <c r="B151" t="s">
        <v>152</v>
      </c>
      <c r="C151" s="1" t="s">
        <v>61</v>
      </c>
      <c r="D151" s="1" t="s">
        <v>62</v>
      </c>
      <c r="E151" s="1" t="s">
        <v>59</v>
      </c>
      <c r="F151" s="4">
        <v>46159</v>
      </c>
      <c r="G151" s="5">
        <v>0.78472222222222221</v>
      </c>
      <c r="H151" s="4">
        <v>46160</v>
      </c>
      <c r="I151" s="5">
        <v>0.66319444444444442</v>
      </c>
      <c r="J151" s="1"/>
      <c r="K151" s="1"/>
      <c r="L151" s="1"/>
      <c r="M151" s="4"/>
      <c r="N151" s="5"/>
      <c r="O151" s="4"/>
      <c r="P151" s="5"/>
      <c r="Q151" s="1" t="s">
        <v>63</v>
      </c>
      <c r="R151" s="1" t="s">
        <v>59</v>
      </c>
      <c r="S151" s="1" t="s">
        <v>62</v>
      </c>
      <c r="T151" s="4">
        <v>46172</v>
      </c>
      <c r="U151" s="5">
        <v>0.3923611111111111</v>
      </c>
      <c r="V151" s="4">
        <v>46172</v>
      </c>
      <c r="W151" s="5">
        <v>0.65625</v>
      </c>
      <c r="X151" s="1"/>
      <c r="Y151" s="1"/>
      <c r="Z151" s="1"/>
      <c r="AA151" s="4"/>
      <c r="AB151" s="5"/>
      <c r="AC151" s="4"/>
      <c r="AD151" s="5"/>
    </row>
    <row r="152" spans="1:30" x14ac:dyDescent="0.3">
      <c r="A152" s="1" t="s">
        <v>96</v>
      </c>
      <c r="B152" t="s">
        <v>153</v>
      </c>
      <c r="C152" s="1" t="s">
        <v>66</v>
      </c>
      <c r="D152" s="1" t="s">
        <v>67</v>
      </c>
      <c r="E152" s="1" t="s">
        <v>59</v>
      </c>
      <c r="F152" s="4">
        <v>46159</v>
      </c>
      <c r="G152" s="5">
        <v>0.79166666666666663</v>
      </c>
      <c r="H152" s="4">
        <v>46160</v>
      </c>
      <c r="I152" s="5">
        <v>0.57986111111111116</v>
      </c>
      <c r="J152" s="1" t="s">
        <v>134</v>
      </c>
      <c r="K152" s="1" t="s">
        <v>59</v>
      </c>
      <c r="L152" s="1" t="s">
        <v>65</v>
      </c>
      <c r="M152" s="4">
        <v>46160</v>
      </c>
      <c r="N152" s="5">
        <v>0.69444444444444442</v>
      </c>
      <c r="O152" s="4">
        <v>46160</v>
      </c>
      <c r="P152" s="5">
        <v>0.73958333333333337</v>
      </c>
      <c r="Q152" s="1" t="s">
        <v>68</v>
      </c>
      <c r="R152" s="1" t="s">
        <v>59</v>
      </c>
      <c r="S152" s="1" t="s">
        <v>67</v>
      </c>
      <c r="T152" s="4">
        <v>46172</v>
      </c>
      <c r="U152" s="5">
        <v>0.38541666666666669</v>
      </c>
      <c r="V152" s="4">
        <v>46172</v>
      </c>
      <c r="W152" s="5">
        <v>0.64236111111111116</v>
      </c>
      <c r="X152" s="1"/>
      <c r="Y152" s="1"/>
      <c r="Z152" s="1"/>
      <c r="AA152" s="4"/>
      <c r="AB152" s="5"/>
      <c r="AC152" s="4"/>
      <c r="AD152" s="5"/>
    </row>
    <row r="153" spans="1:30" x14ac:dyDescent="0.3">
      <c r="A153" s="1" t="s">
        <v>96</v>
      </c>
      <c r="B153" t="s">
        <v>154</v>
      </c>
      <c r="C153" s="1" t="s">
        <v>66</v>
      </c>
      <c r="D153" s="1" t="s">
        <v>67</v>
      </c>
      <c r="E153" s="1" t="s">
        <v>59</v>
      </c>
      <c r="F153" s="4">
        <v>46161</v>
      </c>
      <c r="G153" s="5">
        <v>0.79166666666666663</v>
      </c>
      <c r="H153" s="4">
        <v>46162</v>
      </c>
      <c r="I153" s="5">
        <v>0.57986111111111116</v>
      </c>
      <c r="J153" s="1" t="s">
        <v>134</v>
      </c>
      <c r="K153" s="1" t="s">
        <v>59</v>
      </c>
      <c r="L153" s="1" t="s">
        <v>65</v>
      </c>
      <c r="M153" s="4">
        <v>46162</v>
      </c>
      <c r="N153" s="5">
        <v>0.69444444444444442</v>
      </c>
      <c r="O153" s="4">
        <v>46162</v>
      </c>
      <c r="P153" s="5">
        <v>0.73958333333333337</v>
      </c>
      <c r="Q153" s="1" t="s">
        <v>68</v>
      </c>
      <c r="R153" s="1" t="s">
        <v>59</v>
      </c>
      <c r="S153" s="1" t="s">
        <v>67</v>
      </c>
      <c r="T153" s="4">
        <v>46173</v>
      </c>
      <c r="U153" s="5">
        <v>0.38541666666666669</v>
      </c>
      <c r="V153" s="4">
        <v>46173</v>
      </c>
      <c r="W153" s="5">
        <v>0.64236111111111116</v>
      </c>
      <c r="X153" s="1"/>
      <c r="Y153" s="1"/>
      <c r="Z153" s="1"/>
      <c r="AA153" s="4"/>
      <c r="AB153" s="5"/>
      <c r="AC153" s="4"/>
      <c r="AD153" s="5"/>
    </row>
    <row r="154" spans="1:30" x14ac:dyDescent="0.3">
      <c r="A154" s="1" t="s">
        <v>96</v>
      </c>
      <c r="B154" t="s">
        <v>154</v>
      </c>
      <c r="C154" s="1" t="s">
        <v>66</v>
      </c>
      <c r="D154" s="1" t="s">
        <v>67</v>
      </c>
      <c r="E154" s="1" t="s">
        <v>59</v>
      </c>
      <c r="F154" s="4">
        <v>46161</v>
      </c>
      <c r="G154" s="5">
        <v>0.79166666666666663</v>
      </c>
      <c r="H154" s="4">
        <v>46162</v>
      </c>
      <c r="I154" s="5">
        <v>0.57986111111111116</v>
      </c>
      <c r="J154" s="1" t="s">
        <v>134</v>
      </c>
      <c r="K154" s="1" t="s">
        <v>59</v>
      </c>
      <c r="L154" s="1" t="s">
        <v>65</v>
      </c>
      <c r="M154" s="4">
        <v>46162</v>
      </c>
      <c r="N154" s="5">
        <v>0.69444444444444442</v>
      </c>
      <c r="O154" s="4">
        <v>46162</v>
      </c>
      <c r="P154" s="5">
        <v>0.73958333333333337</v>
      </c>
      <c r="Q154" s="1" t="s">
        <v>68</v>
      </c>
      <c r="R154" s="1" t="s">
        <v>59</v>
      </c>
      <c r="S154" s="1" t="s">
        <v>67</v>
      </c>
      <c r="T154" s="4">
        <v>46173</v>
      </c>
      <c r="U154" s="5">
        <v>0.38541666666666669</v>
      </c>
      <c r="V154" s="4">
        <v>46173</v>
      </c>
      <c r="W154" s="5">
        <v>0.64236111111111116</v>
      </c>
      <c r="X154" s="1"/>
      <c r="Y154" s="1"/>
      <c r="Z154" s="1"/>
      <c r="AA154" s="4"/>
      <c r="AB154" s="5"/>
      <c r="AC154" s="4"/>
      <c r="AD154" s="5"/>
    </row>
    <row r="155" spans="1:30" x14ac:dyDescent="0.3">
      <c r="A155" s="1" t="s">
        <v>96</v>
      </c>
      <c r="B155" t="s">
        <v>151</v>
      </c>
      <c r="C155" s="1" t="s">
        <v>69</v>
      </c>
      <c r="D155" s="1" t="s">
        <v>70</v>
      </c>
      <c r="E155" s="1" t="s">
        <v>59</v>
      </c>
      <c r="F155" s="4">
        <v>46158</v>
      </c>
      <c r="G155" s="5">
        <v>0.875</v>
      </c>
      <c r="H155" s="4">
        <v>46159</v>
      </c>
      <c r="I155" s="5">
        <v>0.93055555555555558</v>
      </c>
      <c r="J155" s="1" t="s">
        <v>136</v>
      </c>
      <c r="K155" s="1" t="s">
        <v>59</v>
      </c>
      <c r="L155" s="1" t="s">
        <v>65</v>
      </c>
      <c r="M155" s="4">
        <v>46160</v>
      </c>
      <c r="N155" s="5">
        <v>6.25E-2</v>
      </c>
      <c r="O155" s="4">
        <v>46160</v>
      </c>
      <c r="P155" s="5">
        <v>0.1076388888888889</v>
      </c>
      <c r="Q155" s="1" t="s">
        <v>71</v>
      </c>
      <c r="R155" s="1" t="s">
        <v>59</v>
      </c>
      <c r="S155" s="1" t="s">
        <v>70</v>
      </c>
      <c r="T155" s="4">
        <v>46172</v>
      </c>
      <c r="U155" s="5">
        <v>0.40972222222222221</v>
      </c>
      <c r="V155" s="4">
        <v>46172</v>
      </c>
      <c r="W155" s="5">
        <v>0.67013888888888884</v>
      </c>
      <c r="X155" s="1"/>
      <c r="Y155" s="1"/>
      <c r="Z155" s="1"/>
      <c r="AA155" s="4"/>
      <c r="AB155" s="5"/>
      <c r="AC155" s="4"/>
      <c r="AD155" s="5"/>
    </row>
    <row r="156" spans="1:30" x14ac:dyDescent="0.3">
      <c r="A156" s="1" t="s">
        <v>96</v>
      </c>
      <c r="B156" t="s">
        <v>151</v>
      </c>
      <c r="C156" s="1" t="s">
        <v>69</v>
      </c>
      <c r="D156" s="1" t="s">
        <v>70</v>
      </c>
      <c r="E156" s="1" t="s">
        <v>59</v>
      </c>
      <c r="F156" s="4">
        <v>46158</v>
      </c>
      <c r="G156" s="5">
        <v>0.875</v>
      </c>
      <c r="H156" s="4">
        <v>46159</v>
      </c>
      <c r="I156" s="5">
        <v>0.93055555555555558</v>
      </c>
      <c r="J156" s="1" t="s">
        <v>136</v>
      </c>
      <c r="K156" s="1" t="s">
        <v>59</v>
      </c>
      <c r="L156" s="1" t="s">
        <v>65</v>
      </c>
      <c r="M156" s="4">
        <v>46160</v>
      </c>
      <c r="N156" s="5">
        <v>6.25E-2</v>
      </c>
      <c r="O156" s="4">
        <v>46160</v>
      </c>
      <c r="P156" s="5">
        <v>0.1076388888888889</v>
      </c>
      <c r="Q156" s="1" t="s">
        <v>71</v>
      </c>
      <c r="R156" s="1" t="s">
        <v>59</v>
      </c>
      <c r="S156" s="1" t="s">
        <v>70</v>
      </c>
      <c r="T156" s="4">
        <v>46172</v>
      </c>
      <c r="U156" s="5">
        <v>0.40972222222222221</v>
      </c>
      <c r="V156" s="4">
        <v>46172</v>
      </c>
      <c r="W156" s="5">
        <v>0.67013888888888884</v>
      </c>
      <c r="X156" s="1"/>
      <c r="Y156" s="1"/>
      <c r="Z156" s="1"/>
      <c r="AA156" s="4"/>
      <c r="AB156" s="5"/>
      <c r="AC156" s="4"/>
      <c r="AD156" s="5"/>
    </row>
    <row r="157" spans="1:30" x14ac:dyDescent="0.3">
      <c r="A157" s="1" t="s">
        <v>96</v>
      </c>
      <c r="B157" t="s">
        <v>155</v>
      </c>
      <c r="C157" s="1" t="s">
        <v>64</v>
      </c>
      <c r="D157" s="1" t="s">
        <v>62</v>
      </c>
      <c r="E157" s="1" t="s">
        <v>74</v>
      </c>
      <c r="F157" s="4">
        <v>46160</v>
      </c>
      <c r="G157" s="5">
        <v>0.78472222222222221</v>
      </c>
      <c r="H157" s="4">
        <v>46161</v>
      </c>
      <c r="I157" s="5">
        <v>0.60416666666666663</v>
      </c>
      <c r="J157" s="1" t="s">
        <v>137</v>
      </c>
      <c r="K157" s="1" t="s">
        <v>74</v>
      </c>
      <c r="L157" s="1" t="s">
        <v>65</v>
      </c>
      <c r="M157" s="4">
        <v>46161</v>
      </c>
      <c r="N157" s="5">
        <v>0.8125</v>
      </c>
      <c r="O157" s="4">
        <v>46161</v>
      </c>
      <c r="P157" s="5">
        <v>0.87847222222222221</v>
      </c>
      <c r="Q157" s="1" t="s">
        <v>63</v>
      </c>
      <c r="R157" s="1" t="s">
        <v>59</v>
      </c>
      <c r="S157" s="1" t="s">
        <v>62</v>
      </c>
      <c r="T157" s="4">
        <v>46173</v>
      </c>
      <c r="U157" s="5">
        <v>0.3923611111111111</v>
      </c>
      <c r="V157" s="4">
        <v>46173</v>
      </c>
      <c r="W157" s="5">
        <v>0.65625</v>
      </c>
      <c r="X157" s="1"/>
      <c r="Y157" s="1"/>
      <c r="Z157" s="1"/>
      <c r="AA157" s="4"/>
      <c r="AB157" s="5"/>
      <c r="AC157" s="4"/>
      <c r="AD157" s="5"/>
    </row>
    <row r="158" spans="1:30" x14ac:dyDescent="0.3">
      <c r="A158" s="1" t="s">
        <v>96</v>
      </c>
      <c r="B158" t="s">
        <v>156</v>
      </c>
      <c r="C158" s="1" t="s">
        <v>61</v>
      </c>
      <c r="D158" s="1" t="s">
        <v>62</v>
      </c>
      <c r="E158" s="1" t="s">
        <v>59</v>
      </c>
      <c r="F158" s="4">
        <v>46159</v>
      </c>
      <c r="G158" s="5">
        <v>0.78472222222222221</v>
      </c>
      <c r="H158" s="4">
        <v>46160</v>
      </c>
      <c r="I158" s="5">
        <v>0.57986111111111116</v>
      </c>
      <c r="J158" s="1"/>
      <c r="K158" s="1"/>
      <c r="L158" s="1"/>
      <c r="M158" s="4"/>
      <c r="N158" s="5"/>
      <c r="O158" s="4"/>
      <c r="P158" s="5"/>
      <c r="Q158" s="1" t="s">
        <v>63</v>
      </c>
      <c r="R158" s="1" t="s">
        <v>59</v>
      </c>
      <c r="S158" s="1" t="s">
        <v>62</v>
      </c>
      <c r="T158" s="4">
        <v>46172</v>
      </c>
      <c r="U158" s="5">
        <v>0.3923611111111111</v>
      </c>
      <c r="V158" s="4">
        <v>46172</v>
      </c>
      <c r="W158" s="5">
        <v>0.65625</v>
      </c>
      <c r="X158" s="1"/>
      <c r="Y158" s="1"/>
      <c r="Z158" s="1"/>
      <c r="AA158" s="4"/>
      <c r="AB158" s="5"/>
      <c r="AC158" s="4"/>
      <c r="AD158" s="5"/>
    </row>
    <row r="159" spans="1:30" x14ac:dyDescent="0.3">
      <c r="A159" s="1" t="s">
        <v>96</v>
      </c>
      <c r="B159" t="s">
        <v>157</v>
      </c>
      <c r="C159" s="1" t="s">
        <v>61</v>
      </c>
      <c r="D159" s="1" t="s">
        <v>62</v>
      </c>
      <c r="E159" s="1" t="s">
        <v>59</v>
      </c>
      <c r="F159" s="4">
        <v>46159</v>
      </c>
      <c r="G159" s="5">
        <v>0.78472222222222221</v>
      </c>
      <c r="H159" s="4">
        <v>46160</v>
      </c>
      <c r="I159" s="5">
        <v>0.57986111111111116</v>
      </c>
      <c r="J159" s="1" t="s">
        <v>134</v>
      </c>
      <c r="K159" s="1" t="s">
        <v>59</v>
      </c>
      <c r="L159" s="1" t="s">
        <v>65</v>
      </c>
      <c r="M159" s="4">
        <v>46160</v>
      </c>
      <c r="N159" s="5">
        <v>0.69444444444444442</v>
      </c>
      <c r="O159" s="4">
        <v>46160</v>
      </c>
      <c r="P159" s="5">
        <v>0.73958333333333337</v>
      </c>
      <c r="Q159" s="1" t="s">
        <v>63</v>
      </c>
      <c r="R159" s="1" t="s">
        <v>59</v>
      </c>
      <c r="S159" s="1" t="s">
        <v>62</v>
      </c>
      <c r="T159" s="4">
        <v>46172</v>
      </c>
      <c r="U159" s="5">
        <v>0.35069444444444442</v>
      </c>
      <c r="V159" s="4">
        <v>46172</v>
      </c>
      <c r="W159" s="5">
        <v>0.65625</v>
      </c>
      <c r="X159" s="1"/>
      <c r="Y159" s="1"/>
      <c r="Z159" s="1"/>
      <c r="AA159" s="4"/>
      <c r="AB159" s="5"/>
      <c r="AC159" s="4"/>
      <c r="AD159" s="5"/>
    </row>
    <row r="160" spans="1:30" x14ac:dyDescent="0.3">
      <c r="A160" s="1" t="s">
        <v>97</v>
      </c>
      <c r="B160" t="s">
        <v>161</v>
      </c>
      <c r="C160" s="1" t="s">
        <v>64</v>
      </c>
      <c r="D160" s="1" t="s">
        <v>62</v>
      </c>
      <c r="E160" s="1" t="s">
        <v>74</v>
      </c>
      <c r="F160" s="4">
        <v>46162</v>
      </c>
      <c r="G160" s="5">
        <v>0.78472222222222221</v>
      </c>
      <c r="H160" s="4">
        <v>46163</v>
      </c>
      <c r="I160" s="5">
        <v>0.60416666666666663</v>
      </c>
      <c r="J160" s="1" t="s">
        <v>138</v>
      </c>
      <c r="K160" s="1" t="s">
        <v>74</v>
      </c>
      <c r="L160" s="1" t="s">
        <v>65</v>
      </c>
      <c r="M160" s="4">
        <v>46163</v>
      </c>
      <c r="N160" s="5">
        <v>0.70486111111111116</v>
      </c>
      <c r="O160" s="4">
        <v>46163</v>
      </c>
      <c r="P160" s="5">
        <v>0.77083333333333337</v>
      </c>
      <c r="Q160" s="1" t="s">
        <v>75</v>
      </c>
      <c r="R160" s="1" t="s">
        <v>59</v>
      </c>
      <c r="S160" s="1" t="s">
        <v>74</v>
      </c>
      <c r="T160" s="4">
        <v>46174</v>
      </c>
      <c r="U160" s="5">
        <v>0.20833333333333334</v>
      </c>
      <c r="V160" s="4">
        <v>46174</v>
      </c>
      <c r="W160" s="5">
        <v>0.28472222222222221</v>
      </c>
      <c r="X160" s="1" t="s">
        <v>139</v>
      </c>
      <c r="Y160" s="1" t="s">
        <v>74</v>
      </c>
      <c r="Z160" s="1" t="s">
        <v>62</v>
      </c>
      <c r="AA160" s="4">
        <v>46174</v>
      </c>
      <c r="AB160" s="5">
        <v>0.36805555555555558</v>
      </c>
      <c r="AC160" s="4">
        <v>46174</v>
      </c>
      <c r="AD160" s="5">
        <v>0.65625</v>
      </c>
    </row>
    <row r="161" spans="1:30" x14ac:dyDescent="0.3">
      <c r="A161" s="1" t="s">
        <v>97</v>
      </c>
      <c r="B161" t="s">
        <v>162</v>
      </c>
      <c r="C161" s="1" t="s">
        <v>61</v>
      </c>
      <c r="D161" s="1" t="s">
        <v>62</v>
      </c>
      <c r="E161" s="1" t="s">
        <v>59</v>
      </c>
      <c r="F161" s="4">
        <v>46163</v>
      </c>
      <c r="G161" s="5">
        <v>0.78472222222222221</v>
      </c>
      <c r="H161" s="4">
        <v>46164</v>
      </c>
      <c r="I161" s="5">
        <v>0.57986111111111116</v>
      </c>
      <c r="J161" s="1"/>
      <c r="K161" s="1"/>
      <c r="L161" s="1"/>
      <c r="M161" s="4"/>
      <c r="N161" s="5"/>
      <c r="O161" s="4"/>
      <c r="P161" s="5"/>
      <c r="Q161" s="1" t="s">
        <v>72</v>
      </c>
      <c r="R161" s="1" t="s">
        <v>65</v>
      </c>
      <c r="S161" s="1" t="s">
        <v>59</v>
      </c>
      <c r="T161" s="4">
        <v>46175</v>
      </c>
      <c r="U161" s="5">
        <v>0.25347222222222221</v>
      </c>
      <c r="V161" s="4">
        <v>46175</v>
      </c>
      <c r="W161" s="5">
        <v>0.30208333333333331</v>
      </c>
      <c r="X161" s="1" t="s">
        <v>63</v>
      </c>
      <c r="Y161" s="1" t="s">
        <v>59</v>
      </c>
      <c r="Z161" s="1" t="s">
        <v>62</v>
      </c>
      <c r="AA161" s="4">
        <v>46175</v>
      </c>
      <c r="AB161" s="5">
        <v>0.3923611111111111</v>
      </c>
      <c r="AC161" s="4">
        <v>46177</v>
      </c>
      <c r="AD161" s="5">
        <v>0.65625</v>
      </c>
    </row>
    <row r="162" spans="1:30" x14ac:dyDescent="0.3">
      <c r="A162" s="1" t="s">
        <v>97</v>
      </c>
      <c r="B162" t="s">
        <v>163</v>
      </c>
      <c r="C162" s="1" t="s">
        <v>57</v>
      </c>
      <c r="D162" s="1" t="s">
        <v>58</v>
      </c>
      <c r="E162" s="1" t="s">
        <v>59</v>
      </c>
      <c r="F162" s="4">
        <v>46162</v>
      </c>
      <c r="G162" s="5">
        <v>0.45833333333333331</v>
      </c>
      <c r="H162" s="4">
        <v>46163</v>
      </c>
      <c r="I162" s="5">
        <v>0.2361111111111111</v>
      </c>
      <c r="J162" s="1"/>
      <c r="K162" s="1"/>
      <c r="L162" s="1"/>
      <c r="M162" s="4"/>
      <c r="N162" s="5"/>
      <c r="O162" s="4"/>
      <c r="P162" s="5"/>
      <c r="Q162" s="1" t="s">
        <v>76</v>
      </c>
      <c r="R162" s="1" t="s">
        <v>65</v>
      </c>
      <c r="S162" s="1" t="s">
        <v>58</v>
      </c>
      <c r="T162" s="4">
        <v>46175</v>
      </c>
      <c r="U162" s="5">
        <v>0.93055555555555558</v>
      </c>
      <c r="V162" s="4">
        <v>46176</v>
      </c>
      <c r="W162" s="5">
        <v>0.375</v>
      </c>
      <c r="X162" s="1"/>
      <c r="Y162" s="1"/>
      <c r="Z162" s="1"/>
      <c r="AA162" s="4"/>
      <c r="AB162" s="5"/>
      <c r="AC162" s="4"/>
      <c r="AD162" s="5"/>
    </row>
    <row r="163" spans="1:30" x14ac:dyDescent="0.3">
      <c r="A163" s="1" t="s">
        <v>97</v>
      </c>
      <c r="B163" t="s">
        <v>164</v>
      </c>
      <c r="C163" s="1" t="s">
        <v>57</v>
      </c>
      <c r="D163" s="1" t="s">
        <v>58</v>
      </c>
      <c r="E163" s="1" t="s">
        <v>59</v>
      </c>
      <c r="F163" s="4">
        <v>46162</v>
      </c>
      <c r="G163" s="5">
        <v>0.45833333333333331</v>
      </c>
      <c r="H163" s="4">
        <v>46163</v>
      </c>
      <c r="I163" s="5">
        <v>0.2361111111111111</v>
      </c>
      <c r="J163" s="1"/>
      <c r="K163" s="1"/>
      <c r="L163" s="1"/>
      <c r="M163" s="4"/>
      <c r="N163" s="5"/>
      <c r="O163" s="4"/>
      <c r="P163" s="5"/>
      <c r="Q163" s="1" t="s">
        <v>76</v>
      </c>
      <c r="R163" s="1" t="s">
        <v>65</v>
      </c>
      <c r="S163" s="1" t="s">
        <v>59</v>
      </c>
      <c r="T163" s="4">
        <v>46175</v>
      </c>
      <c r="U163" s="5">
        <v>0.93055555555555558</v>
      </c>
      <c r="V163" s="4">
        <v>46175</v>
      </c>
      <c r="W163" s="5">
        <v>0.97916666666666663</v>
      </c>
      <c r="X163" s="1" t="s">
        <v>60</v>
      </c>
      <c r="Y163" s="1" t="s">
        <v>59</v>
      </c>
      <c r="Z163" s="1" t="s">
        <v>58</v>
      </c>
      <c r="AA163" s="4">
        <v>46176</v>
      </c>
      <c r="AB163" s="5">
        <v>0.12847222222222221</v>
      </c>
      <c r="AC163" s="4">
        <v>46176</v>
      </c>
      <c r="AD163" s="5">
        <v>0.375</v>
      </c>
    </row>
    <row r="164" spans="1:30" x14ac:dyDescent="0.3">
      <c r="A164" s="1" t="s">
        <v>98</v>
      </c>
      <c r="B164" t="s">
        <v>161</v>
      </c>
      <c r="C164" s="1" t="s">
        <v>64</v>
      </c>
      <c r="D164" s="1" t="s">
        <v>62</v>
      </c>
      <c r="E164" s="1" t="s">
        <v>74</v>
      </c>
      <c r="F164" s="4">
        <v>46162</v>
      </c>
      <c r="G164" s="5">
        <v>0.78472222222222221</v>
      </c>
      <c r="H164" s="4">
        <v>46163</v>
      </c>
      <c r="I164" s="5">
        <v>0.60416666666666663</v>
      </c>
      <c r="J164" s="1" t="s">
        <v>138</v>
      </c>
      <c r="K164" s="1" t="s">
        <v>74</v>
      </c>
      <c r="L164" s="1" t="s">
        <v>65</v>
      </c>
      <c r="M164" s="4">
        <v>46163</v>
      </c>
      <c r="N164" s="5">
        <v>0.70486111111111116</v>
      </c>
      <c r="O164" s="4">
        <v>46163</v>
      </c>
      <c r="P164" s="5">
        <v>0.77083333333333337</v>
      </c>
      <c r="Q164" s="1" t="s">
        <v>75</v>
      </c>
      <c r="R164" s="1" t="s">
        <v>59</v>
      </c>
      <c r="S164" s="1" t="s">
        <v>74</v>
      </c>
      <c r="T164" s="4">
        <v>46174</v>
      </c>
      <c r="U164" s="5">
        <v>0.20833333333333334</v>
      </c>
      <c r="V164" s="4">
        <v>46174</v>
      </c>
      <c r="W164" s="5">
        <v>0.28472222222222221</v>
      </c>
      <c r="X164" s="1" t="s">
        <v>139</v>
      </c>
      <c r="Y164" s="1" t="s">
        <v>74</v>
      </c>
      <c r="Z164" s="1" t="s">
        <v>62</v>
      </c>
      <c r="AA164" s="4">
        <v>46174</v>
      </c>
      <c r="AB164" s="5">
        <v>0.36805555555555558</v>
      </c>
      <c r="AC164" s="4">
        <v>46174</v>
      </c>
      <c r="AD164" s="5">
        <v>0.65625</v>
      </c>
    </row>
    <row r="165" spans="1:30" x14ac:dyDescent="0.3">
      <c r="A165" s="1" t="s">
        <v>98</v>
      </c>
      <c r="B165" t="s">
        <v>162</v>
      </c>
      <c r="C165" s="1" t="s">
        <v>61</v>
      </c>
      <c r="D165" s="1" t="s">
        <v>62</v>
      </c>
      <c r="E165" s="1" t="s">
        <v>59</v>
      </c>
      <c r="F165" s="4">
        <v>46163</v>
      </c>
      <c r="G165" s="5">
        <v>0.78472222222222221</v>
      </c>
      <c r="H165" s="4">
        <v>46164</v>
      </c>
      <c r="I165" s="5">
        <v>0.57986111111111116</v>
      </c>
      <c r="J165" s="1"/>
      <c r="K165" s="1"/>
      <c r="L165" s="1"/>
      <c r="M165" s="4"/>
      <c r="N165" s="5"/>
      <c r="O165" s="4"/>
      <c r="P165" s="5"/>
      <c r="Q165" s="1" t="s">
        <v>72</v>
      </c>
      <c r="R165" s="1" t="s">
        <v>65</v>
      </c>
      <c r="S165" s="1" t="s">
        <v>59</v>
      </c>
      <c r="T165" s="4">
        <v>46175</v>
      </c>
      <c r="U165" s="5">
        <v>0.25347222222222221</v>
      </c>
      <c r="V165" s="4">
        <v>46175</v>
      </c>
      <c r="W165" s="5">
        <v>0.30208333333333331</v>
      </c>
      <c r="X165" s="1" t="s">
        <v>63</v>
      </c>
      <c r="Y165" s="1" t="s">
        <v>59</v>
      </c>
      <c r="Z165" s="1" t="s">
        <v>62</v>
      </c>
      <c r="AA165" s="4">
        <v>46175</v>
      </c>
      <c r="AB165" s="5">
        <v>0.3923611111111111</v>
      </c>
      <c r="AC165" s="4">
        <v>46177</v>
      </c>
      <c r="AD165" s="5">
        <v>0.65625</v>
      </c>
    </row>
    <row r="166" spans="1:30" x14ac:dyDescent="0.3">
      <c r="A166" s="1" t="s">
        <v>98</v>
      </c>
      <c r="B166" t="s">
        <v>163</v>
      </c>
      <c r="C166" s="1" t="s">
        <v>57</v>
      </c>
      <c r="D166" s="1" t="s">
        <v>58</v>
      </c>
      <c r="E166" s="1" t="s">
        <v>59</v>
      </c>
      <c r="F166" s="4">
        <v>46162</v>
      </c>
      <c r="G166" s="5">
        <v>0.45833333333333331</v>
      </c>
      <c r="H166" s="4">
        <v>46163</v>
      </c>
      <c r="I166" s="5">
        <v>0.2361111111111111</v>
      </c>
      <c r="J166" s="1"/>
      <c r="K166" s="1"/>
      <c r="L166" s="1"/>
      <c r="M166" s="4"/>
      <c r="N166" s="5"/>
      <c r="O166" s="4"/>
      <c r="P166" s="5"/>
      <c r="Q166" s="1" t="s">
        <v>76</v>
      </c>
      <c r="R166" s="1" t="s">
        <v>65</v>
      </c>
      <c r="S166" s="1" t="s">
        <v>58</v>
      </c>
      <c r="T166" s="4">
        <v>46175</v>
      </c>
      <c r="U166" s="5">
        <v>0.93055555555555558</v>
      </c>
      <c r="V166" s="4">
        <v>46176</v>
      </c>
      <c r="W166" s="5">
        <v>0.375</v>
      </c>
      <c r="X166" s="1"/>
      <c r="Y166" s="1"/>
      <c r="Z166" s="1"/>
      <c r="AA166" s="4"/>
      <c r="AB166" s="5"/>
      <c r="AC166" s="4"/>
      <c r="AD166" s="5"/>
    </row>
    <row r="167" spans="1:30" x14ac:dyDescent="0.3">
      <c r="A167" s="1" t="s">
        <v>98</v>
      </c>
      <c r="B167" t="s">
        <v>164</v>
      </c>
      <c r="C167" s="1" t="s">
        <v>57</v>
      </c>
      <c r="D167" s="1" t="s">
        <v>58</v>
      </c>
      <c r="E167" s="1" t="s">
        <v>59</v>
      </c>
      <c r="F167" s="4">
        <v>46162</v>
      </c>
      <c r="G167" s="5">
        <v>0.45833333333333331</v>
      </c>
      <c r="H167" s="4">
        <v>46163</v>
      </c>
      <c r="I167" s="5">
        <v>0.2361111111111111</v>
      </c>
      <c r="J167" s="1"/>
      <c r="K167" s="1"/>
      <c r="L167" s="1"/>
      <c r="M167" s="4"/>
      <c r="N167" s="5"/>
      <c r="O167" s="4"/>
      <c r="P167" s="5"/>
      <c r="Q167" s="1" t="s">
        <v>76</v>
      </c>
      <c r="R167" s="1" t="s">
        <v>65</v>
      </c>
      <c r="S167" s="1" t="s">
        <v>59</v>
      </c>
      <c r="T167" s="4">
        <v>46175</v>
      </c>
      <c r="U167" s="5">
        <v>0.93055555555555558</v>
      </c>
      <c r="V167" s="4">
        <v>46175</v>
      </c>
      <c r="W167" s="5">
        <v>0.97916666666666663</v>
      </c>
      <c r="X167" s="1" t="s">
        <v>60</v>
      </c>
      <c r="Y167" s="1" t="s">
        <v>59</v>
      </c>
      <c r="Z167" s="1" t="s">
        <v>58</v>
      </c>
      <c r="AA167" s="4">
        <v>46176</v>
      </c>
      <c r="AB167" s="5">
        <v>0.12847222222222221</v>
      </c>
      <c r="AC167" s="4">
        <v>46176</v>
      </c>
      <c r="AD167" s="5">
        <v>0.375</v>
      </c>
    </row>
    <row r="168" spans="1:30" x14ac:dyDescent="0.3">
      <c r="A168" s="1" t="s">
        <v>99</v>
      </c>
      <c r="B168" t="s">
        <v>161</v>
      </c>
      <c r="C168" s="1" t="s">
        <v>64</v>
      </c>
      <c r="D168" s="1" t="s">
        <v>62</v>
      </c>
      <c r="E168" s="1" t="s">
        <v>74</v>
      </c>
      <c r="F168" s="4">
        <v>46162</v>
      </c>
      <c r="G168" s="5">
        <v>0.78472222222222221</v>
      </c>
      <c r="H168" s="4">
        <v>46163</v>
      </c>
      <c r="I168" s="5">
        <v>0.60416666666666663</v>
      </c>
      <c r="J168" s="1" t="s">
        <v>138</v>
      </c>
      <c r="K168" s="1" t="s">
        <v>74</v>
      </c>
      <c r="L168" s="1" t="s">
        <v>65</v>
      </c>
      <c r="M168" s="4">
        <v>46163</v>
      </c>
      <c r="N168" s="5">
        <v>0.70486111111111116</v>
      </c>
      <c r="O168" s="4">
        <v>46163</v>
      </c>
      <c r="P168" s="5">
        <v>0.77083333333333337</v>
      </c>
      <c r="Q168" s="1" t="s">
        <v>75</v>
      </c>
      <c r="R168" s="1" t="s">
        <v>59</v>
      </c>
      <c r="S168" s="1" t="s">
        <v>74</v>
      </c>
      <c r="T168" s="4">
        <v>46174</v>
      </c>
      <c r="U168" s="5">
        <v>0.20833333333333334</v>
      </c>
      <c r="V168" s="4">
        <v>46174</v>
      </c>
      <c r="W168" s="5">
        <v>0.28472222222222221</v>
      </c>
      <c r="X168" s="1" t="s">
        <v>139</v>
      </c>
      <c r="Y168" s="1" t="s">
        <v>74</v>
      </c>
      <c r="Z168" s="1" t="s">
        <v>62</v>
      </c>
      <c r="AA168" s="4">
        <v>46174</v>
      </c>
      <c r="AB168" s="5">
        <v>0.36805555555555558</v>
      </c>
      <c r="AC168" s="4">
        <v>46174</v>
      </c>
      <c r="AD168" s="5">
        <v>0.65625</v>
      </c>
    </row>
    <row r="169" spans="1:30" x14ac:dyDescent="0.3">
      <c r="A169" s="1" t="s">
        <v>99</v>
      </c>
      <c r="B169" t="s">
        <v>162</v>
      </c>
      <c r="C169" s="1" t="s">
        <v>61</v>
      </c>
      <c r="D169" s="1" t="s">
        <v>62</v>
      </c>
      <c r="E169" s="1" t="s">
        <v>59</v>
      </c>
      <c r="F169" s="4">
        <v>46163</v>
      </c>
      <c r="G169" s="5">
        <v>0.78472222222222221</v>
      </c>
      <c r="H169" s="4">
        <v>46164</v>
      </c>
      <c r="I169" s="5">
        <v>0.57986111111111116</v>
      </c>
      <c r="J169" s="1"/>
      <c r="K169" s="1"/>
      <c r="L169" s="1"/>
      <c r="M169" s="4"/>
      <c r="N169" s="5"/>
      <c r="O169" s="4"/>
      <c r="P169" s="5"/>
      <c r="Q169" s="1" t="s">
        <v>72</v>
      </c>
      <c r="R169" s="1" t="s">
        <v>65</v>
      </c>
      <c r="S169" s="1" t="s">
        <v>59</v>
      </c>
      <c r="T169" s="4">
        <v>46175</v>
      </c>
      <c r="U169" s="5">
        <v>0.25347222222222221</v>
      </c>
      <c r="V169" s="4">
        <v>46175</v>
      </c>
      <c r="W169" s="5">
        <v>0.30208333333333331</v>
      </c>
      <c r="X169" s="1" t="s">
        <v>63</v>
      </c>
      <c r="Y169" s="1" t="s">
        <v>59</v>
      </c>
      <c r="Z169" s="1" t="s">
        <v>62</v>
      </c>
      <c r="AA169" s="4">
        <v>46175</v>
      </c>
      <c r="AB169" s="5">
        <v>0.3923611111111111</v>
      </c>
      <c r="AC169" s="4">
        <v>46177</v>
      </c>
      <c r="AD169" s="5">
        <v>0.65625</v>
      </c>
    </row>
    <row r="170" spans="1:30" x14ac:dyDescent="0.3">
      <c r="A170" s="1" t="s">
        <v>99</v>
      </c>
      <c r="B170" t="s">
        <v>163</v>
      </c>
      <c r="C170" s="1" t="s">
        <v>57</v>
      </c>
      <c r="D170" s="1" t="s">
        <v>58</v>
      </c>
      <c r="E170" s="1" t="s">
        <v>59</v>
      </c>
      <c r="F170" s="4">
        <v>46162</v>
      </c>
      <c r="G170" s="5">
        <v>0.45833333333333331</v>
      </c>
      <c r="H170" s="4">
        <v>46163</v>
      </c>
      <c r="I170" s="5">
        <v>0.2361111111111111</v>
      </c>
      <c r="J170" s="1"/>
      <c r="K170" s="1"/>
      <c r="L170" s="1"/>
      <c r="M170" s="4"/>
      <c r="N170" s="5"/>
      <c r="O170" s="4"/>
      <c r="P170" s="5"/>
      <c r="Q170" s="1" t="s">
        <v>76</v>
      </c>
      <c r="R170" s="1" t="s">
        <v>65</v>
      </c>
      <c r="S170" s="1" t="s">
        <v>58</v>
      </c>
      <c r="T170" s="4">
        <v>46175</v>
      </c>
      <c r="U170" s="5">
        <v>0.93055555555555558</v>
      </c>
      <c r="V170" s="4">
        <v>46176</v>
      </c>
      <c r="W170" s="5">
        <v>0.375</v>
      </c>
      <c r="X170" s="1"/>
      <c r="Y170" s="1"/>
      <c r="Z170" s="1"/>
      <c r="AA170" s="4"/>
      <c r="AB170" s="5"/>
      <c r="AC170" s="4"/>
      <c r="AD170" s="5"/>
    </row>
    <row r="171" spans="1:30" x14ac:dyDescent="0.3">
      <c r="A171" s="1" t="s">
        <v>99</v>
      </c>
      <c r="B171" t="s">
        <v>164</v>
      </c>
      <c r="C171" s="1" t="s">
        <v>57</v>
      </c>
      <c r="D171" s="1" t="s">
        <v>58</v>
      </c>
      <c r="E171" s="1" t="s">
        <v>59</v>
      </c>
      <c r="F171" s="4">
        <v>46162</v>
      </c>
      <c r="G171" s="5">
        <v>0.45833333333333331</v>
      </c>
      <c r="H171" s="4">
        <v>46163</v>
      </c>
      <c r="I171" s="5">
        <v>0.2361111111111111</v>
      </c>
      <c r="J171" s="1"/>
      <c r="K171" s="1"/>
      <c r="L171" s="1"/>
      <c r="M171" s="4"/>
      <c r="N171" s="5"/>
      <c r="O171" s="4"/>
      <c r="P171" s="5"/>
      <c r="Q171" s="1" t="s">
        <v>76</v>
      </c>
      <c r="R171" s="1" t="s">
        <v>65</v>
      </c>
      <c r="S171" s="1" t="s">
        <v>59</v>
      </c>
      <c r="T171" s="4">
        <v>46175</v>
      </c>
      <c r="U171" s="5">
        <v>0.93055555555555558</v>
      </c>
      <c r="V171" s="4">
        <v>46175</v>
      </c>
      <c r="W171" s="5">
        <v>0.97916666666666663</v>
      </c>
      <c r="X171" s="1" t="s">
        <v>60</v>
      </c>
      <c r="Y171" s="1" t="s">
        <v>59</v>
      </c>
      <c r="Z171" s="1" t="s">
        <v>58</v>
      </c>
      <c r="AA171" s="4">
        <v>46176</v>
      </c>
      <c r="AB171" s="5">
        <v>0.12847222222222221</v>
      </c>
      <c r="AC171" s="4">
        <v>46176</v>
      </c>
      <c r="AD171" s="5">
        <v>0.375</v>
      </c>
    </row>
    <row r="172" spans="1:30" x14ac:dyDescent="0.3">
      <c r="A172" s="1" t="s">
        <v>100</v>
      </c>
      <c r="B172" t="s">
        <v>158</v>
      </c>
      <c r="C172" s="1" t="s">
        <v>64</v>
      </c>
      <c r="D172" s="1" t="s">
        <v>70</v>
      </c>
      <c r="E172" s="1" t="s">
        <v>59</v>
      </c>
      <c r="F172" s="4">
        <v>46163</v>
      </c>
      <c r="G172" s="5">
        <v>0.875</v>
      </c>
      <c r="H172" s="4">
        <v>46164</v>
      </c>
      <c r="I172" s="5">
        <v>5.5555555555555552E-2</v>
      </c>
      <c r="J172" s="1"/>
      <c r="K172" s="1"/>
      <c r="L172" s="1"/>
      <c r="M172" s="4"/>
      <c r="N172" s="5"/>
      <c r="O172" s="4"/>
      <c r="P172" s="5"/>
      <c r="Q172" s="1" t="s">
        <v>72</v>
      </c>
      <c r="R172" s="1" t="s">
        <v>65</v>
      </c>
      <c r="S172" s="1" t="s">
        <v>59</v>
      </c>
      <c r="T172" s="4">
        <v>46177</v>
      </c>
      <c r="U172" s="5">
        <v>0.25347222222222221</v>
      </c>
      <c r="V172" s="4">
        <v>46177</v>
      </c>
      <c r="W172" s="5">
        <v>0.30208333333333331</v>
      </c>
      <c r="X172" s="1" t="s">
        <v>71</v>
      </c>
      <c r="Y172" s="1" t="s">
        <v>59</v>
      </c>
      <c r="Z172" s="1" t="s">
        <v>70</v>
      </c>
      <c r="AA172" s="4">
        <v>46177</v>
      </c>
      <c r="AB172" s="5">
        <v>0.40972222222222221</v>
      </c>
      <c r="AC172" s="4">
        <v>46177</v>
      </c>
      <c r="AD172" s="5">
        <v>0.67013888888888884</v>
      </c>
    </row>
    <row r="173" spans="1:30" x14ac:dyDescent="0.3">
      <c r="A173" s="1" t="s">
        <v>100</v>
      </c>
      <c r="B173" t="s">
        <v>159</v>
      </c>
      <c r="C173" s="1" t="s">
        <v>66</v>
      </c>
      <c r="D173" s="1" t="s">
        <v>67</v>
      </c>
      <c r="E173" s="1" t="s">
        <v>59</v>
      </c>
      <c r="F173" s="4">
        <v>46163</v>
      </c>
      <c r="G173" s="5">
        <v>0.79166666666666663</v>
      </c>
      <c r="H173" s="4">
        <v>46164</v>
      </c>
      <c r="I173" s="5">
        <v>0.57986111111111116</v>
      </c>
      <c r="J173" s="1"/>
      <c r="K173" s="1"/>
      <c r="L173" s="1"/>
      <c r="M173" s="4"/>
      <c r="N173" s="5"/>
      <c r="O173" s="4"/>
      <c r="P173" s="5"/>
      <c r="Q173" s="1" t="s">
        <v>73</v>
      </c>
      <c r="R173" s="1" t="s">
        <v>65</v>
      </c>
      <c r="S173" s="1" t="s">
        <v>59</v>
      </c>
      <c r="T173" s="4">
        <v>46177</v>
      </c>
      <c r="U173" s="5">
        <v>0.14930555555555555</v>
      </c>
      <c r="V173" s="4">
        <v>46177</v>
      </c>
      <c r="W173" s="5">
        <v>0.19791666666666666</v>
      </c>
      <c r="X173" s="1" t="s">
        <v>68</v>
      </c>
      <c r="Y173" s="1" t="s">
        <v>59</v>
      </c>
      <c r="Z173" s="1" t="s">
        <v>67</v>
      </c>
      <c r="AA173" s="4">
        <v>46177</v>
      </c>
      <c r="AB173" s="5">
        <v>0.38541666666666669</v>
      </c>
      <c r="AC173" s="4">
        <v>46177</v>
      </c>
      <c r="AD173" s="5">
        <v>0.64236111111111116</v>
      </c>
    </row>
    <row r="174" spans="1:30" x14ac:dyDescent="0.3">
      <c r="A174" s="1" t="s">
        <v>100</v>
      </c>
      <c r="B174" t="s">
        <v>159</v>
      </c>
      <c r="C174" s="1" t="s">
        <v>66</v>
      </c>
      <c r="D174" s="1" t="s">
        <v>67</v>
      </c>
      <c r="E174" s="1" t="s">
        <v>59</v>
      </c>
      <c r="F174" s="4">
        <v>46163</v>
      </c>
      <c r="G174" s="5">
        <v>0.79166666666666663</v>
      </c>
      <c r="H174" s="4">
        <v>46164</v>
      </c>
      <c r="I174" s="5">
        <v>0.57986111111111116</v>
      </c>
      <c r="J174" s="1"/>
      <c r="K174" s="1"/>
      <c r="L174" s="1"/>
      <c r="M174" s="4"/>
      <c r="N174" s="5"/>
      <c r="O174" s="4"/>
      <c r="P174" s="5"/>
      <c r="Q174" s="1" t="s">
        <v>73</v>
      </c>
      <c r="R174" s="1" t="s">
        <v>65</v>
      </c>
      <c r="S174" s="1" t="s">
        <v>59</v>
      </c>
      <c r="T174" s="4">
        <v>46177</v>
      </c>
      <c r="U174" s="5">
        <v>0.14930555555555555</v>
      </c>
      <c r="V174" s="4">
        <v>46177</v>
      </c>
      <c r="W174" s="5">
        <v>0.19791666666666666</v>
      </c>
      <c r="X174" s="1" t="s">
        <v>68</v>
      </c>
      <c r="Y174" s="1" t="s">
        <v>59</v>
      </c>
      <c r="Z174" s="1" t="s">
        <v>67</v>
      </c>
      <c r="AA174" s="4">
        <v>46177</v>
      </c>
      <c r="AB174" s="5">
        <v>0.38541666666666669</v>
      </c>
      <c r="AC174" s="4">
        <v>46177</v>
      </c>
      <c r="AD174" s="5">
        <v>0.64236111111111116</v>
      </c>
    </row>
    <row r="175" spans="1:30" x14ac:dyDescent="0.3">
      <c r="A175" s="1" t="s">
        <v>100</v>
      </c>
      <c r="B175" t="s">
        <v>160</v>
      </c>
      <c r="C175" s="1" t="s">
        <v>69</v>
      </c>
      <c r="D175" s="1" t="s">
        <v>70</v>
      </c>
      <c r="E175" s="1" t="s">
        <v>59</v>
      </c>
      <c r="F175" s="4">
        <v>46163</v>
      </c>
      <c r="G175" s="5">
        <v>0.875</v>
      </c>
      <c r="H175" s="4">
        <v>46164</v>
      </c>
      <c r="I175" s="5">
        <v>0.93055555555555558</v>
      </c>
      <c r="J175" s="1"/>
      <c r="K175" s="1"/>
      <c r="L175" s="1"/>
      <c r="M175" s="4"/>
      <c r="N175" s="5"/>
      <c r="O175" s="4"/>
      <c r="P175" s="5"/>
      <c r="Q175" s="1" t="s">
        <v>73</v>
      </c>
      <c r="R175" s="1" t="s">
        <v>65</v>
      </c>
      <c r="S175" s="1" t="s">
        <v>70</v>
      </c>
      <c r="T175" s="4">
        <v>46177</v>
      </c>
      <c r="U175" s="5">
        <v>0.14930555555555555</v>
      </c>
      <c r="V175" s="4">
        <v>46177</v>
      </c>
      <c r="W175" s="5">
        <v>0.67013888888888884</v>
      </c>
      <c r="X175" s="1"/>
      <c r="Y175" s="1"/>
      <c r="Z175" s="1"/>
      <c r="AA175" s="4"/>
      <c r="AB175" s="5"/>
      <c r="AC175" s="4"/>
      <c r="AD175" s="5"/>
    </row>
    <row r="176" spans="1:30" x14ac:dyDescent="0.3">
      <c r="A176" s="1" t="s">
        <v>100</v>
      </c>
      <c r="B176" t="s">
        <v>159</v>
      </c>
      <c r="C176" s="1" t="s">
        <v>66</v>
      </c>
      <c r="D176" s="1" t="s">
        <v>67</v>
      </c>
      <c r="E176" s="1" t="s">
        <v>59</v>
      </c>
      <c r="F176" s="4">
        <v>46163</v>
      </c>
      <c r="G176" s="5">
        <v>0.79166666666666663</v>
      </c>
      <c r="H176" s="4">
        <v>46164</v>
      </c>
      <c r="I176" s="5">
        <v>0.57986111111111116</v>
      </c>
      <c r="J176" s="1"/>
      <c r="K176" s="1"/>
      <c r="L176" s="1"/>
      <c r="M176" s="4"/>
      <c r="N176" s="5"/>
      <c r="O176" s="4"/>
      <c r="P176" s="5"/>
      <c r="Q176" s="1" t="s">
        <v>73</v>
      </c>
      <c r="R176" s="1" t="s">
        <v>65</v>
      </c>
      <c r="S176" s="1" t="s">
        <v>59</v>
      </c>
      <c r="T176" s="4">
        <v>46177</v>
      </c>
      <c r="U176" s="5">
        <v>0.14930555555555555</v>
      </c>
      <c r="V176" s="4">
        <v>46177</v>
      </c>
      <c r="W176" s="5">
        <v>0.19791666666666666</v>
      </c>
      <c r="X176" s="1" t="s">
        <v>68</v>
      </c>
      <c r="Y176" s="1" t="s">
        <v>59</v>
      </c>
      <c r="Z176" s="1" t="s">
        <v>67</v>
      </c>
      <c r="AA176" s="4">
        <v>46177</v>
      </c>
      <c r="AB176" s="5">
        <v>0.38541666666666669</v>
      </c>
      <c r="AC176" s="4">
        <v>46177</v>
      </c>
      <c r="AD176" s="5">
        <v>0.64236111111111116</v>
      </c>
    </row>
    <row r="177" spans="1:30" x14ac:dyDescent="0.3">
      <c r="A177" s="1" t="s">
        <v>101</v>
      </c>
      <c r="B177" t="s">
        <v>1276</v>
      </c>
      <c r="C177" s="1" t="s">
        <v>1275</v>
      </c>
      <c r="D177" s="1" t="s">
        <v>140</v>
      </c>
      <c r="E177" s="1" t="s">
        <v>59</v>
      </c>
      <c r="F177" s="4">
        <v>46162</v>
      </c>
      <c r="G177" s="5">
        <v>0.92361111111111116</v>
      </c>
      <c r="H177" s="4">
        <v>46163</v>
      </c>
      <c r="I177" s="5">
        <v>0.2673611111111111</v>
      </c>
      <c r="J177" s="1" t="s">
        <v>141</v>
      </c>
      <c r="K177" s="1" t="s">
        <v>59</v>
      </c>
      <c r="L177" s="1" t="s">
        <v>65</v>
      </c>
      <c r="M177" s="4">
        <v>46163</v>
      </c>
      <c r="N177" s="5">
        <v>0.34722222222222221</v>
      </c>
      <c r="O177" s="4">
        <v>46163</v>
      </c>
      <c r="P177" s="5">
        <v>0.3923611111111111</v>
      </c>
      <c r="Q177" s="1" t="s">
        <v>142</v>
      </c>
      <c r="R177" s="1" t="s">
        <v>59</v>
      </c>
      <c r="S177" s="1" t="s">
        <v>140</v>
      </c>
      <c r="T177" s="4">
        <v>46172</v>
      </c>
      <c r="U177" s="5">
        <v>0.34027777777777779</v>
      </c>
      <c r="V177" s="4">
        <v>46172</v>
      </c>
      <c r="W177" s="5">
        <v>0.52777777777777779</v>
      </c>
      <c r="X177" s="1"/>
      <c r="Y177" s="1"/>
      <c r="Z177" s="1"/>
      <c r="AA177" s="4"/>
      <c r="AB177" s="5"/>
      <c r="AC177" s="4"/>
      <c r="AD177" s="5"/>
    </row>
    <row r="178" spans="1:30" x14ac:dyDescent="0.3">
      <c r="A178" s="1" t="s">
        <v>102</v>
      </c>
      <c r="B178" t="s">
        <v>1277</v>
      </c>
      <c r="C178" s="1" t="s">
        <v>1275</v>
      </c>
      <c r="D178" s="1" t="s">
        <v>140</v>
      </c>
      <c r="E178" s="1" t="s">
        <v>59</v>
      </c>
      <c r="F178" s="4">
        <v>46165</v>
      </c>
      <c r="G178" s="5">
        <v>0.92361111111111116</v>
      </c>
      <c r="H178" s="4">
        <v>46166</v>
      </c>
      <c r="I178" s="5">
        <v>0.2673611111111111</v>
      </c>
      <c r="J178" s="1"/>
      <c r="K178" s="1"/>
      <c r="L178" s="1"/>
      <c r="M178" s="4"/>
      <c r="N178" s="5"/>
      <c r="O178" s="4"/>
      <c r="P178" s="5"/>
      <c r="Q178" s="1" t="s">
        <v>143</v>
      </c>
      <c r="R178" s="1" t="s">
        <v>65</v>
      </c>
      <c r="S178" s="1" t="s">
        <v>59</v>
      </c>
      <c r="T178" s="4">
        <v>46176</v>
      </c>
      <c r="U178" s="5">
        <v>0.14930555555555555</v>
      </c>
      <c r="V178" s="4">
        <v>46176</v>
      </c>
      <c r="W178" s="5">
        <v>0.19791666666666666</v>
      </c>
      <c r="X178" s="1" t="s">
        <v>142</v>
      </c>
      <c r="Y178" s="1" t="s">
        <v>59</v>
      </c>
      <c r="Z178" s="1" t="s">
        <v>140</v>
      </c>
      <c r="AA178" s="4">
        <v>46176</v>
      </c>
      <c r="AB178" s="5">
        <v>0.34027777777777779</v>
      </c>
      <c r="AC178" s="4">
        <v>46176</v>
      </c>
      <c r="AD178" s="5">
        <v>0.52777777777777779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E0D9-571A-4B3B-BAB8-B30985063C3F}">
  <sheetPr>
    <tabColor rgb="FF00B050"/>
  </sheetPr>
  <dimension ref="A1:L477"/>
  <sheetViews>
    <sheetView workbookViewId="0">
      <selection activeCell="I2" sqref="I2"/>
    </sheetView>
  </sheetViews>
  <sheetFormatPr defaultRowHeight="14.4" x14ac:dyDescent="0.3"/>
  <cols>
    <col min="1" max="1" width="12.77734375" bestFit="1" customWidth="1"/>
    <col min="2" max="2" width="17.109375" bestFit="1" customWidth="1"/>
    <col min="3" max="3" width="9" bestFit="1" customWidth="1"/>
    <col min="4" max="4" width="17.33203125" bestFit="1" customWidth="1"/>
    <col min="5" max="5" width="14.21875" bestFit="1" customWidth="1"/>
    <col min="6" max="6" width="19.21875" bestFit="1" customWidth="1"/>
    <col min="7" max="7" width="16.6640625" bestFit="1" customWidth="1"/>
    <col min="8" max="8" width="16.88671875" bestFit="1" customWidth="1"/>
    <col min="9" max="9" width="13.6640625" bestFit="1" customWidth="1"/>
    <col min="10" max="10" width="14" bestFit="1" customWidth="1"/>
    <col min="11" max="11" width="12.88671875" bestFit="1" customWidth="1"/>
    <col min="12" max="12" width="13.109375" bestFit="1" customWidth="1"/>
  </cols>
  <sheetData>
    <row r="1" spans="1:12" x14ac:dyDescent="0.3">
      <c r="A1" s="27" t="s">
        <v>1168</v>
      </c>
      <c r="B1" s="21" t="s">
        <v>1485</v>
      </c>
      <c r="C1" s="21" t="s">
        <v>1215</v>
      </c>
      <c r="D1" s="21" t="s">
        <v>1289</v>
      </c>
      <c r="E1" s="21" t="s">
        <v>1477</v>
      </c>
      <c r="F1" s="21" t="s">
        <v>1478</v>
      </c>
      <c r="G1" s="21" t="s">
        <v>1479</v>
      </c>
      <c r="H1" s="21" t="s">
        <v>1480</v>
      </c>
      <c r="I1" s="21" t="s">
        <v>1481</v>
      </c>
      <c r="J1" s="21" t="s">
        <v>1484</v>
      </c>
      <c r="K1" s="21" t="s">
        <v>1482</v>
      </c>
      <c r="L1" s="28" t="s">
        <v>1483</v>
      </c>
    </row>
    <row r="2" spans="1:12" x14ac:dyDescent="0.3">
      <c r="A2" s="25">
        <v>791333</v>
      </c>
      <c r="B2" s="1" t="s">
        <v>214</v>
      </c>
      <c r="C2" s="1" t="s">
        <v>1199</v>
      </c>
      <c r="D2" s="1" t="s">
        <v>212</v>
      </c>
      <c r="E2" s="1" t="s">
        <v>61</v>
      </c>
      <c r="F2" s="1" t="s">
        <v>1280</v>
      </c>
      <c r="G2" s="4">
        <v>46160</v>
      </c>
      <c r="H2" s="5">
        <v>0.57986111111111116</v>
      </c>
      <c r="I2" s="1" t="s">
        <v>63</v>
      </c>
      <c r="J2" s="1" t="s">
        <v>1280</v>
      </c>
      <c r="K2" s="4">
        <v>46172</v>
      </c>
      <c r="L2" s="30">
        <v>0.3923611111111111</v>
      </c>
    </row>
    <row r="3" spans="1:12" x14ac:dyDescent="0.3">
      <c r="A3" s="25">
        <v>724766</v>
      </c>
      <c r="B3" s="1" t="s">
        <v>214</v>
      </c>
      <c r="C3" s="1" t="s">
        <v>1199</v>
      </c>
      <c r="D3" s="1" t="s">
        <v>212</v>
      </c>
      <c r="E3" s="1" t="s">
        <v>61</v>
      </c>
      <c r="F3" s="1" t="s">
        <v>1280</v>
      </c>
      <c r="G3" s="4">
        <v>46160</v>
      </c>
      <c r="H3" s="5">
        <v>0.57986111111111116</v>
      </c>
      <c r="I3" s="1" t="s">
        <v>63</v>
      </c>
      <c r="J3" s="1" t="s">
        <v>1280</v>
      </c>
      <c r="K3" s="4">
        <v>46172</v>
      </c>
      <c r="L3" s="30">
        <v>0.3923611111111111</v>
      </c>
    </row>
    <row r="4" spans="1:12" x14ac:dyDescent="0.3">
      <c r="A4" s="25">
        <v>351804</v>
      </c>
      <c r="B4" s="1" t="s">
        <v>214</v>
      </c>
      <c r="C4" s="1" t="s">
        <v>1196</v>
      </c>
      <c r="D4" s="1" t="s">
        <v>212</v>
      </c>
      <c r="E4" s="1" t="s">
        <v>61</v>
      </c>
      <c r="F4" s="1" t="s">
        <v>1280</v>
      </c>
      <c r="G4" s="4">
        <v>46164</v>
      </c>
      <c r="H4" s="5">
        <v>0.57986111111111116</v>
      </c>
      <c r="I4" s="1" t="s">
        <v>72</v>
      </c>
      <c r="J4" s="1" t="s">
        <v>1281</v>
      </c>
      <c r="K4" s="4">
        <v>46172</v>
      </c>
      <c r="L4" s="30">
        <v>0.25347222222222221</v>
      </c>
    </row>
    <row r="5" spans="1:12" x14ac:dyDescent="0.3">
      <c r="A5" s="25">
        <v>605378</v>
      </c>
      <c r="B5" s="1" t="s">
        <v>214</v>
      </c>
      <c r="C5" s="1" t="s">
        <v>1196</v>
      </c>
      <c r="D5" s="1" t="s">
        <v>212</v>
      </c>
      <c r="E5" s="1" t="s">
        <v>61</v>
      </c>
      <c r="F5" s="1" t="s">
        <v>1280</v>
      </c>
      <c r="G5" s="4">
        <v>46164</v>
      </c>
      <c r="H5" s="5">
        <v>0.57986111111111116</v>
      </c>
      <c r="I5" s="1" t="s">
        <v>72</v>
      </c>
      <c r="J5" s="1" t="s">
        <v>1281</v>
      </c>
      <c r="K5" s="4">
        <v>46172</v>
      </c>
      <c r="L5" s="30">
        <v>0.25347222222222221</v>
      </c>
    </row>
    <row r="6" spans="1:12" x14ac:dyDescent="0.3">
      <c r="A6" s="25">
        <v>640706</v>
      </c>
      <c r="B6" s="1" t="s">
        <v>214</v>
      </c>
      <c r="C6" s="1" t="s">
        <v>1196</v>
      </c>
      <c r="D6" s="1" t="s">
        <v>212</v>
      </c>
      <c r="E6" s="1" t="s">
        <v>61</v>
      </c>
      <c r="F6" s="1" t="s">
        <v>1280</v>
      </c>
      <c r="G6" s="4">
        <v>46164</v>
      </c>
      <c r="H6" s="5">
        <v>0.57986111111111116</v>
      </c>
      <c r="I6" s="1" t="s">
        <v>72</v>
      </c>
      <c r="J6" s="1" t="s">
        <v>1281</v>
      </c>
      <c r="K6" s="4">
        <v>46172</v>
      </c>
      <c r="L6" s="30">
        <v>0.25347222222222221</v>
      </c>
    </row>
    <row r="7" spans="1:12" x14ac:dyDescent="0.3">
      <c r="A7" s="25">
        <v>697067</v>
      </c>
      <c r="B7" s="1" t="s">
        <v>214</v>
      </c>
      <c r="C7" s="1" t="s">
        <v>1196</v>
      </c>
      <c r="D7" s="1" t="s">
        <v>212</v>
      </c>
      <c r="E7" s="1" t="s">
        <v>61</v>
      </c>
      <c r="F7" s="1" t="s">
        <v>1280</v>
      </c>
      <c r="G7" s="4">
        <v>46164</v>
      </c>
      <c r="H7" s="5">
        <v>0.57986111111111116</v>
      </c>
      <c r="I7" s="1" t="s">
        <v>72</v>
      </c>
      <c r="J7" s="1" t="s">
        <v>1281</v>
      </c>
      <c r="K7" s="4">
        <v>46172</v>
      </c>
      <c r="L7" s="30">
        <v>0.25347222222222221</v>
      </c>
    </row>
    <row r="8" spans="1:12" x14ac:dyDescent="0.3">
      <c r="A8" s="25">
        <v>741912</v>
      </c>
      <c r="B8" s="1" t="s">
        <v>214</v>
      </c>
      <c r="C8" s="1" t="s">
        <v>1196</v>
      </c>
      <c r="D8" s="1" t="s">
        <v>212</v>
      </c>
      <c r="E8" s="1" t="s">
        <v>61</v>
      </c>
      <c r="F8" s="1" t="s">
        <v>1280</v>
      </c>
      <c r="G8" s="4">
        <v>46164</v>
      </c>
      <c r="H8" s="5">
        <v>0.57986111111111116</v>
      </c>
      <c r="I8" s="1" t="s">
        <v>72</v>
      </c>
      <c r="J8" s="1" t="s">
        <v>1281</v>
      </c>
      <c r="K8" s="4">
        <v>46172</v>
      </c>
      <c r="L8" s="30">
        <v>0.25347222222222221</v>
      </c>
    </row>
    <row r="9" spans="1:12" x14ac:dyDescent="0.3">
      <c r="A9" s="25">
        <v>435303</v>
      </c>
      <c r="B9" s="1" t="s">
        <v>214</v>
      </c>
      <c r="C9" s="1" t="s">
        <v>1193</v>
      </c>
      <c r="D9" s="1" t="s">
        <v>212</v>
      </c>
      <c r="E9" s="1" t="s">
        <v>134</v>
      </c>
      <c r="F9" s="1" t="s">
        <v>1281</v>
      </c>
      <c r="G9" s="4">
        <v>46160</v>
      </c>
      <c r="H9" s="5">
        <v>0.73958333333333337</v>
      </c>
      <c r="I9" s="1" t="s">
        <v>63</v>
      </c>
      <c r="J9" s="1" t="s">
        <v>1280</v>
      </c>
      <c r="K9" s="4">
        <v>46172</v>
      </c>
      <c r="L9" s="30">
        <v>0.35069444444444442</v>
      </c>
    </row>
    <row r="10" spans="1:12" x14ac:dyDescent="0.3">
      <c r="A10" s="25">
        <v>614787</v>
      </c>
      <c r="B10" s="1" t="s">
        <v>214</v>
      </c>
      <c r="C10" s="1" t="s">
        <v>1193</v>
      </c>
      <c r="D10" s="1" t="s">
        <v>212</v>
      </c>
      <c r="E10" s="1" t="s">
        <v>134</v>
      </c>
      <c r="F10" s="1" t="s">
        <v>1281</v>
      </c>
      <c r="G10" s="4">
        <v>46160</v>
      </c>
      <c r="H10" s="5">
        <v>0.73958333333333337</v>
      </c>
      <c r="I10" s="1" t="s">
        <v>63</v>
      </c>
      <c r="J10" s="1" t="s">
        <v>1280</v>
      </c>
      <c r="K10" s="4">
        <v>46172</v>
      </c>
      <c r="L10" s="30">
        <v>0.35069444444444442</v>
      </c>
    </row>
    <row r="11" spans="1:12" x14ac:dyDescent="0.3">
      <c r="A11" s="25">
        <v>616066</v>
      </c>
      <c r="B11" s="1" t="s">
        <v>214</v>
      </c>
      <c r="C11" s="1" t="s">
        <v>1193</v>
      </c>
      <c r="D11" s="1" t="s">
        <v>212</v>
      </c>
      <c r="E11" s="1" t="s">
        <v>134</v>
      </c>
      <c r="F11" s="1" t="s">
        <v>1281</v>
      </c>
      <c r="G11" s="4">
        <v>46160</v>
      </c>
      <c r="H11" s="5">
        <v>0.73958333333333337</v>
      </c>
      <c r="I11" s="1" t="s">
        <v>63</v>
      </c>
      <c r="J11" s="1" t="s">
        <v>1280</v>
      </c>
      <c r="K11" s="4">
        <v>46172</v>
      </c>
      <c r="L11" s="30">
        <v>0.35069444444444442</v>
      </c>
    </row>
    <row r="12" spans="1:12" x14ac:dyDescent="0.3">
      <c r="A12" s="25">
        <v>616178</v>
      </c>
      <c r="B12" s="1" t="s">
        <v>214</v>
      </c>
      <c r="C12" s="1" t="s">
        <v>1193</v>
      </c>
      <c r="D12" s="1" t="s">
        <v>212</v>
      </c>
      <c r="E12" s="1" t="s">
        <v>134</v>
      </c>
      <c r="F12" s="1" t="s">
        <v>1281</v>
      </c>
      <c r="G12" s="4">
        <v>46160</v>
      </c>
      <c r="H12" s="5">
        <v>0.73958333333333337</v>
      </c>
      <c r="I12" s="1" t="s">
        <v>63</v>
      </c>
      <c r="J12" s="1" t="s">
        <v>1280</v>
      </c>
      <c r="K12" s="4">
        <v>46172</v>
      </c>
      <c r="L12" s="30">
        <v>0.35069444444444442</v>
      </c>
    </row>
    <row r="13" spans="1:12" x14ac:dyDescent="0.3">
      <c r="A13" s="25">
        <v>641142</v>
      </c>
      <c r="B13" s="1" t="s">
        <v>214</v>
      </c>
      <c r="C13" s="1" t="s">
        <v>1193</v>
      </c>
      <c r="D13" s="1" t="s">
        <v>212</v>
      </c>
      <c r="E13" s="1" t="s">
        <v>134</v>
      </c>
      <c r="F13" s="1" t="s">
        <v>1281</v>
      </c>
      <c r="G13" s="4">
        <v>46160</v>
      </c>
      <c r="H13" s="5">
        <v>0.73958333333333337</v>
      </c>
      <c r="I13" s="1" t="s">
        <v>63</v>
      </c>
      <c r="J13" s="1" t="s">
        <v>1280</v>
      </c>
      <c r="K13" s="4">
        <v>46172</v>
      </c>
      <c r="L13" s="30">
        <v>0.35069444444444442</v>
      </c>
    </row>
    <row r="14" spans="1:12" x14ac:dyDescent="0.3">
      <c r="A14" s="25">
        <v>641024</v>
      </c>
      <c r="B14" s="1" t="s">
        <v>214</v>
      </c>
      <c r="C14" s="1" t="s">
        <v>1193</v>
      </c>
      <c r="D14" s="1" t="s">
        <v>212</v>
      </c>
      <c r="E14" s="1" t="s">
        <v>134</v>
      </c>
      <c r="F14" s="1" t="s">
        <v>1281</v>
      </c>
      <c r="G14" s="4">
        <v>46160</v>
      </c>
      <c r="H14" s="5">
        <v>0.73958333333333337</v>
      </c>
      <c r="I14" s="1" t="s">
        <v>63</v>
      </c>
      <c r="J14" s="1" t="s">
        <v>1280</v>
      </c>
      <c r="K14" s="4">
        <v>46172</v>
      </c>
      <c r="L14" s="30">
        <v>0.35069444444444442</v>
      </c>
    </row>
    <row r="15" spans="1:12" x14ac:dyDescent="0.3">
      <c r="A15" s="25">
        <v>642401</v>
      </c>
      <c r="B15" s="1" t="s">
        <v>214</v>
      </c>
      <c r="C15" s="1" t="s">
        <v>1193</v>
      </c>
      <c r="D15" s="1" t="s">
        <v>212</v>
      </c>
      <c r="E15" s="1" t="s">
        <v>134</v>
      </c>
      <c r="F15" s="1" t="s">
        <v>1281</v>
      </c>
      <c r="G15" s="4">
        <v>46160</v>
      </c>
      <c r="H15" s="5">
        <v>0.73958333333333337</v>
      </c>
      <c r="I15" s="1" t="s">
        <v>63</v>
      </c>
      <c r="J15" s="1" t="s">
        <v>1280</v>
      </c>
      <c r="K15" s="4">
        <v>46172</v>
      </c>
      <c r="L15" s="30">
        <v>0.35069444444444442</v>
      </c>
    </row>
    <row r="16" spans="1:12" x14ac:dyDescent="0.3">
      <c r="A16" s="25">
        <v>642425</v>
      </c>
      <c r="B16" s="1" t="s">
        <v>214</v>
      </c>
      <c r="C16" s="1" t="s">
        <v>1193</v>
      </c>
      <c r="D16" s="1" t="s">
        <v>212</v>
      </c>
      <c r="E16" s="1" t="s">
        <v>134</v>
      </c>
      <c r="F16" s="1" t="s">
        <v>1281</v>
      </c>
      <c r="G16" s="4">
        <v>46160</v>
      </c>
      <c r="H16" s="5">
        <v>0.73958333333333337</v>
      </c>
      <c r="I16" s="1" t="s">
        <v>63</v>
      </c>
      <c r="J16" s="1" t="s">
        <v>1280</v>
      </c>
      <c r="K16" s="4">
        <v>46172</v>
      </c>
      <c r="L16" s="30">
        <v>0.35069444444444442</v>
      </c>
    </row>
    <row r="17" spans="1:12" x14ac:dyDescent="0.3">
      <c r="A17" s="25">
        <v>642436</v>
      </c>
      <c r="B17" s="1" t="s">
        <v>214</v>
      </c>
      <c r="C17" s="1" t="s">
        <v>1193</v>
      </c>
      <c r="D17" s="1" t="s">
        <v>212</v>
      </c>
      <c r="E17" s="1" t="s">
        <v>134</v>
      </c>
      <c r="F17" s="1" t="s">
        <v>1281</v>
      </c>
      <c r="G17" s="4">
        <v>46160</v>
      </c>
      <c r="H17" s="5">
        <v>0.73958333333333337</v>
      </c>
      <c r="I17" s="1" t="s">
        <v>63</v>
      </c>
      <c r="J17" s="1" t="s">
        <v>1280</v>
      </c>
      <c r="K17" s="4">
        <v>46172</v>
      </c>
      <c r="L17" s="30">
        <v>0.35069444444444442</v>
      </c>
    </row>
    <row r="18" spans="1:12" x14ac:dyDescent="0.3">
      <c r="A18" s="25">
        <v>474964</v>
      </c>
      <c r="B18" s="1" t="s">
        <v>214</v>
      </c>
      <c r="C18" s="1" t="s">
        <v>1202</v>
      </c>
      <c r="D18" s="1" t="s">
        <v>212</v>
      </c>
      <c r="E18" s="1" t="s">
        <v>136</v>
      </c>
      <c r="F18" s="1" t="s">
        <v>1281</v>
      </c>
      <c r="G18" s="4">
        <v>46160</v>
      </c>
      <c r="H18" s="5">
        <v>0.1076388888888889</v>
      </c>
      <c r="I18" s="1" t="s">
        <v>71</v>
      </c>
      <c r="J18" s="1" t="s">
        <v>1280</v>
      </c>
      <c r="K18" s="4">
        <v>46172</v>
      </c>
      <c r="L18" s="30">
        <v>0.40972222222222221</v>
      </c>
    </row>
    <row r="19" spans="1:12" x14ac:dyDescent="0.3">
      <c r="A19" s="25">
        <v>596729</v>
      </c>
      <c r="B19" s="1" t="s">
        <v>214</v>
      </c>
      <c r="C19" s="1" t="s">
        <v>1202</v>
      </c>
      <c r="D19" s="1" t="s">
        <v>212</v>
      </c>
      <c r="E19" s="1" t="s">
        <v>136</v>
      </c>
      <c r="F19" s="1" t="s">
        <v>1281</v>
      </c>
      <c r="G19" s="4">
        <v>46160</v>
      </c>
      <c r="H19" s="5">
        <v>0.1076388888888889</v>
      </c>
      <c r="I19" s="1" t="s">
        <v>71</v>
      </c>
      <c r="J19" s="1" t="s">
        <v>1280</v>
      </c>
      <c r="K19" s="4">
        <v>46172</v>
      </c>
      <c r="L19" s="30">
        <v>0.40972222222222221</v>
      </c>
    </row>
    <row r="20" spans="1:12" x14ac:dyDescent="0.3">
      <c r="A20" s="25">
        <v>758859</v>
      </c>
      <c r="B20" s="1" t="s">
        <v>214</v>
      </c>
      <c r="C20" s="1" t="s">
        <v>1202</v>
      </c>
      <c r="D20" s="1" t="s">
        <v>212</v>
      </c>
      <c r="E20" s="1" t="s">
        <v>136</v>
      </c>
      <c r="F20" s="1" t="s">
        <v>1281</v>
      </c>
      <c r="G20" s="4">
        <v>46160</v>
      </c>
      <c r="H20" s="5">
        <v>0.1076388888888889</v>
      </c>
      <c r="I20" s="1" t="s">
        <v>71</v>
      </c>
      <c r="J20" s="1" t="s">
        <v>1280</v>
      </c>
      <c r="K20" s="4">
        <v>46172</v>
      </c>
      <c r="L20" s="30">
        <v>0.40972222222222221</v>
      </c>
    </row>
    <row r="21" spans="1:12" x14ac:dyDescent="0.3">
      <c r="A21" s="25">
        <v>605555</v>
      </c>
      <c r="B21" s="1" t="s">
        <v>214</v>
      </c>
      <c r="C21" s="1" t="s">
        <v>1212</v>
      </c>
      <c r="D21" s="1" t="s">
        <v>212</v>
      </c>
      <c r="E21" s="1" t="s">
        <v>66</v>
      </c>
      <c r="F21" s="1" t="s">
        <v>1280</v>
      </c>
      <c r="G21" s="4">
        <v>46164</v>
      </c>
      <c r="H21" s="5">
        <v>0.57986111111111116</v>
      </c>
      <c r="I21" s="1" t="s">
        <v>73</v>
      </c>
      <c r="J21" s="1" t="s">
        <v>1281</v>
      </c>
      <c r="K21" s="4">
        <v>46177</v>
      </c>
      <c r="L21" s="30">
        <v>0.14930555555555555</v>
      </c>
    </row>
    <row r="22" spans="1:12" x14ac:dyDescent="0.3">
      <c r="A22" s="25">
        <v>611063</v>
      </c>
      <c r="B22" s="1" t="s">
        <v>214</v>
      </c>
      <c r="C22" s="1" t="s">
        <v>1212</v>
      </c>
      <c r="D22" s="1" t="s">
        <v>212</v>
      </c>
      <c r="E22" s="1" t="s">
        <v>66</v>
      </c>
      <c r="F22" s="1" t="s">
        <v>1280</v>
      </c>
      <c r="G22" s="4">
        <v>46164</v>
      </c>
      <c r="H22" s="5">
        <v>0.57986111111111116</v>
      </c>
      <c r="I22" s="1" t="s">
        <v>73</v>
      </c>
      <c r="J22" s="1" t="s">
        <v>1281</v>
      </c>
      <c r="K22" s="4">
        <v>46177</v>
      </c>
      <c r="L22" s="30">
        <v>0.14930555555555555</v>
      </c>
    </row>
    <row r="23" spans="1:12" x14ac:dyDescent="0.3">
      <c r="A23" s="25">
        <v>698751</v>
      </c>
      <c r="B23" s="1" t="s">
        <v>214</v>
      </c>
      <c r="C23" s="1" t="s">
        <v>1212</v>
      </c>
      <c r="D23" s="1" t="s">
        <v>212</v>
      </c>
      <c r="E23" s="1" t="s">
        <v>66</v>
      </c>
      <c r="F23" s="1" t="s">
        <v>1280</v>
      </c>
      <c r="G23" s="4">
        <v>46164</v>
      </c>
      <c r="H23" s="5">
        <v>0.57986111111111116</v>
      </c>
      <c r="I23" s="1" t="s">
        <v>73</v>
      </c>
      <c r="J23" s="1" t="s">
        <v>1281</v>
      </c>
      <c r="K23" s="4">
        <v>46177</v>
      </c>
      <c r="L23" s="30">
        <v>0.14930555555555555</v>
      </c>
    </row>
    <row r="24" spans="1:12" x14ac:dyDescent="0.3">
      <c r="A24" s="25">
        <v>698767</v>
      </c>
      <c r="B24" s="1" t="s">
        <v>214</v>
      </c>
      <c r="C24" s="1" t="s">
        <v>1212</v>
      </c>
      <c r="D24" s="1" t="s">
        <v>212</v>
      </c>
      <c r="E24" s="1" t="s">
        <v>66</v>
      </c>
      <c r="F24" s="1" t="s">
        <v>1280</v>
      </c>
      <c r="G24" s="4">
        <v>46164</v>
      </c>
      <c r="H24" s="5">
        <v>0.57986111111111116</v>
      </c>
      <c r="I24" s="1" t="s">
        <v>73</v>
      </c>
      <c r="J24" s="1" t="s">
        <v>1281</v>
      </c>
      <c r="K24" s="4">
        <v>46177</v>
      </c>
      <c r="L24" s="30">
        <v>0.14930555555555555</v>
      </c>
    </row>
    <row r="25" spans="1:12" x14ac:dyDescent="0.3">
      <c r="A25" s="25">
        <v>680990</v>
      </c>
      <c r="B25" s="1" t="s">
        <v>214</v>
      </c>
      <c r="C25" s="1" t="s">
        <v>1209</v>
      </c>
      <c r="D25" s="1" t="s">
        <v>212</v>
      </c>
      <c r="E25" s="1" t="s">
        <v>134</v>
      </c>
      <c r="F25" s="1" t="s">
        <v>1281</v>
      </c>
      <c r="G25" s="4">
        <v>46160</v>
      </c>
      <c r="H25" s="5">
        <v>0.73958333333333337</v>
      </c>
      <c r="I25" s="1" t="s">
        <v>68</v>
      </c>
      <c r="J25" s="1" t="s">
        <v>1280</v>
      </c>
      <c r="K25" s="4">
        <v>46172</v>
      </c>
      <c r="L25" s="30">
        <v>0.38541666666666669</v>
      </c>
    </row>
    <row r="26" spans="1:12" x14ac:dyDescent="0.3">
      <c r="A26" s="25">
        <v>696957</v>
      </c>
      <c r="B26" s="1" t="s">
        <v>214</v>
      </c>
      <c r="C26" s="1" t="s">
        <v>1209</v>
      </c>
      <c r="D26" s="1" t="s">
        <v>212</v>
      </c>
      <c r="E26" s="1" t="s">
        <v>134</v>
      </c>
      <c r="F26" s="1" t="s">
        <v>1281</v>
      </c>
      <c r="G26" s="4">
        <v>46160</v>
      </c>
      <c r="H26" s="5">
        <v>0.73958333333333337</v>
      </c>
      <c r="I26" s="1" t="s">
        <v>68</v>
      </c>
      <c r="J26" s="1" t="s">
        <v>1280</v>
      </c>
      <c r="K26" s="4">
        <v>46172</v>
      </c>
      <c r="L26" s="30">
        <v>0.38541666666666669</v>
      </c>
    </row>
    <row r="27" spans="1:12" x14ac:dyDescent="0.3">
      <c r="A27" s="25">
        <v>608944</v>
      </c>
      <c r="B27" s="1" t="s">
        <v>214</v>
      </c>
      <c r="C27" s="1" t="s">
        <v>1202</v>
      </c>
      <c r="D27" s="1" t="s">
        <v>212</v>
      </c>
      <c r="E27" s="1" t="s">
        <v>136</v>
      </c>
      <c r="F27" s="1" t="s">
        <v>1281</v>
      </c>
      <c r="G27" s="4">
        <v>46160</v>
      </c>
      <c r="H27" s="5">
        <v>0.1076388888888889</v>
      </c>
      <c r="I27" s="1" t="s">
        <v>71</v>
      </c>
      <c r="J27" s="1" t="s">
        <v>1280</v>
      </c>
      <c r="K27" s="4">
        <v>46172</v>
      </c>
      <c r="L27" s="30">
        <v>0.40972222222222221</v>
      </c>
    </row>
    <row r="28" spans="1:12" x14ac:dyDescent="0.3">
      <c r="A28" s="25">
        <v>762647</v>
      </c>
      <c r="B28" s="1" t="s">
        <v>214</v>
      </c>
      <c r="C28" s="1" t="s">
        <v>1202</v>
      </c>
      <c r="D28" s="1" t="s">
        <v>212</v>
      </c>
      <c r="E28" s="1" t="s">
        <v>136</v>
      </c>
      <c r="F28" s="1" t="s">
        <v>1281</v>
      </c>
      <c r="G28" s="4">
        <v>46160</v>
      </c>
      <c r="H28" s="5">
        <v>0.1076388888888889</v>
      </c>
      <c r="I28" s="1" t="s">
        <v>71</v>
      </c>
      <c r="J28" s="1" t="s">
        <v>1280</v>
      </c>
      <c r="K28" s="4">
        <v>46172</v>
      </c>
      <c r="L28" s="30">
        <v>0.40972222222222221</v>
      </c>
    </row>
    <row r="29" spans="1:12" x14ac:dyDescent="0.3">
      <c r="A29" s="25">
        <v>671891</v>
      </c>
      <c r="B29" s="1" t="s">
        <v>214</v>
      </c>
      <c r="C29" s="1" t="s">
        <v>1193</v>
      </c>
      <c r="D29" s="1" t="s">
        <v>212</v>
      </c>
      <c r="E29" s="1" t="s">
        <v>134</v>
      </c>
      <c r="F29" s="1" t="s">
        <v>1281</v>
      </c>
      <c r="G29" s="4">
        <v>46160</v>
      </c>
      <c r="H29" s="5">
        <v>0.73958333333333337</v>
      </c>
      <c r="I29" s="1" t="s">
        <v>63</v>
      </c>
      <c r="J29" s="1" t="s">
        <v>1280</v>
      </c>
      <c r="K29" s="4">
        <v>46172</v>
      </c>
      <c r="L29" s="30">
        <v>0.35069444444444442</v>
      </c>
    </row>
    <row r="30" spans="1:12" x14ac:dyDescent="0.3">
      <c r="A30" s="25">
        <v>692522</v>
      </c>
      <c r="B30" s="1" t="s">
        <v>214</v>
      </c>
      <c r="C30" s="1" t="s">
        <v>1193</v>
      </c>
      <c r="D30" s="1" t="s">
        <v>212</v>
      </c>
      <c r="E30" s="1" t="s">
        <v>134</v>
      </c>
      <c r="F30" s="1" t="s">
        <v>1281</v>
      </c>
      <c r="G30" s="4">
        <v>46160</v>
      </c>
      <c r="H30" s="5">
        <v>0.73958333333333337</v>
      </c>
      <c r="I30" s="1" t="s">
        <v>63</v>
      </c>
      <c r="J30" s="1" t="s">
        <v>1280</v>
      </c>
      <c r="K30" s="4">
        <v>46172</v>
      </c>
      <c r="L30" s="30">
        <v>0.35069444444444442</v>
      </c>
    </row>
    <row r="31" spans="1:12" x14ac:dyDescent="0.3">
      <c r="A31" s="25">
        <v>445601</v>
      </c>
      <c r="B31" s="1" t="s">
        <v>214</v>
      </c>
      <c r="C31" s="1" t="s">
        <v>1213</v>
      </c>
      <c r="D31" s="1" t="s">
        <v>212</v>
      </c>
      <c r="E31" s="1" t="s">
        <v>66</v>
      </c>
      <c r="F31" s="1" t="s">
        <v>1280</v>
      </c>
      <c r="G31" s="4">
        <v>46164</v>
      </c>
      <c r="H31" s="5">
        <v>0.57986111111111116</v>
      </c>
      <c r="I31" s="1" t="s">
        <v>73</v>
      </c>
      <c r="J31" s="1" t="s">
        <v>1281</v>
      </c>
      <c r="K31" s="4">
        <v>46177</v>
      </c>
      <c r="L31" s="30">
        <v>0.14930555555555555</v>
      </c>
    </row>
    <row r="32" spans="1:12" x14ac:dyDescent="0.3">
      <c r="A32" s="25">
        <v>469645</v>
      </c>
      <c r="B32" s="1" t="s">
        <v>214</v>
      </c>
      <c r="C32" s="1" t="s">
        <v>1213</v>
      </c>
      <c r="D32" s="1" t="s">
        <v>212</v>
      </c>
      <c r="E32" s="1" t="s">
        <v>66</v>
      </c>
      <c r="F32" s="1" t="s">
        <v>1280</v>
      </c>
      <c r="G32" s="4">
        <v>46164</v>
      </c>
      <c r="H32" s="5">
        <v>0.57986111111111116</v>
      </c>
      <c r="I32" s="1" t="s">
        <v>73</v>
      </c>
      <c r="J32" s="1" t="s">
        <v>1281</v>
      </c>
      <c r="K32" s="4">
        <v>46177</v>
      </c>
      <c r="L32" s="30">
        <v>0.14930555555555555</v>
      </c>
    </row>
    <row r="33" spans="1:12" x14ac:dyDescent="0.3">
      <c r="A33" s="25">
        <v>605159</v>
      </c>
      <c r="B33" s="1" t="s">
        <v>214</v>
      </c>
      <c r="C33" s="1" t="s">
        <v>1190</v>
      </c>
      <c r="D33" s="1" t="s">
        <v>212</v>
      </c>
      <c r="E33" s="1" t="s">
        <v>133</v>
      </c>
      <c r="F33" s="1" t="s">
        <v>1281</v>
      </c>
      <c r="G33" s="4">
        <v>46160</v>
      </c>
      <c r="H33" s="5">
        <v>0.3923611111111111</v>
      </c>
      <c r="I33" s="1" t="s">
        <v>60</v>
      </c>
      <c r="J33" s="1" t="s">
        <v>1280</v>
      </c>
      <c r="K33" s="4">
        <v>46173</v>
      </c>
      <c r="L33" s="30">
        <v>0.12847222222222221</v>
      </c>
    </row>
    <row r="34" spans="1:12" x14ac:dyDescent="0.3">
      <c r="A34" s="25">
        <v>633115</v>
      </c>
      <c r="B34" s="1" t="s">
        <v>214</v>
      </c>
      <c r="C34" s="1" t="s">
        <v>1190</v>
      </c>
      <c r="D34" s="1" t="s">
        <v>212</v>
      </c>
      <c r="E34" s="1" t="s">
        <v>133</v>
      </c>
      <c r="F34" s="1" t="s">
        <v>1281</v>
      </c>
      <c r="G34" s="4">
        <v>46160</v>
      </c>
      <c r="H34" s="5">
        <v>0.3923611111111111</v>
      </c>
      <c r="I34" s="1" t="s">
        <v>60</v>
      </c>
      <c r="J34" s="1" t="s">
        <v>1280</v>
      </c>
      <c r="K34" s="4">
        <v>46173</v>
      </c>
      <c r="L34" s="30">
        <v>0.12847222222222221</v>
      </c>
    </row>
    <row r="35" spans="1:12" x14ac:dyDescent="0.3">
      <c r="A35" s="25">
        <v>633144</v>
      </c>
      <c r="B35" s="1" t="s">
        <v>214</v>
      </c>
      <c r="C35" s="1" t="s">
        <v>1190</v>
      </c>
      <c r="D35" s="1" t="s">
        <v>212</v>
      </c>
      <c r="E35" s="1" t="s">
        <v>133</v>
      </c>
      <c r="F35" s="1" t="s">
        <v>1281</v>
      </c>
      <c r="G35" s="4">
        <v>46160</v>
      </c>
      <c r="H35" s="5">
        <v>0.3923611111111111</v>
      </c>
      <c r="I35" s="1" t="s">
        <v>60</v>
      </c>
      <c r="J35" s="1" t="s">
        <v>1280</v>
      </c>
      <c r="K35" s="4">
        <v>46173</v>
      </c>
      <c r="L35" s="30">
        <v>0.12847222222222221</v>
      </c>
    </row>
    <row r="36" spans="1:12" x14ac:dyDescent="0.3">
      <c r="A36" s="25">
        <v>708210</v>
      </c>
      <c r="B36" s="1" t="s">
        <v>214</v>
      </c>
      <c r="C36" s="1" t="s">
        <v>1190</v>
      </c>
      <c r="D36" s="1" t="s">
        <v>212</v>
      </c>
      <c r="E36" s="1" t="s">
        <v>133</v>
      </c>
      <c r="F36" s="1" t="s">
        <v>1281</v>
      </c>
      <c r="G36" s="4">
        <v>46160</v>
      </c>
      <c r="H36" s="5">
        <v>0.3923611111111111</v>
      </c>
      <c r="I36" s="1" t="s">
        <v>60</v>
      </c>
      <c r="J36" s="1" t="s">
        <v>1280</v>
      </c>
      <c r="K36" s="4">
        <v>46173</v>
      </c>
      <c r="L36" s="30">
        <v>0.12847222222222221</v>
      </c>
    </row>
    <row r="37" spans="1:12" x14ac:dyDescent="0.3">
      <c r="A37" s="25">
        <v>726318</v>
      </c>
      <c r="B37" s="1" t="s">
        <v>214</v>
      </c>
      <c r="C37" s="1" t="s">
        <v>1190</v>
      </c>
      <c r="D37" s="1" t="s">
        <v>212</v>
      </c>
      <c r="E37" s="1" t="s">
        <v>133</v>
      </c>
      <c r="F37" s="1" t="s">
        <v>1281</v>
      </c>
      <c r="G37" s="4">
        <v>46160</v>
      </c>
      <c r="H37" s="5">
        <v>0.3923611111111111</v>
      </c>
      <c r="I37" s="1" t="s">
        <v>60</v>
      </c>
      <c r="J37" s="1" t="s">
        <v>1280</v>
      </c>
      <c r="K37" s="4">
        <v>46173</v>
      </c>
      <c r="L37" s="30">
        <v>0.12847222222222221</v>
      </c>
    </row>
    <row r="38" spans="1:12" x14ac:dyDescent="0.3">
      <c r="A38" s="25">
        <v>172642</v>
      </c>
      <c r="B38" s="1" t="s">
        <v>214</v>
      </c>
      <c r="C38" s="1" t="s">
        <v>1208</v>
      </c>
      <c r="D38" s="1" t="s">
        <v>212</v>
      </c>
      <c r="E38" s="1" t="s">
        <v>135</v>
      </c>
      <c r="F38" s="1" t="s">
        <v>1281</v>
      </c>
      <c r="G38" s="4">
        <v>46160</v>
      </c>
      <c r="H38" s="5">
        <v>0.89236111111111116</v>
      </c>
      <c r="I38" s="1" t="s">
        <v>68</v>
      </c>
      <c r="J38" s="1" t="s">
        <v>1280</v>
      </c>
      <c r="K38" s="4">
        <v>46172</v>
      </c>
      <c r="L38" s="30">
        <v>0.38541666666666669</v>
      </c>
    </row>
    <row r="39" spans="1:12" x14ac:dyDescent="0.3">
      <c r="A39" s="25">
        <v>692465</v>
      </c>
      <c r="B39" s="1" t="s">
        <v>214</v>
      </c>
      <c r="C39" s="1" t="s">
        <v>1190</v>
      </c>
      <c r="D39" s="1" t="s">
        <v>212</v>
      </c>
      <c r="E39" s="1" t="s">
        <v>133</v>
      </c>
      <c r="F39" s="1" t="s">
        <v>1281</v>
      </c>
      <c r="G39" s="4">
        <v>46160</v>
      </c>
      <c r="H39" s="5">
        <v>0.3923611111111111</v>
      </c>
      <c r="I39" s="1" t="s">
        <v>60</v>
      </c>
      <c r="J39" s="1" t="s">
        <v>1280</v>
      </c>
      <c r="K39" s="4">
        <v>46173</v>
      </c>
      <c r="L39" s="30">
        <v>0.12847222222222221</v>
      </c>
    </row>
    <row r="40" spans="1:12" x14ac:dyDescent="0.3">
      <c r="A40" s="25">
        <v>692466</v>
      </c>
      <c r="B40" s="1" t="s">
        <v>214</v>
      </c>
      <c r="C40" s="1" t="s">
        <v>1190</v>
      </c>
      <c r="D40" s="1" t="s">
        <v>212</v>
      </c>
      <c r="E40" s="1" t="s">
        <v>133</v>
      </c>
      <c r="F40" s="1" t="s">
        <v>1281</v>
      </c>
      <c r="G40" s="4">
        <v>46160</v>
      </c>
      <c r="H40" s="5">
        <v>0.3923611111111111</v>
      </c>
      <c r="I40" s="1" t="s">
        <v>60</v>
      </c>
      <c r="J40" s="1" t="s">
        <v>1280</v>
      </c>
      <c r="K40" s="4">
        <v>46173</v>
      </c>
      <c r="L40" s="30">
        <v>0.12847222222222221</v>
      </c>
    </row>
    <row r="41" spans="1:12" x14ac:dyDescent="0.3">
      <c r="A41" s="25">
        <v>651755</v>
      </c>
      <c r="B41" s="1" t="s">
        <v>214</v>
      </c>
      <c r="C41" s="1" t="s">
        <v>1193</v>
      </c>
      <c r="D41" s="1" t="s">
        <v>212</v>
      </c>
      <c r="E41" s="1" t="s">
        <v>134</v>
      </c>
      <c r="F41" s="1" t="s">
        <v>1281</v>
      </c>
      <c r="G41" s="4">
        <v>46160</v>
      </c>
      <c r="H41" s="5">
        <v>0.73958333333333337</v>
      </c>
      <c r="I41" s="1" t="s">
        <v>63</v>
      </c>
      <c r="J41" s="1" t="s">
        <v>1280</v>
      </c>
      <c r="K41" s="4">
        <v>46172</v>
      </c>
      <c r="L41" s="30">
        <v>0.35069444444444442</v>
      </c>
    </row>
    <row r="42" spans="1:12" x14ac:dyDescent="0.3">
      <c r="A42" s="25">
        <v>651758</v>
      </c>
      <c r="B42" s="1" t="s">
        <v>214</v>
      </c>
      <c r="C42" s="1" t="s">
        <v>1193</v>
      </c>
      <c r="D42" s="1" t="s">
        <v>212</v>
      </c>
      <c r="E42" s="1" t="s">
        <v>134</v>
      </c>
      <c r="F42" s="1" t="s">
        <v>1281</v>
      </c>
      <c r="G42" s="4">
        <v>46160</v>
      </c>
      <c r="H42" s="5">
        <v>0.73958333333333337</v>
      </c>
      <c r="I42" s="1" t="s">
        <v>63</v>
      </c>
      <c r="J42" s="1" t="s">
        <v>1280</v>
      </c>
      <c r="K42" s="4">
        <v>46172</v>
      </c>
      <c r="L42" s="30">
        <v>0.35069444444444442</v>
      </c>
    </row>
    <row r="43" spans="1:12" x14ac:dyDescent="0.3">
      <c r="A43" s="25">
        <v>707932</v>
      </c>
      <c r="B43" s="1" t="s">
        <v>214</v>
      </c>
      <c r="C43" s="1" t="s">
        <v>1193</v>
      </c>
      <c r="D43" s="1" t="s">
        <v>212</v>
      </c>
      <c r="E43" s="1" t="s">
        <v>134</v>
      </c>
      <c r="F43" s="1" t="s">
        <v>1281</v>
      </c>
      <c r="G43" s="4">
        <v>46160</v>
      </c>
      <c r="H43" s="5">
        <v>0.73958333333333337</v>
      </c>
      <c r="I43" s="1" t="s">
        <v>63</v>
      </c>
      <c r="J43" s="1" t="s">
        <v>1280</v>
      </c>
      <c r="K43" s="4">
        <v>46172</v>
      </c>
      <c r="L43" s="30">
        <v>0.35069444444444442</v>
      </c>
    </row>
    <row r="44" spans="1:12" x14ac:dyDescent="0.3">
      <c r="A44" s="25">
        <v>640752</v>
      </c>
      <c r="B44" s="1" t="s">
        <v>214</v>
      </c>
      <c r="C44" s="1" t="s">
        <v>1193</v>
      </c>
      <c r="D44" s="1" t="s">
        <v>212</v>
      </c>
      <c r="E44" s="1" t="s">
        <v>134</v>
      </c>
      <c r="F44" s="1" t="s">
        <v>1281</v>
      </c>
      <c r="G44" s="4">
        <v>46160</v>
      </c>
      <c r="H44" s="5">
        <v>0.73958333333333337</v>
      </c>
      <c r="I44" s="1" t="s">
        <v>63</v>
      </c>
      <c r="J44" s="1" t="s">
        <v>1280</v>
      </c>
      <c r="K44" s="4">
        <v>46172</v>
      </c>
      <c r="L44" s="30">
        <v>0.35069444444444442</v>
      </c>
    </row>
    <row r="45" spans="1:12" x14ac:dyDescent="0.3">
      <c r="A45" s="25">
        <v>783303</v>
      </c>
      <c r="B45" s="1" t="s">
        <v>214</v>
      </c>
      <c r="C45" s="1" t="s">
        <v>1193</v>
      </c>
      <c r="D45" s="1" t="s">
        <v>212</v>
      </c>
      <c r="E45" s="1" t="s">
        <v>134</v>
      </c>
      <c r="F45" s="1" t="s">
        <v>1281</v>
      </c>
      <c r="G45" s="4">
        <v>46160</v>
      </c>
      <c r="H45" s="5">
        <v>0.73958333333333337</v>
      </c>
      <c r="I45" s="1" t="s">
        <v>63</v>
      </c>
      <c r="J45" s="1" t="s">
        <v>1280</v>
      </c>
      <c r="K45" s="4">
        <v>46172</v>
      </c>
      <c r="L45" s="30">
        <v>0.35069444444444442</v>
      </c>
    </row>
    <row r="46" spans="1:12" x14ac:dyDescent="0.3">
      <c r="A46" s="25">
        <v>776402</v>
      </c>
      <c r="B46" s="1" t="s">
        <v>214</v>
      </c>
      <c r="C46" s="1" t="s">
        <v>1209</v>
      </c>
      <c r="D46" s="1" t="s">
        <v>212</v>
      </c>
      <c r="E46" s="1" t="s">
        <v>134</v>
      </c>
      <c r="F46" s="1" t="s">
        <v>1281</v>
      </c>
      <c r="G46" s="4">
        <v>46160</v>
      </c>
      <c r="H46" s="5">
        <v>0.73958333333333337</v>
      </c>
      <c r="I46" s="1" t="s">
        <v>68</v>
      </c>
      <c r="J46" s="1" t="s">
        <v>1280</v>
      </c>
      <c r="K46" s="4">
        <v>46172</v>
      </c>
      <c r="L46" s="30">
        <v>0.38541666666666669</v>
      </c>
    </row>
    <row r="47" spans="1:12" x14ac:dyDescent="0.3">
      <c r="A47" s="25">
        <v>776411</v>
      </c>
      <c r="B47" s="1" t="s">
        <v>214</v>
      </c>
      <c r="C47" s="1" t="s">
        <v>1209</v>
      </c>
      <c r="D47" s="1" t="s">
        <v>212</v>
      </c>
      <c r="E47" s="1" t="s">
        <v>134</v>
      </c>
      <c r="F47" s="1" t="s">
        <v>1281</v>
      </c>
      <c r="G47" s="4">
        <v>46160</v>
      </c>
      <c r="H47" s="5">
        <v>0.73958333333333337</v>
      </c>
      <c r="I47" s="1" t="s">
        <v>68</v>
      </c>
      <c r="J47" s="1" t="s">
        <v>1280</v>
      </c>
      <c r="K47" s="4">
        <v>46172</v>
      </c>
      <c r="L47" s="30">
        <v>0.38541666666666669</v>
      </c>
    </row>
    <row r="48" spans="1:12" x14ac:dyDescent="0.3">
      <c r="A48" s="25">
        <v>629723</v>
      </c>
      <c r="B48" s="1" t="s">
        <v>214</v>
      </c>
      <c r="C48" s="1" t="s">
        <v>1194</v>
      </c>
      <c r="D48" s="1" t="s">
        <v>212</v>
      </c>
      <c r="E48" s="1" t="s">
        <v>137</v>
      </c>
      <c r="F48" s="1" t="s">
        <v>1281</v>
      </c>
      <c r="G48" s="4">
        <v>46161</v>
      </c>
      <c r="H48" s="5">
        <v>0.87847222222222221</v>
      </c>
      <c r="I48" s="1" t="s">
        <v>63</v>
      </c>
      <c r="J48" s="1" t="s">
        <v>1280</v>
      </c>
      <c r="K48" s="4">
        <v>46173</v>
      </c>
      <c r="L48" s="30">
        <v>0.3923611111111111</v>
      </c>
    </row>
    <row r="49" spans="1:12" x14ac:dyDescent="0.3">
      <c r="A49" s="25">
        <v>483536</v>
      </c>
      <c r="B49" s="1" t="s">
        <v>214</v>
      </c>
      <c r="C49" s="1" t="s">
        <v>1190</v>
      </c>
      <c r="D49" s="1" t="s">
        <v>212</v>
      </c>
      <c r="E49" s="1" t="s">
        <v>133</v>
      </c>
      <c r="F49" s="1" t="s">
        <v>1281</v>
      </c>
      <c r="G49" s="4">
        <v>46160</v>
      </c>
      <c r="H49" s="5">
        <v>0.3923611111111111</v>
      </c>
      <c r="I49" s="1" t="s">
        <v>60</v>
      </c>
      <c r="J49" s="1" t="s">
        <v>1280</v>
      </c>
      <c r="K49" s="4">
        <v>46173</v>
      </c>
      <c r="L49" s="30">
        <v>0.12847222222222221</v>
      </c>
    </row>
    <row r="50" spans="1:12" x14ac:dyDescent="0.3">
      <c r="A50" s="25">
        <v>640727</v>
      </c>
      <c r="B50" s="1" t="s">
        <v>214</v>
      </c>
      <c r="C50" s="1" t="s">
        <v>1190</v>
      </c>
      <c r="D50" s="1" t="s">
        <v>212</v>
      </c>
      <c r="E50" s="1" t="s">
        <v>133</v>
      </c>
      <c r="F50" s="1" t="s">
        <v>1281</v>
      </c>
      <c r="G50" s="4">
        <v>46160</v>
      </c>
      <c r="H50" s="5">
        <v>0.3923611111111111</v>
      </c>
      <c r="I50" s="1" t="s">
        <v>60</v>
      </c>
      <c r="J50" s="1" t="s">
        <v>1280</v>
      </c>
      <c r="K50" s="4">
        <v>46173</v>
      </c>
      <c r="L50" s="30">
        <v>0.12847222222222221</v>
      </c>
    </row>
    <row r="51" spans="1:12" x14ac:dyDescent="0.3">
      <c r="A51" s="25">
        <v>549942</v>
      </c>
      <c r="B51" s="1" t="s">
        <v>214</v>
      </c>
      <c r="C51" s="1" t="s">
        <v>1207</v>
      </c>
      <c r="D51" s="1" t="s">
        <v>212</v>
      </c>
      <c r="E51" s="1" t="s">
        <v>135</v>
      </c>
      <c r="F51" s="1" t="s">
        <v>1281</v>
      </c>
      <c r="G51" s="4">
        <v>46160</v>
      </c>
      <c r="H51" s="5">
        <v>0.89236111111111116</v>
      </c>
      <c r="I51" s="1" t="s">
        <v>68</v>
      </c>
      <c r="J51" s="1" t="s">
        <v>1280</v>
      </c>
      <c r="K51" s="4">
        <v>46172</v>
      </c>
      <c r="L51" s="30">
        <v>0.38541666666666669</v>
      </c>
    </row>
    <row r="52" spans="1:12" x14ac:dyDescent="0.3">
      <c r="A52" s="25">
        <v>553836</v>
      </c>
      <c r="B52" s="1" t="s">
        <v>214</v>
      </c>
      <c r="C52" s="1" t="s">
        <v>1207</v>
      </c>
      <c r="D52" s="1" t="s">
        <v>212</v>
      </c>
      <c r="E52" s="1" t="s">
        <v>135</v>
      </c>
      <c r="F52" s="1" t="s">
        <v>1281</v>
      </c>
      <c r="G52" s="4">
        <v>46160</v>
      </c>
      <c r="H52" s="5">
        <v>0.89236111111111116</v>
      </c>
      <c r="I52" s="1" t="s">
        <v>68</v>
      </c>
      <c r="J52" s="1" t="s">
        <v>1280</v>
      </c>
      <c r="K52" s="4">
        <v>46172</v>
      </c>
      <c r="L52" s="30">
        <v>0.38541666666666669</v>
      </c>
    </row>
    <row r="53" spans="1:12" x14ac:dyDescent="0.3">
      <c r="A53" s="25">
        <v>688469</v>
      </c>
      <c r="B53" s="1" t="s">
        <v>214</v>
      </c>
      <c r="C53" s="1" t="s">
        <v>1191</v>
      </c>
      <c r="D53" s="1" t="s">
        <v>212</v>
      </c>
      <c r="E53" s="1" t="s">
        <v>57</v>
      </c>
      <c r="F53" s="1" t="s">
        <v>1280</v>
      </c>
      <c r="G53" s="4">
        <v>46163</v>
      </c>
      <c r="H53" s="5">
        <v>0.2361111111111111</v>
      </c>
      <c r="I53" s="1" t="s">
        <v>76</v>
      </c>
      <c r="J53" s="1" t="s">
        <v>1281</v>
      </c>
      <c r="K53" s="4">
        <v>46175</v>
      </c>
      <c r="L53" s="30">
        <v>0.93055555555555558</v>
      </c>
    </row>
    <row r="54" spans="1:12" x14ac:dyDescent="0.3">
      <c r="A54" s="25">
        <v>659203</v>
      </c>
      <c r="B54" s="1" t="s">
        <v>214</v>
      </c>
      <c r="C54" s="1" t="s">
        <v>1193</v>
      </c>
      <c r="D54" s="1" t="s">
        <v>212</v>
      </c>
      <c r="E54" s="1" t="s">
        <v>134</v>
      </c>
      <c r="F54" s="1" t="s">
        <v>1281</v>
      </c>
      <c r="G54" s="4">
        <v>46160</v>
      </c>
      <c r="H54" s="5">
        <v>0.73958333333333337</v>
      </c>
      <c r="I54" s="1" t="s">
        <v>63</v>
      </c>
      <c r="J54" s="1" t="s">
        <v>1280</v>
      </c>
      <c r="K54" s="4">
        <v>46172</v>
      </c>
      <c r="L54" s="30">
        <v>0.35069444444444442</v>
      </c>
    </row>
    <row r="55" spans="1:12" x14ac:dyDescent="0.3">
      <c r="A55" s="25">
        <v>666709</v>
      </c>
      <c r="B55" s="1" t="s">
        <v>214</v>
      </c>
      <c r="C55" s="1" t="s">
        <v>1193</v>
      </c>
      <c r="D55" s="1" t="s">
        <v>212</v>
      </c>
      <c r="E55" s="1" t="s">
        <v>134</v>
      </c>
      <c r="F55" s="1" t="s">
        <v>1281</v>
      </c>
      <c r="G55" s="4">
        <v>46160</v>
      </c>
      <c r="H55" s="5">
        <v>0.73958333333333337</v>
      </c>
      <c r="I55" s="1" t="s">
        <v>63</v>
      </c>
      <c r="J55" s="1" t="s">
        <v>1280</v>
      </c>
      <c r="K55" s="4">
        <v>46172</v>
      </c>
      <c r="L55" s="30">
        <v>0.35069444444444442</v>
      </c>
    </row>
    <row r="56" spans="1:12" x14ac:dyDescent="0.3">
      <c r="A56" s="25">
        <v>55944</v>
      </c>
      <c r="B56" s="1" t="s">
        <v>214</v>
      </c>
      <c r="C56" s="1" t="s">
        <v>1194</v>
      </c>
      <c r="D56" s="1" t="s">
        <v>212</v>
      </c>
      <c r="E56" s="1" t="s">
        <v>137</v>
      </c>
      <c r="F56" s="1" t="s">
        <v>1281</v>
      </c>
      <c r="G56" s="4">
        <v>46161</v>
      </c>
      <c r="H56" s="5">
        <v>0.87847222222222221</v>
      </c>
      <c r="I56" s="1" t="s">
        <v>63</v>
      </c>
      <c r="J56" s="1" t="s">
        <v>1280</v>
      </c>
      <c r="K56" s="4">
        <v>46173</v>
      </c>
      <c r="L56" s="30">
        <v>0.3923611111111111</v>
      </c>
    </row>
    <row r="57" spans="1:12" x14ac:dyDescent="0.3">
      <c r="A57" s="25">
        <v>768775</v>
      </c>
      <c r="B57" s="1" t="s">
        <v>214</v>
      </c>
      <c r="C57" s="1" t="s">
        <v>1194</v>
      </c>
      <c r="D57" s="1" t="s">
        <v>212</v>
      </c>
      <c r="E57" s="1" t="s">
        <v>137</v>
      </c>
      <c r="F57" s="1" t="s">
        <v>1281</v>
      </c>
      <c r="G57" s="4">
        <v>46161</v>
      </c>
      <c r="H57" s="5">
        <v>0.87847222222222221</v>
      </c>
      <c r="I57" s="1" t="s">
        <v>63</v>
      </c>
      <c r="J57" s="1" t="s">
        <v>1280</v>
      </c>
      <c r="K57" s="4">
        <v>46173</v>
      </c>
      <c r="L57" s="30">
        <v>0.3923611111111111</v>
      </c>
    </row>
    <row r="58" spans="1:12" x14ac:dyDescent="0.3">
      <c r="A58" s="25">
        <v>21803</v>
      </c>
      <c r="B58" s="1" t="s">
        <v>214</v>
      </c>
      <c r="C58" s="1" t="s">
        <v>1190</v>
      </c>
      <c r="D58" s="1" t="s">
        <v>212</v>
      </c>
      <c r="E58" s="1" t="s">
        <v>133</v>
      </c>
      <c r="F58" s="1" t="s">
        <v>1281</v>
      </c>
      <c r="G58" s="4">
        <v>46160</v>
      </c>
      <c r="H58" s="5">
        <v>0.3923611111111111</v>
      </c>
      <c r="I58" s="1" t="s">
        <v>60</v>
      </c>
      <c r="J58" s="1" t="s">
        <v>1280</v>
      </c>
      <c r="K58" s="4">
        <v>46173</v>
      </c>
      <c r="L58" s="30">
        <v>0.12847222222222221</v>
      </c>
    </row>
    <row r="59" spans="1:12" x14ac:dyDescent="0.3">
      <c r="A59" s="25">
        <v>845061</v>
      </c>
      <c r="B59" s="1" t="s">
        <v>214</v>
      </c>
      <c r="C59" s="1" t="s">
        <v>1190</v>
      </c>
      <c r="D59" s="1" t="s">
        <v>212</v>
      </c>
      <c r="E59" s="1" t="s">
        <v>133</v>
      </c>
      <c r="F59" s="1" t="s">
        <v>1281</v>
      </c>
      <c r="G59" s="4">
        <v>46160</v>
      </c>
      <c r="H59" s="5">
        <v>0.3923611111111111</v>
      </c>
      <c r="I59" s="1" t="s">
        <v>60</v>
      </c>
      <c r="J59" s="1" t="s">
        <v>1280</v>
      </c>
      <c r="K59" s="4">
        <v>46173</v>
      </c>
      <c r="L59" s="30">
        <v>0.12847222222222221</v>
      </c>
    </row>
    <row r="60" spans="1:12" x14ac:dyDescent="0.3">
      <c r="A60" s="25">
        <v>851928</v>
      </c>
      <c r="B60" s="1" t="s">
        <v>214</v>
      </c>
      <c r="C60" s="1" t="s">
        <v>1190</v>
      </c>
      <c r="D60" s="1" t="s">
        <v>212</v>
      </c>
      <c r="E60" s="1" t="s">
        <v>133</v>
      </c>
      <c r="F60" s="1" t="s">
        <v>1281</v>
      </c>
      <c r="G60" s="4">
        <v>46160</v>
      </c>
      <c r="H60" s="5">
        <v>0.3923611111111111</v>
      </c>
      <c r="I60" s="1" t="s">
        <v>60</v>
      </c>
      <c r="J60" s="1" t="s">
        <v>1280</v>
      </c>
      <c r="K60" s="4">
        <v>46173</v>
      </c>
      <c r="L60" s="30">
        <v>0.12847222222222221</v>
      </c>
    </row>
    <row r="61" spans="1:12" x14ac:dyDescent="0.3">
      <c r="A61" s="25">
        <v>605474</v>
      </c>
      <c r="B61" s="1" t="s">
        <v>214</v>
      </c>
      <c r="C61" s="1" t="s">
        <v>1209</v>
      </c>
      <c r="D61" s="1" t="s">
        <v>212</v>
      </c>
      <c r="E61" s="1" t="s">
        <v>134</v>
      </c>
      <c r="F61" s="1" t="s">
        <v>1281</v>
      </c>
      <c r="G61" s="4">
        <v>46160</v>
      </c>
      <c r="H61" s="5">
        <v>0.73958333333333337</v>
      </c>
      <c r="I61" s="1" t="s">
        <v>68</v>
      </c>
      <c r="J61" s="1" t="s">
        <v>1280</v>
      </c>
      <c r="K61" s="4">
        <v>46172</v>
      </c>
      <c r="L61" s="30">
        <v>0.38541666666666669</v>
      </c>
    </row>
    <row r="62" spans="1:12" x14ac:dyDescent="0.3">
      <c r="A62" s="25">
        <v>680655</v>
      </c>
      <c r="B62" s="1" t="s">
        <v>214</v>
      </c>
      <c r="C62" s="1" t="s">
        <v>1209</v>
      </c>
      <c r="D62" s="1" t="s">
        <v>212</v>
      </c>
      <c r="E62" s="1" t="s">
        <v>134</v>
      </c>
      <c r="F62" s="1" t="s">
        <v>1281</v>
      </c>
      <c r="G62" s="4">
        <v>46160</v>
      </c>
      <c r="H62" s="5">
        <v>0.73958333333333337</v>
      </c>
      <c r="I62" s="1" t="s">
        <v>68</v>
      </c>
      <c r="J62" s="1" t="s">
        <v>1280</v>
      </c>
      <c r="K62" s="4">
        <v>46172</v>
      </c>
      <c r="L62" s="30">
        <v>0.38541666666666669</v>
      </c>
    </row>
    <row r="63" spans="1:12" x14ac:dyDescent="0.3">
      <c r="A63" s="25">
        <v>700629</v>
      </c>
      <c r="B63" s="1" t="s">
        <v>214</v>
      </c>
      <c r="C63" s="1" t="s">
        <v>1202</v>
      </c>
      <c r="D63" s="1" t="s">
        <v>212</v>
      </c>
      <c r="E63" s="1" t="s">
        <v>136</v>
      </c>
      <c r="F63" s="1" t="s">
        <v>1281</v>
      </c>
      <c r="G63" s="4">
        <v>46160</v>
      </c>
      <c r="H63" s="5">
        <v>0.1076388888888889</v>
      </c>
      <c r="I63" s="1" t="s">
        <v>71</v>
      </c>
      <c r="J63" s="1" t="s">
        <v>1280</v>
      </c>
      <c r="K63" s="4">
        <v>46172</v>
      </c>
      <c r="L63" s="30">
        <v>0.40972222222222221</v>
      </c>
    </row>
    <row r="64" spans="1:12" x14ac:dyDescent="0.3">
      <c r="A64" s="25">
        <v>781826</v>
      </c>
      <c r="B64" s="1" t="s">
        <v>214</v>
      </c>
      <c r="C64" s="1" t="s">
        <v>1202</v>
      </c>
      <c r="D64" s="1" t="s">
        <v>212</v>
      </c>
      <c r="E64" s="1" t="s">
        <v>136</v>
      </c>
      <c r="F64" s="1" t="s">
        <v>1281</v>
      </c>
      <c r="G64" s="4">
        <v>46160</v>
      </c>
      <c r="H64" s="5">
        <v>0.1076388888888889</v>
      </c>
      <c r="I64" s="1" t="s">
        <v>71</v>
      </c>
      <c r="J64" s="1" t="s">
        <v>1280</v>
      </c>
      <c r="K64" s="4">
        <v>46172</v>
      </c>
      <c r="L64" s="30">
        <v>0.40972222222222221</v>
      </c>
    </row>
    <row r="65" spans="1:12" x14ac:dyDescent="0.3">
      <c r="A65" s="25">
        <v>535091</v>
      </c>
      <c r="B65" s="1" t="s">
        <v>214</v>
      </c>
      <c r="C65" s="1" t="s">
        <v>1190</v>
      </c>
      <c r="D65" s="1" t="s">
        <v>212</v>
      </c>
      <c r="E65" s="1" t="s">
        <v>133</v>
      </c>
      <c r="F65" s="1" t="s">
        <v>1281</v>
      </c>
      <c r="G65" s="4">
        <v>46160</v>
      </c>
      <c r="H65" s="5">
        <v>0.3923611111111111</v>
      </c>
      <c r="I65" s="1" t="s">
        <v>60</v>
      </c>
      <c r="J65" s="1" t="s">
        <v>1280</v>
      </c>
      <c r="K65" s="4">
        <v>46173</v>
      </c>
      <c r="L65" s="30">
        <v>0.12847222222222221</v>
      </c>
    </row>
    <row r="66" spans="1:12" x14ac:dyDescent="0.3">
      <c r="A66" s="25">
        <v>6454</v>
      </c>
      <c r="B66" s="1" t="s">
        <v>214</v>
      </c>
      <c r="C66" s="1" t="s">
        <v>1194</v>
      </c>
      <c r="D66" s="1" t="s">
        <v>212</v>
      </c>
      <c r="E66" s="1" t="s">
        <v>137</v>
      </c>
      <c r="F66" s="1" t="s">
        <v>1281</v>
      </c>
      <c r="G66" s="4">
        <v>46161</v>
      </c>
      <c r="H66" s="5">
        <v>0.87847222222222221</v>
      </c>
      <c r="I66" s="1" t="s">
        <v>63</v>
      </c>
      <c r="J66" s="1" t="s">
        <v>1280</v>
      </c>
      <c r="K66" s="4">
        <v>46173</v>
      </c>
      <c r="L66" s="30">
        <v>0.3923611111111111</v>
      </c>
    </row>
    <row r="67" spans="1:12" x14ac:dyDescent="0.3">
      <c r="A67" s="25">
        <v>173152</v>
      </c>
      <c r="B67" s="1" t="s">
        <v>214</v>
      </c>
      <c r="C67" s="1" t="s">
        <v>1194</v>
      </c>
      <c r="D67" s="1" t="s">
        <v>212</v>
      </c>
      <c r="E67" s="1" t="s">
        <v>137</v>
      </c>
      <c r="F67" s="1" t="s">
        <v>1281</v>
      </c>
      <c r="G67" s="4">
        <v>46161</v>
      </c>
      <c r="H67" s="5">
        <v>0.87847222222222221</v>
      </c>
      <c r="I67" s="1" t="s">
        <v>63</v>
      </c>
      <c r="J67" s="1" t="s">
        <v>1280</v>
      </c>
      <c r="K67" s="4">
        <v>46173</v>
      </c>
      <c r="L67" s="30">
        <v>0.3923611111111111</v>
      </c>
    </row>
    <row r="68" spans="1:12" x14ac:dyDescent="0.3">
      <c r="A68" s="25">
        <v>651848</v>
      </c>
      <c r="B68" s="1" t="s">
        <v>214</v>
      </c>
      <c r="C68" s="1" t="s">
        <v>1194</v>
      </c>
      <c r="D68" s="1" t="s">
        <v>212</v>
      </c>
      <c r="E68" s="1" t="s">
        <v>137</v>
      </c>
      <c r="F68" s="1" t="s">
        <v>1281</v>
      </c>
      <c r="G68" s="4">
        <v>46161</v>
      </c>
      <c r="H68" s="5">
        <v>0.87847222222222221</v>
      </c>
      <c r="I68" s="1" t="s">
        <v>63</v>
      </c>
      <c r="J68" s="1" t="s">
        <v>1280</v>
      </c>
      <c r="K68" s="4">
        <v>46173</v>
      </c>
      <c r="L68" s="30">
        <v>0.3923611111111111</v>
      </c>
    </row>
    <row r="69" spans="1:12" x14ac:dyDescent="0.3">
      <c r="A69" s="25">
        <v>651861</v>
      </c>
      <c r="B69" s="1" t="s">
        <v>214</v>
      </c>
      <c r="C69" s="1" t="s">
        <v>1194</v>
      </c>
      <c r="D69" s="1" t="s">
        <v>212</v>
      </c>
      <c r="E69" s="1" t="s">
        <v>137</v>
      </c>
      <c r="F69" s="1" t="s">
        <v>1281</v>
      </c>
      <c r="G69" s="4">
        <v>46161</v>
      </c>
      <c r="H69" s="5">
        <v>0.87847222222222221</v>
      </c>
      <c r="I69" s="1" t="s">
        <v>63</v>
      </c>
      <c r="J69" s="1" t="s">
        <v>1280</v>
      </c>
      <c r="K69" s="4">
        <v>46173</v>
      </c>
      <c r="L69" s="30">
        <v>0.3923611111111111</v>
      </c>
    </row>
    <row r="70" spans="1:12" x14ac:dyDescent="0.3">
      <c r="A70" s="25">
        <v>838547</v>
      </c>
      <c r="B70" s="1" t="s">
        <v>214</v>
      </c>
      <c r="C70" s="1" t="s">
        <v>1200</v>
      </c>
      <c r="D70" s="1" t="s">
        <v>212</v>
      </c>
      <c r="E70" s="1" t="s">
        <v>69</v>
      </c>
      <c r="F70" s="1" t="s">
        <v>1280</v>
      </c>
      <c r="G70" s="4">
        <v>46164</v>
      </c>
      <c r="H70" s="5">
        <v>0.93055555555555558</v>
      </c>
      <c r="I70" s="1" t="s">
        <v>72</v>
      </c>
      <c r="J70" s="1" t="s">
        <v>1281</v>
      </c>
      <c r="K70" s="4">
        <v>46177</v>
      </c>
      <c r="L70" s="30">
        <v>0.25347222222222221</v>
      </c>
    </row>
    <row r="71" spans="1:12" x14ac:dyDescent="0.3">
      <c r="A71" s="25">
        <v>850088</v>
      </c>
      <c r="B71" s="1" t="s">
        <v>214</v>
      </c>
      <c r="C71" s="1" t="s">
        <v>1200</v>
      </c>
      <c r="D71" s="1" t="s">
        <v>212</v>
      </c>
      <c r="E71" s="1" t="s">
        <v>69</v>
      </c>
      <c r="F71" s="1" t="s">
        <v>1280</v>
      </c>
      <c r="G71" s="4">
        <v>46164</v>
      </c>
      <c r="H71" s="5">
        <v>0.93055555555555558</v>
      </c>
      <c r="I71" s="1" t="s">
        <v>72</v>
      </c>
      <c r="J71" s="1" t="s">
        <v>1281</v>
      </c>
      <c r="K71" s="4">
        <v>46177</v>
      </c>
      <c r="L71" s="30">
        <v>0.25347222222222221</v>
      </c>
    </row>
    <row r="72" spans="1:12" x14ac:dyDescent="0.3">
      <c r="A72" s="25">
        <v>741710</v>
      </c>
      <c r="B72" s="1" t="s">
        <v>214</v>
      </c>
      <c r="C72" s="1" t="s">
        <v>1191</v>
      </c>
      <c r="D72" s="1" t="s">
        <v>212</v>
      </c>
      <c r="E72" s="1" t="s">
        <v>57</v>
      </c>
      <c r="F72" s="1" t="s">
        <v>1280</v>
      </c>
      <c r="G72" s="4">
        <v>46163</v>
      </c>
      <c r="H72" s="5">
        <v>0.2361111111111111</v>
      </c>
      <c r="I72" s="1" t="s">
        <v>76</v>
      </c>
      <c r="J72" s="1" t="s">
        <v>1281</v>
      </c>
      <c r="K72" s="4">
        <v>46175</v>
      </c>
      <c r="L72" s="30">
        <v>0.93055555555555558</v>
      </c>
    </row>
    <row r="73" spans="1:12" x14ac:dyDescent="0.3">
      <c r="A73" s="25">
        <v>742863</v>
      </c>
      <c r="B73" s="1" t="s">
        <v>214</v>
      </c>
      <c r="C73" s="1" t="s">
        <v>1202</v>
      </c>
      <c r="D73" s="1" t="s">
        <v>212</v>
      </c>
      <c r="E73" s="1" t="s">
        <v>136</v>
      </c>
      <c r="F73" s="1" t="s">
        <v>1281</v>
      </c>
      <c r="G73" s="4">
        <v>46160</v>
      </c>
      <c r="H73" s="5">
        <v>0.1076388888888889</v>
      </c>
      <c r="I73" s="1" t="s">
        <v>71</v>
      </c>
      <c r="J73" s="1" t="s">
        <v>1280</v>
      </c>
      <c r="K73" s="4">
        <v>46172</v>
      </c>
      <c r="L73" s="30">
        <v>0.40972222222222221</v>
      </c>
    </row>
    <row r="74" spans="1:12" x14ac:dyDescent="0.3">
      <c r="A74" s="25">
        <v>390321</v>
      </c>
      <c r="B74" s="1" t="s">
        <v>214</v>
      </c>
      <c r="C74" s="1" t="s">
        <v>1191</v>
      </c>
      <c r="D74" s="1" t="s">
        <v>212</v>
      </c>
      <c r="E74" s="1" t="s">
        <v>57</v>
      </c>
      <c r="F74" s="1" t="s">
        <v>1280</v>
      </c>
      <c r="G74" s="4">
        <v>46163</v>
      </c>
      <c r="H74" s="5">
        <v>0.2361111111111111</v>
      </c>
      <c r="I74" s="1" t="s">
        <v>76</v>
      </c>
      <c r="J74" s="1" t="s">
        <v>1281</v>
      </c>
      <c r="K74" s="4">
        <v>46175</v>
      </c>
      <c r="L74" s="30">
        <v>0.93055555555555558</v>
      </c>
    </row>
    <row r="75" spans="1:12" x14ac:dyDescent="0.3">
      <c r="A75" s="25">
        <v>764275</v>
      </c>
      <c r="B75" s="1" t="s">
        <v>214</v>
      </c>
      <c r="C75" s="1" t="s">
        <v>1190</v>
      </c>
      <c r="D75" s="1" t="s">
        <v>212</v>
      </c>
      <c r="E75" s="1" t="s">
        <v>133</v>
      </c>
      <c r="F75" s="1" t="s">
        <v>1281</v>
      </c>
      <c r="G75" s="4">
        <v>46160</v>
      </c>
      <c r="H75" s="5">
        <v>0.3923611111111111</v>
      </c>
      <c r="I75" s="1" t="s">
        <v>60</v>
      </c>
      <c r="J75" s="1" t="s">
        <v>1280</v>
      </c>
      <c r="K75" s="4">
        <v>46173</v>
      </c>
      <c r="L75" s="30">
        <v>0.12847222222222221</v>
      </c>
    </row>
    <row r="76" spans="1:12" x14ac:dyDescent="0.3">
      <c r="A76" s="25">
        <v>611051</v>
      </c>
      <c r="B76" s="1" t="s">
        <v>214</v>
      </c>
      <c r="C76" s="1" t="s">
        <v>1202</v>
      </c>
      <c r="D76" s="1" t="s">
        <v>212</v>
      </c>
      <c r="E76" s="1" t="s">
        <v>136</v>
      </c>
      <c r="F76" s="1" t="s">
        <v>1281</v>
      </c>
      <c r="G76" s="4">
        <v>46160</v>
      </c>
      <c r="H76" s="5">
        <v>0.1076388888888889</v>
      </c>
      <c r="I76" s="1" t="s">
        <v>71</v>
      </c>
      <c r="J76" s="1" t="s">
        <v>1280</v>
      </c>
      <c r="K76" s="4">
        <v>46172</v>
      </c>
      <c r="L76" s="30">
        <v>0.40972222222222221</v>
      </c>
    </row>
    <row r="77" spans="1:12" x14ac:dyDescent="0.3">
      <c r="A77" s="25">
        <v>489480</v>
      </c>
      <c r="B77" s="1" t="s">
        <v>214</v>
      </c>
      <c r="C77" s="1" t="s">
        <v>1207</v>
      </c>
      <c r="D77" s="1" t="s">
        <v>212</v>
      </c>
      <c r="E77" s="1" t="s">
        <v>135</v>
      </c>
      <c r="F77" s="1" t="s">
        <v>1281</v>
      </c>
      <c r="G77" s="4">
        <v>46160</v>
      </c>
      <c r="H77" s="5">
        <v>0.89236111111111116</v>
      </c>
      <c r="I77" s="1" t="s">
        <v>68</v>
      </c>
      <c r="J77" s="1" t="s">
        <v>1280</v>
      </c>
      <c r="K77" s="4">
        <v>46172</v>
      </c>
      <c r="L77" s="30">
        <v>0.38541666666666669</v>
      </c>
    </row>
    <row r="78" spans="1:12" x14ac:dyDescent="0.3">
      <c r="A78" s="25">
        <v>715702</v>
      </c>
      <c r="B78" s="1" t="s">
        <v>214</v>
      </c>
      <c r="C78" s="1" t="s">
        <v>1207</v>
      </c>
      <c r="D78" s="1" t="s">
        <v>212</v>
      </c>
      <c r="E78" s="1" t="s">
        <v>135</v>
      </c>
      <c r="F78" s="1" t="s">
        <v>1281</v>
      </c>
      <c r="G78" s="4">
        <v>46160</v>
      </c>
      <c r="H78" s="5">
        <v>0.89236111111111116</v>
      </c>
      <c r="I78" s="1" t="s">
        <v>68</v>
      </c>
      <c r="J78" s="1" t="s">
        <v>1280</v>
      </c>
      <c r="K78" s="4">
        <v>46172</v>
      </c>
      <c r="L78" s="30">
        <v>0.38541666666666669</v>
      </c>
    </row>
    <row r="79" spans="1:12" x14ac:dyDescent="0.3">
      <c r="A79" s="25">
        <v>138400</v>
      </c>
      <c r="B79" s="1" t="s">
        <v>214</v>
      </c>
      <c r="C79" s="1" t="s">
        <v>1190</v>
      </c>
      <c r="D79" s="1" t="s">
        <v>212</v>
      </c>
      <c r="E79" s="1" t="s">
        <v>133</v>
      </c>
      <c r="F79" s="1" t="s">
        <v>1281</v>
      </c>
      <c r="G79" s="4">
        <v>46160</v>
      </c>
      <c r="H79" s="5">
        <v>0.3923611111111111</v>
      </c>
      <c r="I79" s="1" t="s">
        <v>60</v>
      </c>
      <c r="J79" s="1" t="s">
        <v>1280</v>
      </c>
      <c r="K79" s="4">
        <v>46173</v>
      </c>
      <c r="L79" s="30">
        <v>0.12847222222222221</v>
      </c>
    </row>
    <row r="80" spans="1:12" x14ac:dyDescent="0.3">
      <c r="A80" s="25">
        <v>753896</v>
      </c>
      <c r="B80" s="1" t="s">
        <v>214</v>
      </c>
      <c r="C80" s="1" t="s">
        <v>1190</v>
      </c>
      <c r="D80" s="1" t="s">
        <v>212</v>
      </c>
      <c r="E80" s="1" t="s">
        <v>133</v>
      </c>
      <c r="F80" s="1" t="s">
        <v>1281</v>
      </c>
      <c r="G80" s="4">
        <v>46160</v>
      </c>
      <c r="H80" s="5">
        <v>0.3923611111111111</v>
      </c>
      <c r="I80" s="1" t="s">
        <v>60</v>
      </c>
      <c r="J80" s="1" t="s">
        <v>1280</v>
      </c>
      <c r="K80" s="4">
        <v>46173</v>
      </c>
      <c r="L80" s="30">
        <v>0.12847222222222221</v>
      </c>
    </row>
    <row r="81" spans="1:12" x14ac:dyDescent="0.3">
      <c r="A81" s="25">
        <v>754448</v>
      </c>
      <c r="B81" s="1" t="s">
        <v>214</v>
      </c>
      <c r="C81" s="1" t="s">
        <v>1190</v>
      </c>
      <c r="D81" s="1" t="s">
        <v>212</v>
      </c>
      <c r="E81" s="1" t="s">
        <v>133</v>
      </c>
      <c r="F81" s="1" t="s">
        <v>1281</v>
      </c>
      <c r="G81" s="4">
        <v>46160</v>
      </c>
      <c r="H81" s="5">
        <v>0.3923611111111111</v>
      </c>
      <c r="I81" s="1" t="s">
        <v>60</v>
      </c>
      <c r="J81" s="1" t="s">
        <v>1280</v>
      </c>
      <c r="K81" s="4">
        <v>46173</v>
      </c>
      <c r="L81" s="30">
        <v>0.12847222222222221</v>
      </c>
    </row>
    <row r="82" spans="1:12" x14ac:dyDescent="0.3">
      <c r="A82" s="25">
        <v>755596</v>
      </c>
      <c r="B82" s="1" t="s">
        <v>214</v>
      </c>
      <c r="C82" s="1" t="s">
        <v>1190</v>
      </c>
      <c r="D82" s="1" t="s">
        <v>212</v>
      </c>
      <c r="E82" s="1" t="s">
        <v>133</v>
      </c>
      <c r="F82" s="1" t="s">
        <v>1281</v>
      </c>
      <c r="G82" s="4">
        <v>46160</v>
      </c>
      <c r="H82" s="5">
        <v>0.3923611111111111</v>
      </c>
      <c r="I82" s="1" t="s">
        <v>60</v>
      </c>
      <c r="J82" s="1" t="s">
        <v>1280</v>
      </c>
      <c r="K82" s="4">
        <v>46173</v>
      </c>
      <c r="L82" s="30">
        <v>0.12847222222222221</v>
      </c>
    </row>
    <row r="83" spans="1:12" x14ac:dyDescent="0.3">
      <c r="A83" s="25">
        <v>663326</v>
      </c>
      <c r="B83" s="1" t="s">
        <v>214</v>
      </c>
      <c r="C83" s="1" t="s">
        <v>1202</v>
      </c>
      <c r="D83" s="1" t="s">
        <v>212</v>
      </c>
      <c r="E83" s="1" t="s">
        <v>136</v>
      </c>
      <c r="F83" s="1" t="s">
        <v>1281</v>
      </c>
      <c r="G83" s="4">
        <v>46160</v>
      </c>
      <c r="H83" s="5">
        <v>0.1076388888888889</v>
      </c>
      <c r="I83" s="1" t="s">
        <v>71</v>
      </c>
      <c r="J83" s="1" t="s">
        <v>1280</v>
      </c>
      <c r="K83" s="4">
        <v>46172</v>
      </c>
      <c r="L83" s="30">
        <v>0.40972222222222221</v>
      </c>
    </row>
    <row r="84" spans="1:12" x14ac:dyDescent="0.3">
      <c r="A84" s="25">
        <v>663631</v>
      </c>
      <c r="B84" s="1" t="s">
        <v>214</v>
      </c>
      <c r="C84" s="1" t="s">
        <v>1202</v>
      </c>
      <c r="D84" s="1" t="s">
        <v>212</v>
      </c>
      <c r="E84" s="1" t="s">
        <v>136</v>
      </c>
      <c r="F84" s="1" t="s">
        <v>1281</v>
      </c>
      <c r="G84" s="4">
        <v>46160</v>
      </c>
      <c r="H84" s="5">
        <v>0.1076388888888889</v>
      </c>
      <c r="I84" s="1" t="s">
        <v>71</v>
      </c>
      <c r="J84" s="1" t="s">
        <v>1280</v>
      </c>
      <c r="K84" s="4">
        <v>46172</v>
      </c>
      <c r="L84" s="30">
        <v>0.40972222222222221</v>
      </c>
    </row>
    <row r="85" spans="1:12" x14ac:dyDescent="0.3">
      <c r="A85" s="25">
        <v>674924</v>
      </c>
      <c r="B85" s="1" t="s">
        <v>214</v>
      </c>
      <c r="C85" s="1" t="s">
        <v>1202</v>
      </c>
      <c r="D85" s="1" t="s">
        <v>212</v>
      </c>
      <c r="E85" s="1" t="s">
        <v>136</v>
      </c>
      <c r="F85" s="1" t="s">
        <v>1281</v>
      </c>
      <c r="G85" s="4">
        <v>46160</v>
      </c>
      <c r="H85" s="5">
        <v>0.1076388888888889</v>
      </c>
      <c r="I85" s="1" t="s">
        <v>71</v>
      </c>
      <c r="J85" s="1" t="s">
        <v>1280</v>
      </c>
      <c r="K85" s="4">
        <v>46172</v>
      </c>
      <c r="L85" s="30">
        <v>0.40972222222222221</v>
      </c>
    </row>
    <row r="86" spans="1:12" x14ac:dyDescent="0.3">
      <c r="A86" s="25">
        <v>819297</v>
      </c>
      <c r="B86" s="1" t="s">
        <v>214</v>
      </c>
      <c r="C86" s="1" t="s">
        <v>1190</v>
      </c>
      <c r="D86" s="1" t="s">
        <v>212</v>
      </c>
      <c r="E86" s="1" t="s">
        <v>133</v>
      </c>
      <c r="F86" s="1" t="s">
        <v>1281</v>
      </c>
      <c r="G86" s="4">
        <v>46160</v>
      </c>
      <c r="H86" s="5">
        <v>0.3923611111111111</v>
      </c>
      <c r="I86" s="1" t="s">
        <v>60</v>
      </c>
      <c r="J86" s="1" t="s">
        <v>1280</v>
      </c>
      <c r="K86" s="4">
        <v>46173</v>
      </c>
      <c r="L86" s="30">
        <v>0.12847222222222221</v>
      </c>
    </row>
    <row r="87" spans="1:12" x14ac:dyDescent="0.3">
      <c r="A87" s="25">
        <v>831289</v>
      </c>
      <c r="B87" s="1" t="s">
        <v>214</v>
      </c>
      <c r="C87" s="1" t="s">
        <v>1190</v>
      </c>
      <c r="D87" s="1" t="s">
        <v>212</v>
      </c>
      <c r="E87" s="1" t="s">
        <v>133</v>
      </c>
      <c r="F87" s="1" t="s">
        <v>1281</v>
      </c>
      <c r="G87" s="4">
        <v>46160</v>
      </c>
      <c r="H87" s="5">
        <v>0.3923611111111111</v>
      </c>
      <c r="I87" s="1" t="s">
        <v>60</v>
      </c>
      <c r="J87" s="1" t="s">
        <v>1280</v>
      </c>
      <c r="K87" s="4">
        <v>46173</v>
      </c>
      <c r="L87" s="30">
        <v>0.12847222222222221</v>
      </c>
    </row>
    <row r="88" spans="1:12" x14ac:dyDescent="0.3">
      <c r="A88" s="25">
        <v>341071</v>
      </c>
      <c r="B88" s="1" t="s">
        <v>214</v>
      </c>
      <c r="C88" s="1" t="s">
        <v>1196</v>
      </c>
      <c r="D88" s="1" t="s">
        <v>212</v>
      </c>
      <c r="E88" s="1" t="s">
        <v>61</v>
      </c>
      <c r="F88" s="1" t="s">
        <v>1280</v>
      </c>
      <c r="G88" s="4">
        <v>46164</v>
      </c>
      <c r="H88" s="5">
        <v>0.57986111111111116</v>
      </c>
      <c r="I88" s="1" t="s">
        <v>72</v>
      </c>
      <c r="J88" s="1" t="s">
        <v>1281</v>
      </c>
      <c r="K88" s="4">
        <v>46172</v>
      </c>
      <c r="L88" s="30">
        <v>0.25347222222222221</v>
      </c>
    </row>
    <row r="89" spans="1:12" x14ac:dyDescent="0.3">
      <c r="A89" s="25">
        <v>663772</v>
      </c>
      <c r="B89" s="1" t="s">
        <v>214</v>
      </c>
      <c r="C89" s="1" t="s">
        <v>1196</v>
      </c>
      <c r="D89" s="1" t="s">
        <v>212</v>
      </c>
      <c r="E89" s="1" t="s">
        <v>61</v>
      </c>
      <c r="F89" s="1" t="s">
        <v>1280</v>
      </c>
      <c r="G89" s="4">
        <v>46164</v>
      </c>
      <c r="H89" s="5">
        <v>0.57986111111111116</v>
      </c>
      <c r="I89" s="1" t="s">
        <v>72</v>
      </c>
      <c r="J89" s="1" t="s">
        <v>1281</v>
      </c>
      <c r="K89" s="4">
        <v>46172</v>
      </c>
      <c r="L89" s="30">
        <v>0.25347222222222221</v>
      </c>
    </row>
    <row r="90" spans="1:12" x14ac:dyDescent="0.3">
      <c r="A90" s="25">
        <v>666589</v>
      </c>
      <c r="B90" s="1" t="s">
        <v>214</v>
      </c>
      <c r="C90" s="1" t="s">
        <v>1196</v>
      </c>
      <c r="D90" s="1" t="s">
        <v>212</v>
      </c>
      <c r="E90" s="1" t="s">
        <v>61</v>
      </c>
      <c r="F90" s="1" t="s">
        <v>1280</v>
      </c>
      <c r="G90" s="4">
        <v>46164</v>
      </c>
      <c r="H90" s="5">
        <v>0.57986111111111116</v>
      </c>
      <c r="I90" s="1" t="s">
        <v>72</v>
      </c>
      <c r="J90" s="1" t="s">
        <v>1281</v>
      </c>
      <c r="K90" s="4">
        <v>46172</v>
      </c>
      <c r="L90" s="30">
        <v>0.25347222222222221</v>
      </c>
    </row>
    <row r="91" spans="1:12" x14ac:dyDescent="0.3">
      <c r="A91" s="25">
        <v>715161</v>
      </c>
      <c r="B91" s="1" t="s">
        <v>214</v>
      </c>
      <c r="C91" s="1" t="s">
        <v>1191</v>
      </c>
      <c r="D91" s="1" t="s">
        <v>212</v>
      </c>
      <c r="E91" s="1" t="s">
        <v>57</v>
      </c>
      <c r="F91" s="1" t="s">
        <v>1280</v>
      </c>
      <c r="G91" s="4">
        <v>46163</v>
      </c>
      <c r="H91" s="5">
        <v>0.2361111111111111</v>
      </c>
      <c r="I91" s="1" t="s">
        <v>76</v>
      </c>
      <c r="J91" s="1" t="s">
        <v>1281</v>
      </c>
      <c r="K91" s="4">
        <v>46175</v>
      </c>
      <c r="L91" s="30">
        <v>0.93055555555555558</v>
      </c>
    </row>
    <row r="92" spans="1:12" x14ac:dyDescent="0.3">
      <c r="A92" s="25">
        <v>716055</v>
      </c>
      <c r="B92" s="1" t="s">
        <v>214</v>
      </c>
      <c r="C92" s="1" t="s">
        <v>1191</v>
      </c>
      <c r="D92" s="1" t="s">
        <v>212</v>
      </c>
      <c r="E92" s="1" t="s">
        <v>57</v>
      </c>
      <c r="F92" s="1" t="s">
        <v>1280</v>
      </c>
      <c r="G92" s="4">
        <v>46163</v>
      </c>
      <c r="H92" s="5">
        <v>0.2361111111111111</v>
      </c>
      <c r="I92" s="1" t="s">
        <v>76</v>
      </c>
      <c r="J92" s="1" t="s">
        <v>1281</v>
      </c>
      <c r="K92" s="4">
        <v>46175</v>
      </c>
      <c r="L92" s="30">
        <v>0.93055555555555558</v>
      </c>
    </row>
    <row r="93" spans="1:12" x14ac:dyDescent="0.3">
      <c r="A93" s="25">
        <v>454528</v>
      </c>
      <c r="B93" s="1" t="s">
        <v>214</v>
      </c>
      <c r="C93" s="1" t="s">
        <v>1193</v>
      </c>
      <c r="D93" s="1" t="s">
        <v>212</v>
      </c>
      <c r="E93" s="1" t="s">
        <v>134</v>
      </c>
      <c r="F93" s="1" t="s">
        <v>1281</v>
      </c>
      <c r="G93" s="4">
        <v>46160</v>
      </c>
      <c r="H93" s="5">
        <v>0.73958333333333337</v>
      </c>
      <c r="I93" s="1" t="s">
        <v>63</v>
      </c>
      <c r="J93" s="1" t="s">
        <v>1280</v>
      </c>
      <c r="K93" s="4">
        <v>46172</v>
      </c>
      <c r="L93" s="30">
        <v>0.35069444444444442</v>
      </c>
    </row>
    <row r="94" spans="1:12" x14ac:dyDescent="0.3">
      <c r="A94" s="25">
        <v>454596</v>
      </c>
      <c r="B94" s="1" t="s">
        <v>214</v>
      </c>
      <c r="C94" s="1" t="s">
        <v>1193</v>
      </c>
      <c r="D94" s="1" t="s">
        <v>212</v>
      </c>
      <c r="E94" s="1" t="s">
        <v>134</v>
      </c>
      <c r="F94" s="1" t="s">
        <v>1281</v>
      </c>
      <c r="G94" s="4">
        <v>46160</v>
      </c>
      <c r="H94" s="5">
        <v>0.73958333333333337</v>
      </c>
      <c r="I94" s="1" t="s">
        <v>63</v>
      </c>
      <c r="J94" s="1" t="s">
        <v>1280</v>
      </c>
      <c r="K94" s="4">
        <v>46172</v>
      </c>
      <c r="L94" s="30">
        <v>0.35069444444444442</v>
      </c>
    </row>
    <row r="95" spans="1:12" x14ac:dyDescent="0.3">
      <c r="A95" s="25">
        <v>704176</v>
      </c>
      <c r="B95" s="1" t="s">
        <v>214</v>
      </c>
      <c r="C95" s="1" t="s">
        <v>1209</v>
      </c>
      <c r="D95" s="1" t="s">
        <v>212</v>
      </c>
      <c r="E95" s="1" t="s">
        <v>134</v>
      </c>
      <c r="F95" s="1" t="s">
        <v>1281</v>
      </c>
      <c r="G95" s="4">
        <v>46160</v>
      </c>
      <c r="H95" s="5">
        <v>0.73958333333333337</v>
      </c>
      <c r="I95" s="1" t="s">
        <v>68</v>
      </c>
      <c r="J95" s="1" t="s">
        <v>1280</v>
      </c>
      <c r="K95" s="4">
        <v>46172</v>
      </c>
      <c r="L95" s="30">
        <v>0.38541666666666669</v>
      </c>
    </row>
    <row r="96" spans="1:12" x14ac:dyDescent="0.3">
      <c r="A96" s="25">
        <v>705685</v>
      </c>
      <c r="B96" s="1" t="s">
        <v>214</v>
      </c>
      <c r="C96" s="1" t="s">
        <v>1209</v>
      </c>
      <c r="D96" s="1" t="s">
        <v>212</v>
      </c>
      <c r="E96" s="1" t="s">
        <v>134</v>
      </c>
      <c r="F96" s="1" t="s">
        <v>1281</v>
      </c>
      <c r="G96" s="4">
        <v>46160</v>
      </c>
      <c r="H96" s="5">
        <v>0.73958333333333337</v>
      </c>
      <c r="I96" s="1" t="s">
        <v>68</v>
      </c>
      <c r="J96" s="1" t="s">
        <v>1280</v>
      </c>
      <c r="K96" s="4">
        <v>46172</v>
      </c>
      <c r="L96" s="30">
        <v>0.38541666666666669</v>
      </c>
    </row>
    <row r="97" spans="1:12" x14ac:dyDescent="0.3">
      <c r="A97" s="25">
        <v>93892</v>
      </c>
      <c r="B97" s="1" t="s">
        <v>214</v>
      </c>
      <c r="C97" s="1" t="s">
        <v>1190</v>
      </c>
      <c r="D97" s="1" t="s">
        <v>212</v>
      </c>
      <c r="E97" s="1" t="s">
        <v>133</v>
      </c>
      <c r="F97" s="1" t="s">
        <v>1281</v>
      </c>
      <c r="G97" s="4">
        <v>46160</v>
      </c>
      <c r="H97" s="5">
        <v>0.3923611111111111</v>
      </c>
      <c r="I97" s="1" t="s">
        <v>60</v>
      </c>
      <c r="J97" s="1" t="s">
        <v>1280</v>
      </c>
      <c r="K97" s="4">
        <v>46173</v>
      </c>
      <c r="L97" s="30">
        <v>0.12847222222222221</v>
      </c>
    </row>
    <row r="98" spans="1:12" x14ac:dyDescent="0.3">
      <c r="A98" s="25">
        <v>165900</v>
      </c>
      <c r="B98" s="1" t="s">
        <v>214</v>
      </c>
      <c r="C98" s="1" t="s">
        <v>1201</v>
      </c>
      <c r="D98" s="1" t="s">
        <v>212</v>
      </c>
      <c r="E98" s="1" t="s">
        <v>69</v>
      </c>
      <c r="F98" s="1" t="s">
        <v>1280</v>
      </c>
      <c r="G98" s="4">
        <v>46164</v>
      </c>
      <c r="H98" s="5">
        <v>0.93055555555555558</v>
      </c>
      <c r="I98" s="1" t="s">
        <v>73</v>
      </c>
      <c r="J98" s="1" t="s">
        <v>1281</v>
      </c>
      <c r="K98" s="4">
        <v>46177</v>
      </c>
      <c r="L98" s="30">
        <v>0.14930555555555555</v>
      </c>
    </row>
    <row r="99" spans="1:12" x14ac:dyDescent="0.3">
      <c r="A99" s="25">
        <v>608955</v>
      </c>
      <c r="B99" s="1" t="s">
        <v>214</v>
      </c>
      <c r="C99" s="1" t="s">
        <v>1196</v>
      </c>
      <c r="D99" s="1" t="s">
        <v>212</v>
      </c>
      <c r="E99" s="1" t="s">
        <v>61</v>
      </c>
      <c r="F99" s="1" t="s">
        <v>1280</v>
      </c>
      <c r="G99" s="4">
        <v>46164</v>
      </c>
      <c r="H99" s="5">
        <v>0.57986111111111116</v>
      </c>
      <c r="I99" s="1" t="s">
        <v>72</v>
      </c>
      <c r="J99" s="1" t="s">
        <v>1281</v>
      </c>
      <c r="K99" s="4">
        <v>46172</v>
      </c>
      <c r="L99" s="30">
        <v>0.25347222222222221</v>
      </c>
    </row>
    <row r="100" spans="1:12" x14ac:dyDescent="0.3">
      <c r="A100" s="25">
        <v>24287</v>
      </c>
      <c r="B100" s="1" t="s">
        <v>214</v>
      </c>
      <c r="C100" s="1" t="s">
        <v>1194</v>
      </c>
      <c r="D100" s="1" t="s">
        <v>212</v>
      </c>
      <c r="E100" s="1" t="s">
        <v>137</v>
      </c>
      <c r="F100" s="1" t="s">
        <v>1281</v>
      </c>
      <c r="G100" s="4">
        <v>46161</v>
      </c>
      <c r="H100" s="5">
        <v>0.87847222222222221</v>
      </c>
      <c r="I100" s="1" t="s">
        <v>63</v>
      </c>
      <c r="J100" s="1" t="s">
        <v>1280</v>
      </c>
      <c r="K100" s="4">
        <v>46173</v>
      </c>
      <c r="L100" s="30">
        <v>0.3923611111111111</v>
      </c>
    </row>
    <row r="101" spans="1:12" x14ac:dyDescent="0.3">
      <c r="A101" s="25">
        <v>24639</v>
      </c>
      <c r="B101" s="1" t="s">
        <v>214</v>
      </c>
      <c r="C101" s="1" t="s">
        <v>1194</v>
      </c>
      <c r="D101" s="1" t="s">
        <v>212</v>
      </c>
      <c r="E101" s="1" t="s">
        <v>137</v>
      </c>
      <c r="F101" s="1" t="s">
        <v>1281</v>
      </c>
      <c r="G101" s="4">
        <v>46161</v>
      </c>
      <c r="H101" s="5">
        <v>0.87847222222222221</v>
      </c>
      <c r="I101" s="1" t="s">
        <v>63</v>
      </c>
      <c r="J101" s="1" t="s">
        <v>1280</v>
      </c>
      <c r="K101" s="4">
        <v>46173</v>
      </c>
      <c r="L101" s="30">
        <v>0.3923611111111111</v>
      </c>
    </row>
    <row r="102" spans="1:12" x14ac:dyDescent="0.3">
      <c r="A102" s="25">
        <v>43918</v>
      </c>
      <c r="B102" s="1" t="s">
        <v>214</v>
      </c>
      <c r="C102" s="1" t="s">
        <v>1193</v>
      </c>
      <c r="D102" s="1" t="s">
        <v>212</v>
      </c>
      <c r="E102" s="1" t="s">
        <v>134</v>
      </c>
      <c r="F102" s="1" t="s">
        <v>1281</v>
      </c>
      <c r="G102" s="4">
        <v>46160</v>
      </c>
      <c r="H102" s="5">
        <v>0.73958333333333337</v>
      </c>
      <c r="I102" s="1" t="s">
        <v>63</v>
      </c>
      <c r="J102" s="1" t="s">
        <v>1280</v>
      </c>
      <c r="K102" s="4">
        <v>46172</v>
      </c>
      <c r="L102" s="30">
        <v>0.35069444444444442</v>
      </c>
    </row>
    <row r="103" spans="1:12" x14ac:dyDescent="0.3">
      <c r="A103" s="25">
        <v>49654</v>
      </c>
      <c r="B103" s="1" t="s">
        <v>214</v>
      </c>
      <c r="C103" s="1" t="s">
        <v>1194</v>
      </c>
      <c r="D103" s="1" t="s">
        <v>212</v>
      </c>
      <c r="E103" s="1" t="s">
        <v>137</v>
      </c>
      <c r="F103" s="1" t="s">
        <v>1281</v>
      </c>
      <c r="G103" s="4">
        <v>46161</v>
      </c>
      <c r="H103" s="5">
        <v>0.87847222222222221</v>
      </c>
      <c r="I103" s="1" t="s">
        <v>63</v>
      </c>
      <c r="J103" s="1" t="s">
        <v>1280</v>
      </c>
      <c r="K103" s="4">
        <v>46173</v>
      </c>
      <c r="L103" s="30">
        <v>0.3923611111111111</v>
      </c>
    </row>
    <row r="104" spans="1:12" x14ac:dyDescent="0.3">
      <c r="A104" s="25">
        <v>70686</v>
      </c>
      <c r="B104" s="1" t="s">
        <v>214</v>
      </c>
      <c r="C104" s="1" t="s">
        <v>1193</v>
      </c>
      <c r="D104" s="1" t="s">
        <v>212</v>
      </c>
      <c r="E104" s="1" t="s">
        <v>134</v>
      </c>
      <c r="F104" s="1" t="s">
        <v>1281</v>
      </c>
      <c r="G104" s="4">
        <v>46160</v>
      </c>
      <c r="H104" s="5">
        <v>0.73958333333333337</v>
      </c>
      <c r="I104" s="1" t="s">
        <v>63</v>
      </c>
      <c r="J104" s="1" t="s">
        <v>1280</v>
      </c>
      <c r="K104" s="4">
        <v>46172</v>
      </c>
      <c r="L104" s="30">
        <v>0.35069444444444442</v>
      </c>
    </row>
    <row r="105" spans="1:12" x14ac:dyDescent="0.3">
      <c r="A105" s="25">
        <v>540096</v>
      </c>
      <c r="B105" s="1" t="s">
        <v>214</v>
      </c>
      <c r="C105" s="1" t="s">
        <v>1190</v>
      </c>
      <c r="D105" s="1" t="s">
        <v>212</v>
      </c>
      <c r="E105" s="1" t="s">
        <v>133</v>
      </c>
      <c r="F105" s="1" t="s">
        <v>1281</v>
      </c>
      <c r="G105" s="4">
        <v>46160</v>
      </c>
      <c r="H105" s="5">
        <v>0.3923611111111111</v>
      </c>
      <c r="I105" s="1" t="s">
        <v>60</v>
      </c>
      <c r="J105" s="1" t="s">
        <v>1280</v>
      </c>
      <c r="K105" s="4">
        <v>46173</v>
      </c>
      <c r="L105" s="30">
        <v>0.12847222222222221</v>
      </c>
    </row>
    <row r="106" spans="1:12" x14ac:dyDescent="0.3">
      <c r="A106" s="25">
        <v>336076</v>
      </c>
      <c r="B106" s="1" t="s">
        <v>214</v>
      </c>
      <c r="C106" s="1" t="s">
        <v>1200</v>
      </c>
      <c r="D106" s="1" t="s">
        <v>212</v>
      </c>
      <c r="E106" s="1" t="s">
        <v>69</v>
      </c>
      <c r="F106" s="1" t="s">
        <v>1280</v>
      </c>
      <c r="G106" s="4">
        <v>46164</v>
      </c>
      <c r="H106" s="5">
        <v>0.93055555555555558</v>
      </c>
      <c r="I106" s="1" t="s">
        <v>72</v>
      </c>
      <c r="J106" s="1" t="s">
        <v>1281</v>
      </c>
      <c r="K106" s="4">
        <v>46177</v>
      </c>
      <c r="L106" s="30">
        <v>0.25347222222222221</v>
      </c>
    </row>
    <row r="107" spans="1:12" x14ac:dyDescent="0.3">
      <c r="A107" s="25">
        <v>336099</v>
      </c>
      <c r="B107" s="1" t="s">
        <v>214</v>
      </c>
      <c r="C107" s="1" t="s">
        <v>1200</v>
      </c>
      <c r="D107" s="1" t="s">
        <v>212</v>
      </c>
      <c r="E107" s="1" t="s">
        <v>69</v>
      </c>
      <c r="F107" s="1" t="s">
        <v>1280</v>
      </c>
      <c r="G107" s="4">
        <v>46164</v>
      </c>
      <c r="H107" s="5">
        <v>0.93055555555555558</v>
      </c>
      <c r="I107" s="1" t="s">
        <v>72</v>
      </c>
      <c r="J107" s="1" t="s">
        <v>1281</v>
      </c>
      <c r="K107" s="4">
        <v>46177</v>
      </c>
      <c r="L107" s="30">
        <v>0.25347222222222221</v>
      </c>
    </row>
    <row r="108" spans="1:12" x14ac:dyDescent="0.3">
      <c r="A108" s="25">
        <v>343231</v>
      </c>
      <c r="B108" s="1" t="s">
        <v>214</v>
      </c>
      <c r="C108" s="1" t="s">
        <v>1200</v>
      </c>
      <c r="D108" s="1" t="s">
        <v>212</v>
      </c>
      <c r="E108" s="1" t="s">
        <v>69</v>
      </c>
      <c r="F108" s="1" t="s">
        <v>1280</v>
      </c>
      <c r="G108" s="4">
        <v>46164</v>
      </c>
      <c r="H108" s="5">
        <v>0.93055555555555558</v>
      </c>
      <c r="I108" s="1" t="s">
        <v>72</v>
      </c>
      <c r="J108" s="1" t="s">
        <v>1281</v>
      </c>
      <c r="K108" s="4">
        <v>46177</v>
      </c>
      <c r="L108" s="30">
        <v>0.25347222222222221</v>
      </c>
    </row>
    <row r="109" spans="1:12" x14ac:dyDescent="0.3">
      <c r="A109" s="25">
        <v>343239</v>
      </c>
      <c r="B109" s="1" t="s">
        <v>214</v>
      </c>
      <c r="C109" s="1" t="s">
        <v>1200</v>
      </c>
      <c r="D109" s="1" t="s">
        <v>212</v>
      </c>
      <c r="E109" s="1" t="s">
        <v>69</v>
      </c>
      <c r="F109" s="1" t="s">
        <v>1280</v>
      </c>
      <c r="G109" s="4">
        <v>46164</v>
      </c>
      <c r="H109" s="5">
        <v>0.93055555555555558</v>
      </c>
      <c r="I109" s="1" t="s">
        <v>72</v>
      </c>
      <c r="J109" s="1" t="s">
        <v>1281</v>
      </c>
      <c r="K109" s="4">
        <v>46177</v>
      </c>
      <c r="L109" s="30">
        <v>0.25347222222222221</v>
      </c>
    </row>
    <row r="110" spans="1:12" x14ac:dyDescent="0.3">
      <c r="A110" s="25">
        <v>68814</v>
      </c>
      <c r="B110" s="1" t="s">
        <v>214</v>
      </c>
      <c r="C110" s="1" t="s">
        <v>1207</v>
      </c>
      <c r="D110" s="1" t="s">
        <v>212</v>
      </c>
      <c r="E110" s="1" t="s">
        <v>135</v>
      </c>
      <c r="F110" s="1" t="s">
        <v>1281</v>
      </c>
      <c r="G110" s="4">
        <v>46160</v>
      </c>
      <c r="H110" s="5">
        <v>0.89236111111111116</v>
      </c>
      <c r="I110" s="1" t="s">
        <v>68</v>
      </c>
      <c r="J110" s="1" t="s">
        <v>1280</v>
      </c>
      <c r="K110" s="4">
        <v>46172</v>
      </c>
      <c r="L110" s="30">
        <v>0.38541666666666669</v>
      </c>
    </row>
    <row r="111" spans="1:12" x14ac:dyDescent="0.3">
      <c r="A111" s="25">
        <v>776328</v>
      </c>
      <c r="B111" s="1" t="s">
        <v>214</v>
      </c>
      <c r="C111" s="1" t="s">
        <v>1190</v>
      </c>
      <c r="D111" s="1" t="s">
        <v>212</v>
      </c>
      <c r="E111" s="1" t="s">
        <v>133</v>
      </c>
      <c r="F111" s="1" t="s">
        <v>1281</v>
      </c>
      <c r="G111" s="4">
        <v>46160</v>
      </c>
      <c r="H111" s="5">
        <v>0.3923611111111111</v>
      </c>
      <c r="I111" s="1" t="s">
        <v>60</v>
      </c>
      <c r="J111" s="1" t="s">
        <v>1280</v>
      </c>
      <c r="K111" s="4">
        <v>46173</v>
      </c>
      <c r="L111" s="30">
        <v>0.12847222222222221</v>
      </c>
    </row>
    <row r="112" spans="1:12" x14ac:dyDescent="0.3">
      <c r="A112" s="25">
        <v>788119</v>
      </c>
      <c r="B112" s="1" t="s">
        <v>214</v>
      </c>
      <c r="C112" s="1" t="s">
        <v>1190</v>
      </c>
      <c r="D112" s="1" t="s">
        <v>212</v>
      </c>
      <c r="E112" s="1" t="s">
        <v>133</v>
      </c>
      <c r="F112" s="1" t="s">
        <v>1281</v>
      </c>
      <c r="G112" s="4">
        <v>46160</v>
      </c>
      <c r="H112" s="5">
        <v>0.3923611111111111</v>
      </c>
      <c r="I112" s="1" t="s">
        <v>60</v>
      </c>
      <c r="J112" s="1" t="s">
        <v>1280</v>
      </c>
      <c r="K112" s="4">
        <v>46173</v>
      </c>
      <c r="L112" s="30">
        <v>0.12847222222222221</v>
      </c>
    </row>
    <row r="113" spans="1:12" x14ac:dyDescent="0.3">
      <c r="A113" s="25">
        <v>249563</v>
      </c>
      <c r="B113" s="1" t="s">
        <v>214</v>
      </c>
      <c r="C113" s="1" t="s">
        <v>1190</v>
      </c>
      <c r="D113" s="1" t="s">
        <v>212</v>
      </c>
      <c r="E113" s="1" t="s">
        <v>133</v>
      </c>
      <c r="F113" s="1" t="s">
        <v>1281</v>
      </c>
      <c r="G113" s="4">
        <v>46160</v>
      </c>
      <c r="H113" s="5">
        <v>0.3923611111111111</v>
      </c>
      <c r="I113" s="1" t="s">
        <v>60</v>
      </c>
      <c r="J113" s="1" t="s">
        <v>1280</v>
      </c>
      <c r="K113" s="4">
        <v>46173</v>
      </c>
      <c r="L113" s="30">
        <v>0.12847222222222221</v>
      </c>
    </row>
    <row r="114" spans="1:12" x14ac:dyDescent="0.3">
      <c r="A114" s="25">
        <v>808725</v>
      </c>
      <c r="B114" s="1" t="s">
        <v>214</v>
      </c>
      <c r="C114" s="1" t="s">
        <v>1190</v>
      </c>
      <c r="D114" s="1" t="s">
        <v>212</v>
      </c>
      <c r="E114" s="1" t="s">
        <v>133</v>
      </c>
      <c r="F114" s="1" t="s">
        <v>1281</v>
      </c>
      <c r="G114" s="4">
        <v>46160</v>
      </c>
      <c r="H114" s="5">
        <v>0.3923611111111111</v>
      </c>
      <c r="I114" s="1" t="s">
        <v>60</v>
      </c>
      <c r="J114" s="1" t="s">
        <v>1280</v>
      </c>
      <c r="K114" s="4">
        <v>46173</v>
      </c>
      <c r="L114" s="30">
        <v>0.12847222222222221</v>
      </c>
    </row>
    <row r="115" spans="1:12" x14ac:dyDescent="0.3">
      <c r="A115" s="25">
        <v>690923</v>
      </c>
      <c r="B115" s="1" t="s">
        <v>214</v>
      </c>
      <c r="C115" s="1" t="s">
        <v>1190</v>
      </c>
      <c r="D115" s="1" t="s">
        <v>212</v>
      </c>
      <c r="E115" s="1" t="s">
        <v>133</v>
      </c>
      <c r="F115" s="1" t="s">
        <v>1281</v>
      </c>
      <c r="G115" s="4">
        <v>46160</v>
      </c>
      <c r="H115" s="5">
        <v>0.3923611111111111</v>
      </c>
      <c r="I115" s="1" t="s">
        <v>60</v>
      </c>
      <c r="J115" s="1" t="s">
        <v>1280</v>
      </c>
      <c r="K115" s="4">
        <v>46173</v>
      </c>
      <c r="L115" s="30">
        <v>0.12847222222222221</v>
      </c>
    </row>
    <row r="116" spans="1:12" x14ac:dyDescent="0.3">
      <c r="A116" s="25">
        <v>518254</v>
      </c>
      <c r="B116" s="1" t="s">
        <v>214</v>
      </c>
      <c r="C116" s="1" t="s">
        <v>1190</v>
      </c>
      <c r="D116" s="1" t="s">
        <v>212</v>
      </c>
      <c r="E116" s="1" t="s">
        <v>133</v>
      </c>
      <c r="F116" s="1" t="s">
        <v>1281</v>
      </c>
      <c r="G116" s="4">
        <v>46160</v>
      </c>
      <c r="H116" s="5">
        <v>0.3923611111111111</v>
      </c>
      <c r="I116" s="1" t="s">
        <v>60</v>
      </c>
      <c r="J116" s="1" t="s">
        <v>1280</v>
      </c>
      <c r="K116" s="4">
        <v>46173</v>
      </c>
      <c r="L116" s="30">
        <v>0.12847222222222221</v>
      </c>
    </row>
    <row r="117" spans="1:12" x14ac:dyDescent="0.3">
      <c r="A117" s="25">
        <v>551328</v>
      </c>
      <c r="B117" s="1" t="s">
        <v>214</v>
      </c>
      <c r="C117" s="1" t="s">
        <v>1210</v>
      </c>
      <c r="D117" s="1" t="s">
        <v>212</v>
      </c>
      <c r="E117" s="1" t="s">
        <v>134</v>
      </c>
      <c r="F117" s="1" t="s">
        <v>1281</v>
      </c>
      <c r="G117" s="4">
        <v>46162</v>
      </c>
      <c r="H117" s="5">
        <v>0.73958333333333337</v>
      </c>
      <c r="I117" s="1" t="s">
        <v>68</v>
      </c>
      <c r="J117" s="1" t="s">
        <v>1280</v>
      </c>
      <c r="K117" s="4">
        <v>46173</v>
      </c>
      <c r="L117" s="30">
        <v>0.38541666666666669</v>
      </c>
    </row>
    <row r="118" spans="1:12" x14ac:dyDescent="0.3">
      <c r="A118" s="25">
        <v>742352</v>
      </c>
      <c r="B118" s="1" t="s">
        <v>214</v>
      </c>
      <c r="C118" s="1" t="s">
        <v>1210</v>
      </c>
      <c r="D118" s="1" t="s">
        <v>212</v>
      </c>
      <c r="E118" s="1" t="s">
        <v>134</v>
      </c>
      <c r="F118" s="1" t="s">
        <v>1281</v>
      </c>
      <c r="G118" s="4">
        <v>46162</v>
      </c>
      <c r="H118" s="5">
        <v>0.73958333333333337</v>
      </c>
      <c r="I118" s="1" t="s">
        <v>68</v>
      </c>
      <c r="J118" s="1" t="s">
        <v>1280</v>
      </c>
      <c r="K118" s="4">
        <v>46173</v>
      </c>
      <c r="L118" s="30">
        <v>0.38541666666666669</v>
      </c>
    </row>
    <row r="119" spans="1:12" x14ac:dyDescent="0.3">
      <c r="A119" s="25">
        <v>828152</v>
      </c>
      <c r="B119" s="1" t="s">
        <v>214</v>
      </c>
      <c r="C119" s="1" t="s">
        <v>1205</v>
      </c>
      <c r="D119" s="1" t="s">
        <v>212</v>
      </c>
      <c r="E119" s="1" t="s">
        <v>136</v>
      </c>
      <c r="F119" s="1" t="s">
        <v>1281</v>
      </c>
      <c r="G119" s="4">
        <v>46163</v>
      </c>
      <c r="H119" s="5">
        <v>0.1076388888888889</v>
      </c>
      <c r="I119" s="1" t="s">
        <v>1221</v>
      </c>
      <c r="J119" s="1" t="s">
        <v>1280</v>
      </c>
      <c r="K119" s="4">
        <v>46172</v>
      </c>
      <c r="L119" s="30">
        <v>0.34027777777777779</v>
      </c>
    </row>
    <row r="120" spans="1:12" x14ac:dyDescent="0.3">
      <c r="A120" s="25">
        <v>828258</v>
      </c>
      <c r="B120" s="1" t="s">
        <v>214</v>
      </c>
      <c r="C120" s="1" t="s">
        <v>1205</v>
      </c>
      <c r="D120" s="1" t="s">
        <v>212</v>
      </c>
      <c r="E120" s="1" t="s">
        <v>136</v>
      </c>
      <c r="F120" s="1" t="s">
        <v>1281</v>
      </c>
      <c r="G120" s="4">
        <v>46163</v>
      </c>
      <c r="H120" s="5">
        <v>0.1076388888888889</v>
      </c>
      <c r="I120" s="1" t="s">
        <v>1221</v>
      </c>
      <c r="J120" s="1" t="s">
        <v>1280</v>
      </c>
      <c r="K120" s="4">
        <v>46172</v>
      </c>
      <c r="L120" s="30">
        <v>0.34027777777777779</v>
      </c>
    </row>
    <row r="121" spans="1:12" x14ac:dyDescent="0.3">
      <c r="A121" s="25">
        <v>744903</v>
      </c>
      <c r="B121" s="1" t="s">
        <v>214</v>
      </c>
      <c r="C121" s="1" t="s">
        <v>1194</v>
      </c>
      <c r="D121" s="1" t="s">
        <v>212</v>
      </c>
      <c r="E121" s="1" t="s">
        <v>137</v>
      </c>
      <c r="F121" s="1" t="s">
        <v>1281</v>
      </c>
      <c r="G121" s="4">
        <v>46161</v>
      </c>
      <c r="H121" s="5">
        <v>0.87847222222222221</v>
      </c>
      <c r="I121" s="1" t="s">
        <v>63</v>
      </c>
      <c r="J121" s="1" t="s">
        <v>1280</v>
      </c>
      <c r="K121" s="4">
        <v>46173</v>
      </c>
      <c r="L121" s="30">
        <v>0.3923611111111111</v>
      </c>
    </row>
    <row r="122" spans="1:12" x14ac:dyDescent="0.3">
      <c r="A122" s="25">
        <v>744928</v>
      </c>
      <c r="B122" s="1" t="s">
        <v>214</v>
      </c>
      <c r="C122" s="1" t="s">
        <v>1194</v>
      </c>
      <c r="D122" s="1" t="s">
        <v>212</v>
      </c>
      <c r="E122" s="1" t="s">
        <v>137</v>
      </c>
      <c r="F122" s="1" t="s">
        <v>1281</v>
      </c>
      <c r="G122" s="4">
        <v>46161</v>
      </c>
      <c r="H122" s="5">
        <v>0.87847222222222221</v>
      </c>
      <c r="I122" s="1" t="s">
        <v>63</v>
      </c>
      <c r="J122" s="1" t="s">
        <v>1280</v>
      </c>
      <c r="K122" s="4">
        <v>46173</v>
      </c>
      <c r="L122" s="30">
        <v>0.3923611111111111</v>
      </c>
    </row>
    <row r="123" spans="1:12" x14ac:dyDescent="0.3">
      <c r="A123" s="25">
        <v>651738</v>
      </c>
      <c r="B123" s="1" t="s">
        <v>214</v>
      </c>
      <c r="C123" s="1" t="s">
        <v>1194</v>
      </c>
      <c r="D123" s="1" t="s">
        <v>212</v>
      </c>
      <c r="E123" s="1" t="s">
        <v>137</v>
      </c>
      <c r="F123" s="1" t="s">
        <v>1281</v>
      </c>
      <c r="G123" s="4">
        <v>46161</v>
      </c>
      <c r="H123" s="5">
        <v>0.87847222222222221</v>
      </c>
      <c r="I123" s="1" t="s">
        <v>63</v>
      </c>
      <c r="J123" s="1" t="s">
        <v>1280</v>
      </c>
      <c r="K123" s="4">
        <v>46173</v>
      </c>
      <c r="L123" s="30">
        <v>0.3923611111111111</v>
      </c>
    </row>
    <row r="124" spans="1:12" x14ac:dyDescent="0.3">
      <c r="A124" s="25">
        <v>669592</v>
      </c>
      <c r="B124" s="1" t="s">
        <v>214</v>
      </c>
      <c r="C124" s="1" t="s">
        <v>1194</v>
      </c>
      <c r="D124" s="1" t="s">
        <v>212</v>
      </c>
      <c r="E124" s="1" t="s">
        <v>137</v>
      </c>
      <c r="F124" s="1" t="s">
        <v>1281</v>
      </c>
      <c r="G124" s="4">
        <v>46161</v>
      </c>
      <c r="H124" s="5">
        <v>0.87847222222222221</v>
      </c>
      <c r="I124" s="1" t="s">
        <v>63</v>
      </c>
      <c r="J124" s="1" t="s">
        <v>1280</v>
      </c>
      <c r="K124" s="4">
        <v>46173</v>
      </c>
      <c r="L124" s="30">
        <v>0.3923611111111111</v>
      </c>
    </row>
    <row r="125" spans="1:12" x14ac:dyDescent="0.3">
      <c r="A125" s="25">
        <v>75637</v>
      </c>
      <c r="B125" s="1" t="s">
        <v>214</v>
      </c>
      <c r="C125" s="1" t="s">
        <v>1190</v>
      </c>
      <c r="D125" s="1" t="s">
        <v>212</v>
      </c>
      <c r="E125" s="1" t="s">
        <v>133</v>
      </c>
      <c r="F125" s="1" t="s">
        <v>1281</v>
      </c>
      <c r="G125" s="4">
        <v>46160</v>
      </c>
      <c r="H125" s="5">
        <v>0.3923611111111111</v>
      </c>
      <c r="I125" s="1" t="s">
        <v>60</v>
      </c>
      <c r="J125" s="1" t="s">
        <v>1280</v>
      </c>
      <c r="K125" s="4">
        <v>46173</v>
      </c>
      <c r="L125" s="30">
        <v>0.12847222222222221</v>
      </c>
    </row>
    <row r="126" spans="1:12" x14ac:dyDescent="0.3">
      <c r="A126" s="25">
        <v>361916</v>
      </c>
      <c r="B126" s="1" t="s">
        <v>214</v>
      </c>
      <c r="C126" s="1" t="s">
        <v>1190</v>
      </c>
      <c r="D126" s="1" t="s">
        <v>212</v>
      </c>
      <c r="E126" s="1" t="s">
        <v>133</v>
      </c>
      <c r="F126" s="1" t="s">
        <v>1281</v>
      </c>
      <c r="G126" s="4">
        <v>46160</v>
      </c>
      <c r="H126" s="5">
        <v>0.3923611111111111</v>
      </c>
      <c r="I126" s="1" t="s">
        <v>60</v>
      </c>
      <c r="J126" s="1" t="s">
        <v>1280</v>
      </c>
      <c r="K126" s="4">
        <v>46173</v>
      </c>
      <c r="L126" s="30">
        <v>0.12847222222222221</v>
      </c>
    </row>
    <row r="127" spans="1:12" x14ac:dyDescent="0.3">
      <c r="A127" s="25">
        <v>770888</v>
      </c>
      <c r="B127" s="1" t="s">
        <v>214</v>
      </c>
      <c r="C127" s="1" t="s">
        <v>1190</v>
      </c>
      <c r="D127" s="1" t="s">
        <v>212</v>
      </c>
      <c r="E127" s="1" t="s">
        <v>133</v>
      </c>
      <c r="F127" s="1" t="s">
        <v>1281</v>
      </c>
      <c r="G127" s="4">
        <v>46160</v>
      </c>
      <c r="H127" s="5">
        <v>0.3923611111111111</v>
      </c>
      <c r="I127" s="1" t="s">
        <v>60</v>
      </c>
      <c r="J127" s="1" t="s">
        <v>1280</v>
      </c>
      <c r="K127" s="4">
        <v>46173</v>
      </c>
      <c r="L127" s="30">
        <v>0.12847222222222221</v>
      </c>
    </row>
    <row r="128" spans="1:12" x14ac:dyDescent="0.3">
      <c r="A128" s="25">
        <v>771184</v>
      </c>
      <c r="B128" s="1" t="s">
        <v>214</v>
      </c>
      <c r="C128" s="1" t="s">
        <v>1190</v>
      </c>
      <c r="D128" s="1" t="s">
        <v>212</v>
      </c>
      <c r="E128" s="1" t="s">
        <v>133</v>
      </c>
      <c r="F128" s="1" t="s">
        <v>1281</v>
      </c>
      <c r="G128" s="4">
        <v>46160</v>
      </c>
      <c r="H128" s="5">
        <v>0.3923611111111111</v>
      </c>
      <c r="I128" s="1" t="s">
        <v>60</v>
      </c>
      <c r="J128" s="1" t="s">
        <v>1280</v>
      </c>
      <c r="K128" s="4">
        <v>46173</v>
      </c>
      <c r="L128" s="30">
        <v>0.12847222222222221</v>
      </c>
    </row>
    <row r="129" spans="1:12" x14ac:dyDescent="0.3">
      <c r="A129" s="25">
        <v>845500</v>
      </c>
      <c r="B129" s="1" t="s">
        <v>214</v>
      </c>
      <c r="C129" s="1" t="s">
        <v>1193</v>
      </c>
      <c r="D129" s="1" t="s">
        <v>212</v>
      </c>
      <c r="E129" s="1" t="s">
        <v>134</v>
      </c>
      <c r="F129" s="1" t="s">
        <v>1281</v>
      </c>
      <c r="G129" s="4">
        <v>46160</v>
      </c>
      <c r="H129" s="5">
        <v>0.73958333333333337</v>
      </c>
      <c r="I129" s="1" t="s">
        <v>63</v>
      </c>
      <c r="J129" s="1" t="s">
        <v>1280</v>
      </c>
      <c r="K129" s="4">
        <v>46172</v>
      </c>
      <c r="L129" s="30">
        <v>0.35069444444444442</v>
      </c>
    </row>
    <row r="130" spans="1:12" x14ac:dyDescent="0.3">
      <c r="A130" s="25">
        <v>845737</v>
      </c>
      <c r="B130" s="1" t="s">
        <v>214</v>
      </c>
      <c r="C130" s="1" t="s">
        <v>1193</v>
      </c>
      <c r="D130" s="1" t="s">
        <v>212</v>
      </c>
      <c r="E130" s="1" t="s">
        <v>134</v>
      </c>
      <c r="F130" s="1" t="s">
        <v>1281</v>
      </c>
      <c r="G130" s="4">
        <v>46160</v>
      </c>
      <c r="H130" s="5">
        <v>0.73958333333333337</v>
      </c>
      <c r="I130" s="1" t="s">
        <v>63</v>
      </c>
      <c r="J130" s="1" t="s">
        <v>1280</v>
      </c>
      <c r="K130" s="4">
        <v>46172</v>
      </c>
      <c r="L130" s="30">
        <v>0.35069444444444442</v>
      </c>
    </row>
    <row r="131" spans="1:12" x14ac:dyDescent="0.3">
      <c r="A131" s="25">
        <v>343195</v>
      </c>
      <c r="B131" s="1" t="s">
        <v>214</v>
      </c>
      <c r="C131" s="1" t="s">
        <v>1202</v>
      </c>
      <c r="D131" s="1" t="s">
        <v>212</v>
      </c>
      <c r="E131" s="1" t="s">
        <v>136</v>
      </c>
      <c r="F131" s="1" t="s">
        <v>1281</v>
      </c>
      <c r="G131" s="4">
        <v>46160</v>
      </c>
      <c r="H131" s="5">
        <v>0.1076388888888889</v>
      </c>
      <c r="I131" s="1" t="s">
        <v>71</v>
      </c>
      <c r="J131" s="1" t="s">
        <v>1280</v>
      </c>
      <c r="K131" s="4">
        <v>46172</v>
      </c>
      <c r="L131" s="30">
        <v>0.40972222222222221</v>
      </c>
    </row>
    <row r="132" spans="1:12" x14ac:dyDescent="0.3">
      <c r="A132" s="25">
        <v>343848</v>
      </c>
      <c r="B132" s="1" t="s">
        <v>214</v>
      </c>
      <c r="C132" s="1" t="s">
        <v>1202</v>
      </c>
      <c r="D132" s="1" t="s">
        <v>212</v>
      </c>
      <c r="E132" s="1" t="s">
        <v>136</v>
      </c>
      <c r="F132" s="1" t="s">
        <v>1281</v>
      </c>
      <c r="G132" s="4">
        <v>46160</v>
      </c>
      <c r="H132" s="5">
        <v>0.1076388888888889</v>
      </c>
      <c r="I132" s="1" t="s">
        <v>71</v>
      </c>
      <c r="J132" s="1" t="s">
        <v>1280</v>
      </c>
      <c r="K132" s="4">
        <v>46172</v>
      </c>
      <c r="L132" s="30">
        <v>0.40972222222222221</v>
      </c>
    </row>
    <row r="133" spans="1:12" x14ac:dyDescent="0.3">
      <c r="A133" s="25">
        <v>722193</v>
      </c>
      <c r="B133" s="1" t="s">
        <v>214</v>
      </c>
      <c r="C133" s="1" t="s">
        <v>1191</v>
      </c>
      <c r="D133" s="1" t="s">
        <v>212</v>
      </c>
      <c r="E133" s="1" t="s">
        <v>57</v>
      </c>
      <c r="F133" s="1" t="s">
        <v>1280</v>
      </c>
      <c r="G133" s="4">
        <v>46163</v>
      </c>
      <c r="H133" s="5">
        <v>0.2361111111111111</v>
      </c>
      <c r="I133" s="1" t="s">
        <v>76</v>
      </c>
      <c r="J133" s="1" t="s">
        <v>1281</v>
      </c>
      <c r="K133" s="4">
        <v>46175</v>
      </c>
      <c r="L133" s="30">
        <v>0.93055555555555558</v>
      </c>
    </row>
    <row r="134" spans="1:12" x14ac:dyDescent="0.3">
      <c r="A134" s="25">
        <v>765159</v>
      </c>
      <c r="B134" s="1" t="s">
        <v>214</v>
      </c>
      <c r="C134" s="1" t="s">
        <v>1191</v>
      </c>
      <c r="D134" s="1" t="s">
        <v>212</v>
      </c>
      <c r="E134" s="1" t="s">
        <v>57</v>
      </c>
      <c r="F134" s="1" t="s">
        <v>1280</v>
      </c>
      <c r="G134" s="4">
        <v>46163</v>
      </c>
      <c r="H134" s="5">
        <v>0.2361111111111111</v>
      </c>
      <c r="I134" s="1" t="s">
        <v>76</v>
      </c>
      <c r="J134" s="1" t="s">
        <v>1281</v>
      </c>
      <c r="K134" s="4">
        <v>46175</v>
      </c>
      <c r="L134" s="30">
        <v>0.93055555555555558</v>
      </c>
    </row>
    <row r="135" spans="1:12" x14ac:dyDescent="0.3">
      <c r="A135" s="25">
        <v>729136</v>
      </c>
      <c r="B135" s="1" t="s">
        <v>214</v>
      </c>
      <c r="C135" s="1" t="s">
        <v>1190</v>
      </c>
      <c r="D135" s="1" t="s">
        <v>212</v>
      </c>
      <c r="E135" s="1" t="s">
        <v>133</v>
      </c>
      <c r="F135" s="1" t="s">
        <v>1281</v>
      </c>
      <c r="G135" s="4">
        <v>46160</v>
      </c>
      <c r="H135" s="5">
        <v>0.3923611111111111</v>
      </c>
      <c r="I135" s="1" t="s">
        <v>60</v>
      </c>
      <c r="J135" s="1" t="s">
        <v>1280</v>
      </c>
      <c r="K135" s="4">
        <v>46173</v>
      </c>
      <c r="L135" s="30">
        <v>0.12847222222222221</v>
      </c>
    </row>
    <row r="136" spans="1:12" x14ac:dyDescent="0.3">
      <c r="A136" s="25">
        <v>755504</v>
      </c>
      <c r="B136" s="1" t="s">
        <v>214</v>
      </c>
      <c r="C136" s="1" t="s">
        <v>1190</v>
      </c>
      <c r="D136" s="1" t="s">
        <v>212</v>
      </c>
      <c r="E136" s="1" t="s">
        <v>133</v>
      </c>
      <c r="F136" s="1" t="s">
        <v>1281</v>
      </c>
      <c r="G136" s="4">
        <v>46160</v>
      </c>
      <c r="H136" s="5">
        <v>0.3923611111111111</v>
      </c>
      <c r="I136" s="1" t="s">
        <v>60</v>
      </c>
      <c r="J136" s="1" t="s">
        <v>1280</v>
      </c>
      <c r="K136" s="4">
        <v>46173</v>
      </c>
      <c r="L136" s="30">
        <v>0.12847222222222221</v>
      </c>
    </row>
    <row r="137" spans="1:12" x14ac:dyDescent="0.3">
      <c r="A137" s="25">
        <v>105988</v>
      </c>
      <c r="B137" s="1" t="s">
        <v>214</v>
      </c>
      <c r="C137" s="1" t="s">
        <v>1212</v>
      </c>
      <c r="D137" s="1" t="s">
        <v>212</v>
      </c>
      <c r="E137" s="1" t="s">
        <v>66</v>
      </c>
      <c r="F137" s="1" t="s">
        <v>1280</v>
      </c>
      <c r="G137" s="4">
        <v>46164</v>
      </c>
      <c r="H137" s="5">
        <v>0.57986111111111116</v>
      </c>
      <c r="I137" s="1" t="s">
        <v>73</v>
      </c>
      <c r="J137" s="1" t="s">
        <v>1281</v>
      </c>
      <c r="K137" s="4">
        <v>46177</v>
      </c>
      <c r="L137" s="30">
        <v>0.14930555555555555</v>
      </c>
    </row>
    <row r="138" spans="1:12" x14ac:dyDescent="0.3">
      <c r="A138" s="25">
        <v>106019</v>
      </c>
      <c r="B138" s="1" t="s">
        <v>214</v>
      </c>
      <c r="C138" s="1" t="s">
        <v>1212</v>
      </c>
      <c r="D138" s="1" t="s">
        <v>212</v>
      </c>
      <c r="E138" s="1" t="s">
        <v>66</v>
      </c>
      <c r="F138" s="1" t="s">
        <v>1280</v>
      </c>
      <c r="G138" s="4">
        <v>46164</v>
      </c>
      <c r="H138" s="5">
        <v>0.57986111111111116</v>
      </c>
      <c r="I138" s="1" t="s">
        <v>73</v>
      </c>
      <c r="J138" s="1" t="s">
        <v>1281</v>
      </c>
      <c r="K138" s="4">
        <v>46177</v>
      </c>
      <c r="L138" s="30">
        <v>0.14930555555555555</v>
      </c>
    </row>
    <row r="139" spans="1:12" x14ac:dyDescent="0.3">
      <c r="A139" s="25">
        <v>631273</v>
      </c>
      <c r="B139" s="1" t="s">
        <v>214</v>
      </c>
      <c r="C139" s="1" t="s">
        <v>1209</v>
      </c>
      <c r="D139" s="1" t="s">
        <v>212</v>
      </c>
      <c r="E139" s="1" t="s">
        <v>134</v>
      </c>
      <c r="F139" s="1" t="s">
        <v>1281</v>
      </c>
      <c r="G139" s="4">
        <v>46160</v>
      </c>
      <c r="H139" s="5">
        <v>0.73958333333333337</v>
      </c>
      <c r="I139" s="1" t="s">
        <v>68</v>
      </c>
      <c r="J139" s="1" t="s">
        <v>1280</v>
      </c>
      <c r="K139" s="4">
        <v>46172</v>
      </c>
      <c r="L139" s="30">
        <v>0.38541666666666669</v>
      </c>
    </row>
    <row r="140" spans="1:12" x14ac:dyDescent="0.3">
      <c r="A140" s="25">
        <v>631382</v>
      </c>
      <c r="B140" s="1" t="s">
        <v>214</v>
      </c>
      <c r="C140" s="1" t="s">
        <v>1202</v>
      </c>
      <c r="D140" s="1" t="s">
        <v>212</v>
      </c>
      <c r="E140" s="1" t="s">
        <v>136</v>
      </c>
      <c r="F140" s="1" t="s">
        <v>1281</v>
      </c>
      <c r="G140" s="4">
        <v>46160</v>
      </c>
      <c r="H140" s="5">
        <v>0.1076388888888889</v>
      </c>
      <c r="I140" s="1" t="s">
        <v>71</v>
      </c>
      <c r="J140" s="1" t="s">
        <v>1280</v>
      </c>
      <c r="K140" s="4">
        <v>46172</v>
      </c>
      <c r="L140" s="30">
        <v>0.40972222222222221</v>
      </c>
    </row>
    <row r="141" spans="1:12" x14ac:dyDescent="0.3">
      <c r="A141" s="25">
        <v>631637</v>
      </c>
      <c r="B141" s="1" t="s">
        <v>214</v>
      </c>
      <c r="C141" s="1" t="s">
        <v>1202</v>
      </c>
      <c r="D141" s="1" t="s">
        <v>212</v>
      </c>
      <c r="E141" s="1" t="s">
        <v>136</v>
      </c>
      <c r="F141" s="1" t="s">
        <v>1281</v>
      </c>
      <c r="G141" s="4">
        <v>46160</v>
      </c>
      <c r="H141" s="5">
        <v>0.1076388888888889</v>
      </c>
      <c r="I141" s="1" t="s">
        <v>71</v>
      </c>
      <c r="J141" s="1" t="s">
        <v>1280</v>
      </c>
      <c r="K141" s="4">
        <v>46172</v>
      </c>
      <c r="L141" s="30">
        <v>0.40972222222222221</v>
      </c>
    </row>
    <row r="142" spans="1:12" x14ac:dyDescent="0.3">
      <c r="A142" s="25">
        <v>770596</v>
      </c>
      <c r="B142" s="1" t="s">
        <v>214</v>
      </c>
      <c r="C142" s="1" t="s">
        <v>1190</v>
      </c>
      <c r="D142" s="1" t="s">
        <v>212</v>
      </c>
      <c r="E142" s="1" t="s">
        <v>133</v>
      </c>
      <c r="F142" s="1" t="s">
        <v>1281</v>
      </c>
      <c r="G142" s="4">
        <v>46160</v>
      </c>
      <c r="H142" s="5">
        <v>0.3923611111111111</v>
      </c>
      <c r="I142" s="1" t="s">
        <v>60</v>
      </c>
      <c r="J142" s="1" t="s">
        <v>1280</v>
      </c>
      <c r="K142" s="4">
        <v>46173</v>
      </c>
      <c r="L142" s="30">
        <v>0.12847222222222221</v>
      </c>
    </row>
    <row r="143" spans="1:12" x14ac:dyDescent="0.3">
      <c r="A143" s="25">
        <v>524572</v>
      </c>
      <c r="B143" s="1" t="s">
        <v>214</v>
      </c>
      <c r="C143" s="1" t="s">
        <v>1190</v>
      </c>
      <c r="D143" s="1" t="s">
        <v>212</v>
      </c>
      <c r="E143" s="1" t="s">
        <v>133</v>
      </c>
      <c r="F143" s="1" t="s">
        <v>1281</v>
      </c>
      <c r="G143" s="4">
        <v>46160</v>
      </c>
      <c r="H143" s="5">
        <v>0.3923611111111111</v>
      </c>
      <c r="I143" s="1" t="s">
        <v>60</v>
      </c>
      <c r="J143" s="1" t="s">
        <v>1280</v>
      </c>
      <c r="K143" s="4">
        <v>46173</v>
      </c>
      <c r="L143" s="30">
        <v>0.12847222222222221</v>
      </c>
    </row>
    <row r="144" spans="1:12" x14ac:dyDescent="0.3">
      <c r="A144" s="25">
        <v>615594</v>
      </c>
      <c r="B144" s="1" t="s">
        <v>214</v>
      </c>
      <c r="C144" s="1" t="s">
        <v>1191</v>
      </c>
      <c r="D144" s="1" t="s">
        <v>212</v>
      </c>
      <c r="E144" s="1" t="s">
        <v>57</v>
      </c>
      <c r="F144" s="1" t="s">
        <v>1280</v>
      </c>
      <c r="G144" s="4">
        <v>46163</v>
      </c>
      <c r="H144" s="5">
        <v>0.2361111111111111</v>
      </c>
      <c r="I144" s="1" t="s">
        <v>76</v>
      </c>
      <c r="J144" s="1" t="s">
        <v>1281</v>
      </c>
      <c r="K144" s="4">
        <v>46175</v>
      </c>
      <c r="L144" s="30">
        <v>0.93055555555555558</v>
      </c>
    </row>
    <row r="145" spans="1:12" x14ac:dyDescent="0.3">
      <c r="A145" s="25">
        <v>640715</v>
      </c>
      <c r="B145" s="1" t="s">
        <v>214</v>
      </c>
      <c r="C145" s="1" t="s">
        <v>1191</v>
      </c>
      <c r="D145" s="1" t="s">
        <v>212</v>
      </c>
      <c r="E145" s="1" t="s">
        <v>57</v>
      </c>
      <c r="F145" s="1" t="s">
        <v>1280</v>
      </c>
      <c r="G145" s="4">
        <v>46163</v>
      </c>
      <c r="H145" s="5">
        <v>0.2361111111111111</v>
      </c>
      <c r="I145" s="1" t="s">
        <v>76</v>
      </c>
      <c r="J145" s="1" t="s">
        <v>1281</v>
      </c>
      <c r="K145" s="4">
        <v>46175</v>
      </c>
      <c r="L145" s="30">
        <v>0.93055555555555558</v>
      </c>
    </row>
    <row r="146" spans="1:12" x14ac:dyDescent="0.3">
      <c r="A146" s="25">
        <v>102924</v>
      </c>
      <c r="B146" s="1" t="s">
        <v>214</v>
      </c>
      <c r="C146" s="1" t="s">
        <v>1203</v>
      </c>
      <c r="D146" s="1" t="s">
        <v>212</v>
      </c>
      <c r="E146" s="1" t="s">
        <v>136</v>
      </c>
      <c r="F146" s="1" t="s">
        <v>1281</v>
      </c>
      <c r="G146" s="4">
        <v>46160</v>
      </c>
      <c r="H146" s="5">
        <v>0.1076388888888889</v>
      </c>
      <c r="I146" s="1" t="s">
        <v>71</v>
      </c>
      <c r="J146" s="1" t="s">
        <v>1280</v>
      </c>
      <c r="K146" s="4">
        <v>46172</v>
      </c>
      <c r="L146" s="30">
        <v>0.40972222222222221</v>
      </c>
    </row>
    <row r="147" spans="1:12" x14ac:dyDescent="0.3">
      <c r="A147" s="25">
        <v>487652</v>
      </c>
      <c r="B147" s="1" t="s">
        <v>214</v>
      </c>
      <c r="C147" s="1" t="s">
        <v>1202</v>
      </c>
      <c r="D147" s="1" t="s">
        <v>212</v>
      </c>
      <c r="E147" s="1" t="s">
        <v>136</v>
      </c>
      <c r="F147" s="1" t="s">
        <v>1281</v>
      </c>
      <c r="G147" s="4">
        <v>46160</v>
      </c>
      <c r="H147" s="5">
        <v>0.1076388888888889</v>
      </c>
      <c r="I147" s="1" t="s">
        <v>71</v>
      </c>
      <c r="J147" s="1" t="s">
        <v>1280</v>
      </c>
      <c r="K147" s="4">
        <v>46172</v>
      </c>
      <c r="L147" s="30">
        <v>0.40972222222222221</v>
      </c>
    </row>
    <row r="148" spans="1:12" x14ac:dyDescent="0.3">
      <c r="A148" s="25">
        <v>72106</v>
      </c>
      <c r="B148" s="1" t="s">
        <v>214</v>
      </c>
      <c r="C148" s="1" t="s">
        <v>1190</v>
      </c>
      <c r="D148" s="1" t="s">
        <v>212</v>
      </c>
      <c r="E148" s="1" t="s">
        <v>133</v>
      </c>
      <c r="F148" s="1" t="s">
        <v>1281</v>
      </c>
      <c r="G148" s="4">
        <v>46160</v>
      </c>
      <c r="H148" s="5">
        <v>0.3923611111111111</v>
      </c>
      <c r="I148" s="1" t="s">
        <v>60</v>
      </c>
      <c r="J148" s="1" t="s">
        <v>1280</v>
      </c>
      <c r="K148" s="4">
        <v>46173</v>
      </c>
      <c r="L148" s="30">
        <v>0.12847222222222221</v>
      </c>
    </row>
    <row r="149" spans="1:12" x14ac:dyDescent="0.3">
      <c r="A149" s="25">
        <v>76398</v>
      </c>
      <c r="B149" s="1" t="s">
        <v>214</v>
      </c>
      <c r="C149" s="1" t="s">
        <v>1190</v>
      </c>
      <c r="D149" s="1" t="s">
        <v>212</v>
      </c>
      <c r="E149" s="1" t="s">
        <v>133</v>
      </c>
      <c r="F149" s="1" t="s">
        <v>1281</v>
      </c>
      <c r="G149" s="4">
        <v>46160</v>
      </c>
      <c r="H149" s="5">
        <v>0.3923611111111111</v>
      </c>
      <c r="I149" s="1" t="s">
        <v>60</v>
      </c>
      <c r="J149" s="1" t="s">
        <v>1280</v>
      </c>
      <c r="K149" s="4">
        <v>46173</v>
      </c>
      <c r="L149" s="30">
        <v>0.12847222222222221</v>
      </c>
    </row>
    <row r="150" spans="1:12" x14ac:dyDescent="0.3">
      <c r="A150" s="25">
        <v>826354</v>
      </c>
      <c r="B150" s="1" t="s">
        <v>214</v>
      </c>
      <c r="C150" s="1" t="s">
        <v>1209</v>
      </c>
      <c r="D150" s="1" t="s">
        <v>212</v>
      </c>
      <c r="E150" s="1" t="s">
        <v>134</v>
      </c>
      <c r="F150" s="1" t="s">
        <v>1281</v>
      </c>
      <c r="G150" s="4">
        <v>46160</v>
      </c>
      <c r="H150" s="5">
        <v>0.73958333333333337</v>
      </c>
      <c r="I150" s="1" t="s">
        <v>68</v>
      </c>
      <c r="J150" s="1" t="s">
        <v>1280</v>
      </c>
      <c r="K150" s="4">
        <v>46172</v>
      </c>
      <c r="L150" s="30">
        <v>0.38541666666666669</v>
      </c>
    </row>
    <row r="151" spans="1:12" x14ac:dyDescent="0.3">
      <c r="A151" s="25">
        <v>477149</v>
      </c>
      <c r="B151" s="1" t="s">
        <v>214</v>
      </c>
      <c r="C151" s="1" t="s">
        <v>1207</v>
      </c>
      <c r="D151" s="1" t="s">
        <v>212</v>
      </c>
      <c r="E151" s="1" t="s">
        <v>135</v>
      </c>
      <c r="F151" s="1" t="s">
        <v>1281</v>
      </c>
      <c r="G151" s="4">
        <v>46160</v>
      </c>
      <c r="H151" s="5">
        <v>0.89236111111111116</v>
      </c>
      <c r="I151" s="1" t="s">
        <v>68</v>
      </c>
      <c r="J151" s="1" t="s">
        <v>1280</v>
      </c>
      <c r="K151" s="4">
        <v>46172</v>
      </c>
      <c r="L151" s="30">
        <v>0.38541666666666669</v>
      </c>
    </row>
    <row r="152" spans="1:12" x14ac:dyDescent="0.3">
      <c r="A152" s="25">
        <v>23828</v>
      </c>
      <c r="B152" s="1" t="s">
        <v>214</v>
      </c>
      <c r="C152" s="1" t="s">
        <v>1190</v>
      </c>
      <c r="D152" s="1" t="s">
        <v>212</v>
      </c>
      <c r="E152" s="1" t="s">
        <v>133</v>
      </c>
      <c r="F152" s="1" t="s">
        <v>1281</v>
      </c>
      <c r="G152" s="4">
        <v>46160</v>
      </c>
      <c r="H152" s="5">
        <v>0.3923611111111111</v>
      </c>
      <c r="I152" s="1" t="s">
        <v>60</v>
      </c>
      <c r="J152" s="1" t="s">
        <v>1280</v>
      </c>
      <c r="K152" s="4">
        <v>46173</v>
      </c>
      <c r="L152" s="30">
        <v>0.12847222222222221</v>
      </c>
    </row>
    <row r="153" spans="1:12" x14ac:dyDescent="0.3">
      <c r="A153" s="25">
        <v>605502</v>
      </c>
      <c r="B153" s="1" t="s">
        <v>214</v>
      </c>
      <c r="C153" s="1" t="s">
        <v>1190</v>
      </c>
      <c r="D153" s="1" t="s">
        <v>212</v>
      </c>
      <c r="E153" s="1" t="s">
        <v>133</v>
      </c>
      <c r="F153" s="1" t="s">
        <v>1281</v>
      </c>
      <c r="G153" s="4">
        <v>46160</v>
      </c>
      <c r="H153" s="5">
        <v>0.3923611111111111</v>
      </c>
      <c r="I153" s="1" t="s">
        <v>60</v>
      </c>
      <c r="J153" s="1" t="s">
        <v>1280</v>
      </c>
      <c r="K153" s="4">
        <v>46173</v>
      </c>
      <c r="L153" s="30">
        <v>0.12847222222222221</v>
      </c>
    </row>
    <row r="154" spans="1:12" x14ac:dyDescent="0.3">
      <c r="A154" s="25">
        <v>605514</v>
      </c>
      <c r="B154" s="1" t="s">
        <v>214</v>
      </c>
      <c r="C154" s="1" t="s">
        <v>1190</v>
      </c>
      <c r="D154" s="1" t="s">
        <v>212</v>
      </c>
      <c r="E154" s="1" t="s">
        <v>133</v>
      </c>
      <c r="F154" s="1" t="s">
        <v>1281</v>
      </c>
      <c r="G154" s="4">
        <v>46160</v>
      </c>
      <c r="H154" s="5">
        <v>0.3923611111111111</v>
      </c>
      <c r="I154" s="1" t="s">
        <v>60</v>
      </c>
      <c r="J154" s="1" t="s">
        <v>1280</v>
      </c>
      <c r="K154" s="4">
        <v>46173</v>
      </c>
      <c r="L154" s="30">
        <v>0.12847222222222221</v>
      </c>
    </row>
    <row r="155" spans="1:12" x14ac:dyDescent="0.3">
      <c r="A155" s="25">
        <v>636433</v>
      </c>
      <c r="B155" s="1" t="s">
        <v>214</v>
      </c>
      <c r="C155" s="1" t="s">
        <v>1190</v>
      </c>
      <c r="D155" s="1" t="s">
        <v>212</v>
      </c>
      <c r="E155" s="1" t="s">
        <v>133</v>
      </c>
      <c r="F155" s="1" t="s">
        <v>1281</v>
      </c>
      <c r="G155" s="4">
        <v>46160</v>
      </c>
      <c r="H155" s="5">
        <v>0.3923611111111111</v>
      </c>
      <c r="I155" s="1" t="s">
        <v>60</v>
      </c>
      <c r="J155" s="1" t="s">
        <v>1280</v>
      </c>
      <c r="K155" s="4">
        <v>46173</v>
      </c>
      <c r="L155" s="30">
        <v>0.12847222222222221</v>
      </c>
    </row>
    <row r="156" spans="1:12" x14ac:dyDescent="0.3">
      <c r="A156" s="25">
        <v>691449</v>
      </c>
      <c r="B156" s="1" t="s">
        <v>214</v>
      </c>
      <c r="C156" s="1" t="s">
        <v>1190</v>
      </c>
      <c r="D156" s="1" t="s">
        <v>212</v>
      </c>
      <c r="E156" s="1" t="s">
        <v>133</v>
      </c>
      <c r="F156" s="1" t="s">
        <v>1281</v>
      </c>
      <c r="G156" s="4">
        <v>46160</v>
      </c>
      <c r="H156" s="5">
        <v>0.3923611111111111</v>
      </c>
      <c r="I156" s="1" t="s">
        <v>60</v>
      </c>
      <c r="J156" s="1" t="s">
        <v>1280</v>
      </c>
      <c r="K156" s="4">
        <v>46173</v>
      </c>
      <c r="L156" s="30">
        <v>0.12847222222222221</v>
      </c>
    </row>
    <row r="157" spans="1:12" x14ac:dyDescent="0.3">
      <c r="A157" s="25">
        <v>18606</v>
      </c>
      <c r="B157" s="1" t="s">
        <v>214</v>
      </c>
      <c r="C157" s="1" t="s">
        <v>1193</v>
      </c>
      <c r="D157" s="1" t="s">
        <v>212</v>
      </c>
      <c r="E157" s="1" t="s">
        <v>134</v>
      </c>
      <c r="F157" s="1" t="s">
        <v>1281</v>
      </c>
      <c r="G157" s="4">
        <v>46160</v>
      </c>
      <c r="H157" s="5">
        <v>0.73958333333333337</v>
      </c>
      <c r="I157" s="1" t="s">
        <v>63</v>
      </c>
      <c r="J157" s="1" t="s">
        <v>1280</v>
      </c>
      <c r="K157" s="4">
        <v>46172</v>
      </c>
      <c r="L157" s="30">
        <v>0.35069444444444442</v>
      </c>
    </row>
    <row r="158" spans="1:12" x14ac:dyDescent="0.3">
      <c r="A158" s="25">
        <v>696422</v>
      </c>
      <c r="B158" s="1" t="s">
        <v>214</v>
      </c>
      <c r="C158" s="1" t="s">
        <v>1193</v>
      </c>
      <c r="D158" s="1" t="s">
        <v>212</v>
      </c>
      <c r="E158" s="1" t="s">
        <v>134</v>
      </c>
      <c r="F158" s="1" t="s">
        <v>1281</v>
      </c>
      <c r="G158" s="4">
        <v>46160</v>
      </c>
      <c r="H158" s="5">
        <v>0.73958333333333337</v>
      </c>
      <c r="I158" s="1" t="s">
        <v>63</v>
      </c>
      <c r="J158" s="1" t="s">
        <v>1280</v>
      </c>
      <c r="K158" s="4">
        <v>46172</v>
      </c>
      <c r="L158" s="30">
        <v>0.35069444444444442</v>
      </c>
    </row>
    <row r="159" spans="1:12" x14ac:dyDescent="0.3">
      <c r="A159" s="25">
        <v>744322</v>
      </c>
      <c r="B159" s="1" t="s">
        <v>214</v>
      </c>
      <c r="C159" s="1" t="s">
        <v>1190</v>
      </c>
      <c r="D159" s="1" t="s">
        <v>212</v>
      </c>
      <c r="E159" s="1" t="s">
        <v>133</v>
      </c>
      <c r="F159" s="1" t="s">
        <v>1281</v>
      </c>
      <c r="G159" s="4">
        <v>46160</v>
      </c>
      <c r="H159" s="5">
        <v>0.3923611111111111</v>
      </c>
      <c r="I159" s="1" t="s">
        <v>60</v>
      </c>
      <c r="J159" s="1" t="s">
        <v>1280</v>
      </c>
      <c r="K159" s="4">
        <v>46173</v>
      </c>
      <c r="L159" s="30">
        <v>0.12847222222222221</v>
      </c>
    </row>
    <row r="160" spans="1:12" x14ac:dyDescent="0.3">
      <c r="A160" s="25">
        <v>553890</v>
      </c>
      <c r="B160" s="1" t="s">
        <v>214</v>
      </c>
      <c r="C160" s="1" t="s">
        <v>1193</v>
      </c>
      <c r="D160" s="1" t="s">
        <v>212</v>
      </c>
      <c r="E160" s="1" t="s">
        <v>134</v>
      </c>
      <c r="F160" s="1" t="s">
        <v>1281</v>
      </c>
      <c r="G160" s="4">
        <v>46160</v>
      </c>
      <c r="H160" s="5">
        <v>0.73958333333333337</v>
      </c>
      <c r="I160" s="1" t="s">
        <v>63</v>
      </c>
      <c r="J160" s="1" t="s">
        <v>1280</v>
      </c>
      <c r="K160" s="4">
        <v>46172</v>
      </c>
      <c r="L160" s="30">
        <v>0.35069444444444442</v>
      </c>
    </row>
    <row r="161" spans="1:12" x14ac:dyDescent="0.3">
      <c r="A161" s="25">
        <v>772227</v>
      </c>
      <c r="B161" s="1" t="s">
        <v>214</v>
      </c>
      <c r="C161" s="1" t="s">
        <v>1193</v>
      </c>
      <c r="D161" s="1" t="s">
        <v>212</v>
      </c>
      <c r="E161" s="1" t="s">
        <v>134</v>
      </c>
      <c r="F161" s="1" t="s">
        <v>1281</v>
      </c>
      <c r="G161" s="4">
        <v>46160</v>
      </c>
      <c r="H161" s="5">
        <v>0.73958333333333337</v>
      </c>
      <c r="I161" s="1" t="s">
        <v>63</v>
      </c>
      <c r="J161" s="1" t="s">
        <v>1280</v>
      </c>
      <c r="K161" s="4">
        <v>46172</v>
      </c>
      <c r="L161" s="30">
        <v>0.35069444444444442</v>
      </c>
    </row>
    <row r="162" spans="1:12" x14ac:dyDescent="0.3">
      <c r="A162" s="25">
        <v>426534</v>
      </c>
      <c r="B162" s="1" t="s">
        <v>214</v>
      </c>
      <c r="C162" s="1" t="s">
        <v>1190</v>
      </c>
      <c r="D162" s="1" t="s">
        <v>212</v>
      </c>
      <c r="E162" s="1" t="s">
        <v>133</v>
      </c>
      <c r="F162" s="1" t="s">
        <v>1281</v>
      </c>
      <c r="G162" s="4">
        <v>46160</v>
      </c>
      <c r="H162" s="5">
        <v>0.3923611111111111</v>
      </c>
      <c r="I162" s="1" t="s">
        <v>60</v>
      </c>
      <c r="J162" s="1" t="s">
        <v>1280</v>
      </c>
      <c r="K162" s="4">
        <v>46173</v>
      </c>
      <c r="L162" s="30">
        <v>0.12847222222222221</v>
      </c>
    </row>
    <row r="163" spans="1:12" x14ac:dyDescent="0.3">
      <c r="A163" s="25">
        <v>632648</v>
      </c>
      <c r="B163" s="1" t="s">
        <v>214</v>
      </c>
      <c r="C163" s="1" t="s">
        <v>1190</v>
      </c>
      <c r="D163" s="1" t="s">
        <v>212</v>
      </c>
      <c r="E163" s="1" t="s">
        <v>133</v>
      </c>
      <c r="F163" s="1" t="s">
        <v>1281</v>
      </c>
      <c r="G163" s="4">
        <v>46160</v>
      </c>
      <c r="H163" s="5">
        <v>0.3923611111111111</v>
      </c>
      <c r="I163" s="1" t="s">
        <v>60</v>
      </c>
      <c r="J163" s="1" t="s">
        <v>1280</v>
      </c>
      <c r="K163" s="4">
        <v>46173</v>
      </c>
      <c r="L163" s="30">
        <v>0.12847222222222221</v>
      </c>
    </row>
    <row r="164" spans="1:12" x14ac:dyDescent="0.3">
      <c r="A164" s="25">
        <v>627570</v>
      </c>
      <c r="B164" s="1" t="s">
        <v>214</v>
      </c>
      <c r="C164" s="1" t="s">
        <v>1193</v>
      </c>
      <c r="D164" s="1" t="s">
        <v>212</v>
      </c>
      <c r="E164" s="1" t="s">
        <v>134</v>
      </c>
      <c r="F164" s="1" t="s">
        <v>1281</v>
      </c>
      <c r="G164" s="4">
        <v>46160</v>
      </c>
      <c r="H164" s="5">
        <v>0.73958333333333337</v>
      </c>
      <c r="I164" s="1" t="s">
        <v>63</v>
      </c>
      <c r="J164" s="1" t="s">
        <v>1280</v>
      </c>
      <c r="K164" s="4">
        <v>46172</v>
      </c>
      <c r="L164" s="30">
        <v>0.35069444444444442</v>
      </c>
    </row>
    <row r="165" spans="1:12" x14ac:dyDescent="0.3">
      <c r="A165" s="25">
        <v>849651</v>
      </c>
      <c r="B165" s="1" t="s">
        <v>214</v>
      </c>
      <c r="C165" s="1" t="s">
        <v>1207</v>
      </c>
      <c r="D165" s="1" t="s">
        <v>212</v>
      </c>
      <c r="E165" s="1" t="s">
        <v>135</v>
      </c>
      <c r="F165" s="1" t="s">
        <v>1281</v>
      </c>
      <c r="G165" s="4">
        <v>46160</v>
      </c>
      <c r="H165" s="5">
        <v>0.89236111111111116</v>
      </c>
      <c r="I165" s="1" t="s">
        <v>68</v>
      </c>
      <c r="J165" s="1" t="s">
        <v>1280</v>
      </c>
      <c r="K165" s="4">
        <v>46172</v>
      </c>
      <c r="L165" s="30">
        <v>0.38541666666666669</v>
      </c>
    </row>
    <row r="166" spans="1:12" x14ac:dyDescent="0.3">
      <c r="A166" s="25">
        <v>343808</v>
      </c>
      <c r="B166" s="1" t="s">
        <v>214</v>
      </c>
      <c r="C166" s="1" t="s">
        <v>1193</v>
      </c>
      <c r="D166" s="1" t="s">
        <v>212</v>
      </c>
      <c r="E166" s="1" t="s">
        <v>134</v>
      </c>
      <c r="F166" s="1" t="s">
        <v>1281</v>
      </c>
      <c r="G166" s="4">
        <v>46160</v>
      </c>
      <c r="H166" s="5">
        <v>0.73958333333333337</v>
      </c>
      <c r="I166" s="1" t="s">
        <v>63</v>
      </c>
      <c r="J166" s="1" t="s">
        <v>1280</v>
      </c>
      <c r="K166" s="4">
        <v>46172</v>
      </c>
      <c r="L166" s="30">
        <v>0.35069444444444442</v>
      </c>
    </row>
    <row r="167" spans="1:12" x14ac:dyDescent="0.3">
      <c r="A167" s="25">
        <v>343824</v>
      </c>
      <c r="B167" s="1" t="s">
        <v>214</v>
      </c>
      <c r="C167" s="1" t="s">
        <v>1193</v>
      </c>
      <c r="D167" s="1" t="s">
        <v>212</v>
      </c>
      <c r="E167" s="1" t="s">
        <v>134</v>
      </c>
      <c r="F167" s="1" t="s">
        <v>1281</v>
      </c>
      <c r="G167" s="4">
        <v>46160</v>
      </c>
      <c r="H167" s="5">
        <v>0.73958333333333337</v>
      </c>
      <c r="I167" s="1" t="s">
        <v>63</v>
      </c>
      <c r="J167" s="1" t="s">
        <v>1280</v>
      </c>
      <c r="K167" s="4">
        <v>46172</v>
      </c>
      <c r="L167" s="30">
        <v>0.35069444444444442</v>
      </c>
    </row>
    <row r="168" spans="1:12" x14ac:dyDescent="0.3">
      <c r="A168" s="25">
        <v>607366</v>
      </c>
      <c r="B168" s="1" t="s">
        <v>214</v>
      </c>
      <c r="C168" s="1" t="s">
        <v>1193</v>
      </c>
      <c r="D168" s="1" t="s">
        <v>212</v>
      </c>
      <c r="E168" s="1" t="s">
        <v>134</v>
      </c>
      <c r="F168" s="1" t="s">
        <v>1281</v>
      </c>
      <c r="G168" s="4">
        <v>46160</v>
      </c>
      <c r="H168" s="5">
        <v>0.73958333333333337</v>
      </c>
      <c r="I168" s="1" t="s">
        <v>63</v>
      </c>
      <c r="J168" s="1" t="s">
        <v>1280</v>
      </c>
      <c r="K168" s="4">
        <v>46172</v>
      </c>
      <c r="L168" s="30">
        <v>0.35069444444444442</v>
      </c>
    </row>
    <row r="169" spans="1:12" x14ac:dyDescent="0.3">
      <c r="A169" s="25">
        <v>607371</v>
      </c>
      <c r="B169" s="1" t="s">
        <v>214</v>
      </c>
      <c r="C169" s="1" t="s">
        <v>1193</v>
      </c>
      <c r="D169" s="1" t="s">
        <v>212</v>
      </c>
      <c r="E169" s="1" t="s">
        <v>134</v>
      </c>
      <c r="F169" s="1" t="s">
        <v>1281</v>
      </c>
      <c r="G169" s="4">
        <v>46160</v>
      </c>
      <c r="H169" s="5">
        <v>0.73958333333333337</v>
      </c>
      <c r="I169" s="1" t="s">
        <v>63</v>
      </c>
      <c r="J169" s="1" t="s">
        <v>1280</v>
      </c>
      <c r="K169" s="4">
        <v>46172</v>
      </c>
      <c r="L169" s="30">
        <v>0.35069444444444442</v>
      </c>
    </row>
    <row r="170" spans="1:12" x14ac:dyDescent="0.3">
      <c r="A170" s="25">
        <v>624561</v>
      </c>
      <c r="B170" s="1" t="s">
        <v>214</v>
      </c>
      <c r="C170" s="1" t="s">
        <v>1200</v>
      </c>
      <c r="D170" s="1" t="s">
        <v>212</v>
      </c>
      <c r="E170" s="1" t="s">
        <v>69</v>
      </c>
      <c r="F170" s="1" t="s">
        <v>1280</v>
      </c>
      <c r="G170" s="4">
        <v>46164</v>
      </c>
      <c r="H170" s="5">
        <v>0.93055555555555558</v>
      </c>
      <c r="I170" s="1" t="s">
        <v>72</v>
      </c>
      <c r="J170" s="1" t="s">
        <v>1281</v>
      </c>
      <c r="K170" s="4">
        <v>46177</v>
      </c>
      <c r="L170" s="30">
        <v>0.25347222222222221</v>
      </c>
    </row>
    <row r="171" spans="1:12" x14ac:dyDescent="0.3">
      <c r="A171" s="25">
        <v>624563</v>
      </c>
      <c r="B171" s="1" t="s">
        <v>214</v>
      </c>
      <c r="C171" s="1" t="s">
        <v>1200</v>
      </c>
      <c r="D171" s="1" t="s">
        <v>212</v>
      </c>
      <c r="E171" s="1" t="s">
        <v>69</v>
      </c>
      <c r="F171" s="1" t="s">
        <v>1280</v>
      </c>
      <c r="G171" s="4">
        <v>46164</v>
      </c>
      <c r="H171" s="5">
        <v>0.93055555555555558</v>
      </c>
      <c r="I171" s="1" t="s">
        <v>72</v>
      </c>
      <c r="J171" s="1" t="s">
        <v>1281</v>
      </c>
      <c r="K171" s="4">
        <v>46177</v>
      </c>
      <c r="L171" s="30">
        <v>0.25347222222222221</v>
      </c>
    </row>
    <row r="172" spans="1:12" x14ac:dyDescent="0.3">
      <c r="A172" s="25">
        <v>48777</v>
      </c>
      <c r="B172" s="1" t="s">
        <v>214</v>
      </c>
      <c r="C172" s="1" t="s">
        <v>1190</v>
      </c>
      <c r="D172" s="1" t="s">
        <v>212</v>
      </c>
      <c r="E172" s="1" t="s">
        <v>133</v>
      </c>
      <c r="F172" s="1" t="s">
        <v>1281</v>
      </c>
      <c r="G172" s="4">
        <v>46160</v>
      </c>
      <c r="H172" s="5">
        <v>0.3923611111111111</v>
      </c>
      <c r="I172" s="1" t="s">
        <v>60</v>
      </c>
      <c r="J172" s="1" t="s">
        <v>1280</v>
      </c>
      <c r="K172" s="4">
        <v>46173</v>
      </c>
      <c r="L172" s="30">
        <v>0.12847222222222221</v>
      </c>
    </row>
    <row r="173" spans="1:12" x14ac:dyDescent="0.3">
      <c r="A173" s="25">
        <v>739831</v>
      </c>
      <c r="B173" s="1" t="s">
        <v>214</v>
      </c>
      <c r="C173" s="1" t="s">
        <v>1209</v>
      </c>
      <c r="D173" s="1" t="s">
        <v>212</v>
      </c>
      <c r="E173" s="1" t="s">
        <v>134</v>
      </c>
      <c r="F173" s="1" t="s">
        <v>1281</v>
      </c>
      <c r="G173" s="4">
        <v>46160</v>
      </c>
      <c r="H173" s="5">
        <v>0.73958333333333337</v>
      </c>
      <c r="I173" s="1" t="s">
        <v>68</v>
      </c>
      <c r="J173" s="1" t="s">
        <v>1280</v>
      </c>
      <c r="K173" s="4">
        <v>46172</v>
      </c>
      <c r="L173" s="30">
        <v>0.38541666666666669</v>
      </c>
    </row>
    <row r="174" spans="1:12" x14ac:dyDescent="0.3">
      <c r="A174" s="25">
        <v>788306</v>
      </c>
      <c r="B174" s="1" t="s">
        <v>214</v>
      </c>
      <c r="C174" s="1" t="s">
        <v>1207</v>
      </c>
      <c r="D174" s="1" t="s">
        <v>212</v>
      </c>
      <c r="E174" s="1" t="s">
        <v>135</v>
      </c>
      <c r="F174" s="1" t="s">
        <v>1281</v>
      </c>
      <c r="G174" s="4">
        <v>46160</v>
      </c>
      <c r="H174" s="5">
        <v>0.89236111111111116</v>
      </c>
      <c r="I174" s="1" t="s">
        <v>68</v>
      </c>
      <c r="J174" s="1" t="s">
        <v>1280</v>
      </c>
      <c r="K174" s="4">
        <v>46172</v>
      </c>
      <c r="L174" s="30">
        <v>0.38541666666666669</v>
      </c>
    </row>
    <row r="175" spans="1:12" x14ac:dyDescent="0.3">
      <c r="A175" s="25">
        <v>815030</v>
      </c>
      <c r="B175" s="1" t="s">
        <v>214</v>
      </c>
      <c r="C175" s="1" t="s">
        <v>1207</v>
      </c>
      <c r="D175" s="1" t="s">
        <v>212</v>
      </c>
      <c r="E175" s="1" t="s">
        <v>135</v>
      </c>
      <c r="F175" s="1" t="s">
        <v>1281</v>
      </c>
      <c r="G175" s="4">
        <v>46160</v>
      </c>
      <c r="H175" s="5">
        <v>0.89236111111111116</v>
      </c>
      <c r="I175" s="1" t="s">
        <v>68</v>
      </c>
      <c r="J175" s="1" t="s">
        <v>1280</v>
      </c>
      <c r="K175" s="4">
        <v>46172</v>
      </c>
      <c r="L175" s="30">
        <v>0.38541666666666669</v>
      </c>
    </row>
    <row r="176" spans="1:12" x14ac:dyDescent="0.3">
      <c r="A176" s="25">
        <v>812569</v>
      </c>
      <c r="B176" s="1" t="s">
        <v>214</v>
      </c>
      <c r="C176" s="1" t="s">
        <v>1205</v>
      </c>
      <c r="D176" s="1" t="s">
        <v>212</v>
      </c>
      <c r="E176" s="1" t="s">
        <v>136</v>
      </c>
      <c r="F176" s="1" t="s">
        <v>1281</v>
      </c>
      <c r="G176" s="4">
        <v>46163</v>
      </c>
      <c r="H176" s="5">
        <v>0.1076388888888889</v>
      </c>
      <c r="I176" s="1" t="s">
        <v>1221</v>
      </c>
      <c r="J176" s="1" t="s">
        <v>1280</v>
      </c>
      <c r="K176" s="4">
        <v>46172</v>
      </c>
      <c r="L176" s="30">
        <v>0.34027777777777779</v>
      </c>
    </row>
    <row r="177" spans="1:12" x14ac:dyDescent="0.3">
      <c r="A177" s="25">
        <v>549047</v>
      </c>
      <c r="B177" s="1" t="s">
        <v>214</v>
      </c>
      <c r="C177" s="1" t="s">
        <v>1193</v>
      </c>
      <c r="D177" s="1" t="s">
        <v>212</v>
      </c>
      <c r="E177" s="1" t="s">
        <v>134</v>
      </c>
      <c r="F177" s="1" t="s">
        <v>1281</v>
      </c>
      <c r="G177" s="4">
        <v>46160</v>
      </c>
      <c r="H177" s="5">
        <v>0.73958333333333337</v>
      </c>
      <c r="I177" s="1" t="s">
        <v>63</v>
      </c>
      <c r="J177" s="1" t="s">
        <v>1280</v>
      </c>
      <c r="K177" s="4">
        <v>46172</v>
      </c>
      <c r="L177" s="30">
        <v>0.35069444444444442</v>
      </c>
    </row>
    <row r="178" spans="1:12" x14ac:dyDescent="0.3">
      <c r="A178" s="25">
        <v>602354</v>
      </c>
      <c r="B178" s="1" t="s">
        <v>214</v>
      </c>
      <c r="C178" s="1" t="s">
        <v>1193</v>
      </c>
      <c r="D178" s="1" t="s">
        <v>212</v>
      </c>
      <c r="E178" s="1" t="s">
        <v>134</v>
      </c>
      <c r="F178" s="1" t="s">
        <v>1281</v>
      </c>
      <c r="G178" s="4">
        <v>46160</v>
      </c>
      <c r="H178" s="5">
        <v>0.73958333333333337</v>
      </c>
      <c r="I178" s="1" t="s">
        <v>63</v>
      </c>
      <c r="J178" s="1" t="s">
        <v>1280</v>
      </c>
      <c r="K178" s="4">
        <v>46172</v>
      </c>
      <c r="L178" s="30">
        <v>0.35069444444444442</v>
      </c>
    </row>
    <row r="179" spans="1:12" x14ac:dyDescent="0.3">
      <c r="A179" s="25">
        <v>355906</v>
      </c>
      <c r="B179" s="1" t="s">
        <v>214</v>
      </c>
      <c r="C179" s="1" t="s">
        <v>1205</v>
      </c>
      <c r="D179" s="1" t="s">
        <v>212</v>
      </c>
      <c r="E179" s="1" t="s">
        <v>136</v>
      </c>
      <c r="F179" s="1" t="s">
        <v>1281</v>
      </c>
      <c r="G179" s="4">
        <v>46163</v>
      </c>
      <c r="H179" s="5">
        <v>0.1076388888888889</v>
      </c>
      <c r="I179" s="1" t="s">
        <v>1221</v>
      </c>
      <c r="J179" s="1" t="s">
        <v>1280</v>
      </c>
      <c r="K179" s="4">
        <v>46172</v>
      </c>
      <c r="L179" s="30">
        <v>0.34027777777777779</v>
      </c>
    </row>
    <row r="180" spans="1:12" x14ac:dyDescent="0.3">
      <c r="A180" s="25">
        <v>779352</v>
      </c>
      <c r="B180" s="1" t="s">
        <v>214</v>
      </c>
      <c r="C180" s="1" t="s">
        <v>1205</v>
      </c>
      <c r="D180" s="1" t="s">
        <v>212</v>
      </c>
      <c r="E180" s="1" t="s">
        <v>136</v>
      </c>
      <c r="F180" s="1" t="s">
        <v>1281</v>
      </c>
      <c r="G180" s="4">
        <v>46163</v>
      </c>
      <c r="H180" s="5">
        <v>0.1076388888888889</v>
      </c>
      <c r="I180" s="1" t="s">
        <v>1221</v>
      </c>
      <c r="J180" s="1" t="s">
        <v>1280</v>
      </c>
      <c r="K180" s="4">
        <v>46172</v>
      </c>
      <c r="L180" s="30">
        <v>0.34027777777777779</v>
      </c>
    </row>
    <row r="181" spans="1:12" x14ac:dyDescent="0.3">
      <c r="A181" s="25">
        <v>76380</v>
      </c>
      <c r="B181" s="1" t="s">
        <v>214</v>
      </c>
      <c r="C181" s="1" t="s">
        <v>1190</v>
      </c>
      <c r="D181" s="1" t="s">
        <v>212</v>
      </c>
      <c r="E181" s="1" t="s">
        <v>133</v>
      </c>
      <c r="F181" s="1" t="s">
        <v>1281</v>
      </c>
      <c r="G181" s="4">
        <v>46160</v>
      </c>
      <c r="H181" s="5">
        <v>0.3923611111111111</v>
      </c>
      <c r="I181" s="1" t="s">
        <v>60</v>
      </c>
      <c r="J181" s="1" t="s">
        <v>1280</v>
      </c>
      <c r="K181" s="4">
        <v>46173</v>
      </c>
      <c r="L181" s="30">
        <v>0.12847222222222221</v>
      </c>
    </row>
    <row r="182" spans="1:12" x14ac:dyDescent="0.3">
      <c r="A182" s="25">
        <v>548760</v>
      </c>
      <c r="B182" s="1" t="s">
        <v>214</v>
      </c>
      <c r="C182" s="1" t="s">
        <v>1194</v>
      </c>
      <c r="D182" s="1" t="s">
        <v>212</v>
      </c>
      <c r="E182" s="1" t="s">
        <v>137</v>
      </c>
      <c r="F182" s="1" t="s">
        <v>1281</v>
      </c>
      <c r="G182" s="4">
        <v>46161</v>
      </c>
      <c r="H182" s="5">
        <v>0.87847222222222221</v>
      </c>
      <c r="I182" s="1" t="s">
        <v>63</v>
      </c>
      <c r="J182" s="1" t="s">
        <v>1280</v>
      </c>
      <c r="K182" s="4">
        <v>46173</v>
      </c>
      <c r="L182" s="30">
        <v>0.3923611111111111</v>
      </c>
    </row>
    <row r="183" spans="1:12" x14ac:dyDescent="0.3">
      <c r="A183" s="25">
        <v>609079</v>
      </c>
      <c r="B183" s="1" t="s">
        <v>214</v>
      </c>
      <c r="C183" s="1" t="s">
        <v>1194</v>
      </c>
      <c r="D183" s="1" t="s">
        <v>212</v>
      </c>
      <c r="E183" s="1" t="s">
        <v>137</v>
      </c>
      <c r="F183" s="1" t="s">
        <v>1281</v>
      </c>
      <c r="G183" s="4">
        <v>46161</v>
      </c>
      <c r="H183" s="5">
        <v>0.87847222222222221</v>
      </c>
      <c r="I183" s="1" t="s">
        <v>63</v>
      </c>
      <c r="J183" s="1" t="s">
        <v>1280</v>
      </c>
      <c r="K183" s="4">
        <v>46173</v>
      </c>
      <c r="L183" s="30">
        <v>0.3923611111111111</v>
      </c>
    </row>
    <row r="184" spans="1:12" x14ac:dyDescent="0.3">
      <c r="A184" s="25">
        <v>849958</v>
      </c>
      <c r="B184" s="1" t="s">
        <v>214</v>
      </c>
      <c r="C184" s="1" t="s">
        <v>1190</v>
      </c>
      <c r="D184" s="1" t="s">
        <v>212</v>
      </c>
      <c r="E184" s="1" t="s">
        <v>133</v>
      </c>
      <c r="F184" s="1" t="s">
        <v>1281</v>
      </c>
      <c r="G184" s="4">
        <v>46160</v>
      </c>
      <c r="H184" s="5">
        <v>0.3923611111111111</v>
      </c>
      <c r="I184" s="1" t="s">
        <v>60</v>
      </c>
      <c r="J184" s="1" t="s">
        <v>1280</v>
      </c>
      <c r="K184" s="4">
        <v>46173</v>
      </c>
      <c r="L184" s="30">
        <v>0.12847222222222221</v>
      </c>
    </row>
    <row r="185" spans="1:12" x14ac:dyDescent="0.3">
      <c r="A185" s="25">
        <v>872412</v>
      </c>
      <c r="B185" s="1" t="s">
        <v>214</v>
      </c>
      <c r="C185" s="1" t="s">
        <v>1190</v>
      </c>
      <c r="D185" s="1" t="s">
        <v>212</v>
      </c>
      <c r="E185" s="1" t="s">
        <v>133</v>
      </c>
      <c r="F185" s="1" t="s">
        <v>1281</v>
      </c>
      <c r="G185" s="4">
        <v>46160</v>
      </c>
      <c r="H185" s="5">
        <v>0.3923611111111111</v>
      </c>
      <c r="I185" s="1" t="s">
        <v>60</v>
      </c>
      <c r="J185" s="1" t="s">
        <v>1280</v>
      </c>
      <c r="K185" s="4">
        <v>46173</v>
      </c>
      <c r="L185" s="30">
        <v>0.12847222222222221</v>
      </c>
    </row>
    <row r="186" spans="1:12" x14ac:dyDescent="0.3">
      <c r="A186" s="25">
        <v>32770</v>
      </c>
      <c r="B186" s="1" t="s">
        <v>214</v>
      </c>
      <c r="C186" s="1" t="s">
        <v>1193</v>
      </c>
      <c r="D186" s="1" t="s">
        <v>212</v>
      </c>
      <c r="E186" s="1" t="s">
        <v>134</v>
      </c>
      <c r="F186" s="1" t="s">
        <v>1281</v>
      </c>
      <c r="G186" s="4">
        <v>46160</v>
      </c>
      <c r="H186" s="5">
        <v>0.73958333333333337</v>
      </c>
      <c r="I186" s="1" t="s">
        <v>63</v>
      </c>
      <c r="J186" s="1" t="s">
        <v>1280</v>
      </c>
      <c r="K186" s="4">
        <v>46172</v>
      </c>
      <c r="L186" s="30">
        <v>0.35069444444444442</v>
      </c>
    </row>
    <row r="187" spans="1:12" x14ac:dyDescent="0.3">
      <c r="A187" s="25">
        <v>807637</v>
      </c>
      <c r="B187" s="1" t="s">
        <v>214</v>
      </c>
      <c r="C187" s="1" t="s">
        <v>1202</v>
      </c>
      <c r="D187" s="1" t="s">
        <v>212</v>
      </c>
      <c r="E187" s="1" t="s">
        <v>136</v>
      </c>
      <c r="F187" s="1" t="s">
        <v>1281</v>
      </c>
      <c r="G187" s="4">
        <v>46160</v>
      </c>
      <c r="H187" s="5">
        <v>0.1076388888888889</v>
      </c>
      <c r="I187" s="1" t="s">
        <v>71</v>
      </c>
      <c r="J187" s="1" t="s">
        <v>1280</v>
      </c>
      <c r="K187" s="4">
        <v>46172</v>
      </c>
      <c r="L187" s="30">
        <v>0.40972222222222221</v>
      </c>
    </row>
    <row r="188" spans="1:12" x14ac:dyDescent="0.3">
      <c r="A188" s="25">
        <v>726200</v>
      </c>
      <c r="B188" s="1" t="s">
        <v>214</v>
      </c>
      <c r="C188" s="1" t="s">
        <v>1199</v>
      </c>
      <c r="D188" s="1" t="s">
        <v>212</v>
      </c>
      <c r="E188" s="1" t="s">
        <v>61</v>
      </c>
      <c r="F188" s="1" t="s">
        <v>1280</v>
      </c>
      <c r="G188" s="4">
        <v>46160</v>
      </c>
      <c r="H188" s="5">
        <v>0.57986111111111116</v>
      </c>
      <c r="I188" s="1" t="s">
        <v>63</v>
      </c>
      <c r="J188" s="1" t="s">
        <v>1280</v>
      </c>
      <c r="K188" s="4">
        <v>46172</v>
      </c>
      <c r="L188" s="30">
        <v>0.3923611111111111</v>
      </c>
    </row>
    <row r="189" spans="1:12" x14ac:dyDescent="0.3">
      <c r="A189" s="25">
        <v>726235</v>
      </c>
      <c r="B189" s="1" t="s">
        <v>214</v>
      </c>
      <c r="C189" s="1" t="s">
        <v>1199</v>
      </c>
      <c r="D189" s="1" t="s">
        <v>212</v>
      </c>
      <c r="E189" s="1" t="s">
        <v>61</v>
      </c>
      <c r="F189" s="1" t="s">
        <v>1280</v>
      </c>
      <c r="G189" s="4">
        <v>46160</v>
      </c>
      <c r="H189" s="5">
        <v>0.57986111111111116</v>
      </c>
      <c r="I189" s="1" t="s">
        <v>63</v>
      </c>
      <c r="J189" s="1" t="s">
        <v>1280</v>
      </c>
      <c r="K189" s="4">
        <v>46172</v>
      </c>
      <c r="L189" s="30">
        <v>0.3923611111111111</v>
      </c>
    </row>
    <row r="190" spans="1:12" x14ac:dyDescent="0.3">
      <c r="A190" s="25">
        <v>692445</v>
      </c>
      <c r="B190" s="1" t="s">
        <v>214</v>
      </c>
      <c r="C190" s="1" t="s">
        <v>1193</v>
      </c>
      <c r="D190" s="1" t="s">
        <v>212</v>
      </c>
      <c r="E190" s="1" t="s">
        <v>134</v>
      </c>
      <c r="F190" s="1" t="s">
        <v>1281</v>
      </c>
      <c r="G190" s="4">
        <v>46160</v>
      </c>
      <c r="H190" s="5">
        <v>0.73958333333333337</v>
      </c>
      <c r="I190" s="1" t="s">
        <v>63</v>
      </c>
      <c r="J190" s="1" t="s">
        <v>1280</v>
      </c>
      <c r="K190" s="4">
        <v>46172</v>
      </c>
      <c r="L190" s="30">
        <v>0.35069444444444442</v>
      </c>
    </row>
    <row r="191" spans="1:12" x14ac:dyDescent="0.3">
      <c r="A191" s="25">
        <v>693173</v>
      </c>
      <c r="B191" s="1" t="s">
        <v>214</v>
      </c>
      <c r="C191" s="1" t="s">
        <v>1193</v>
      </c>
      <c r="D191" s="1" t="s">
        <v>212</v>
      </c>
      <c r="E191" s="1" t="s">
        <v>134</v>
      </c>
      <c r="F191" s="1" t="s">
        <v>1281</v>
      </c>
      <c r="G191" s="4">
        <v>46160</v>
      </c>
      <c r="H191" s="5">
        <v>0.73958333333333337</v>
      </c>
      <c r="I191" s="1" t="s">
        <v>63</v>
      </c>
      <c r="J191" s="1" t="s">
        <v>1280</v>
      </c>
      <c r="K191" s="4">
        <v>46172</v>
      </c>
      <c r="L191" s="30">
        <v>0.35069444444444442</v>
      </c>
    </row>
    <row r="192" spans="1:12" x14ac:dyDescent="0.3">
      <c r="A192" s="25">
        <v>610992</v>
      </c>
      <c r="B192" s="1" t="s">
        <v>214</v>
      </c>
      <c r="C192" s="1" t="s">
        <v>1190</v>
      </c>
      <c r="D192" s="1" t="s">
        <v>212</v>
      </c>
      <c r="E192" s="1" t="s">
        <v>133</v>
      </c>
      <c r="F192" s="1" t="s">
        <v>1281</v>
      </c>
      <c r="G192" s="4">
        <v>46160</v>
      </c>
      <c r="H192" s="5">
        <v>0.3923611111111111</v>
      </c>
      <c r="I192" s="1" t="s">
        <v>60</v>
      </c>
      <c r="J192" s="1" t="s">
        <v>1280</v>
      </c>
      <c r="K192" s="4">
        <v>46173</v>
      </c>
      <c r="L192" s="30">
        <v>0.12847222222222221</v>
      </c>
    </row>
    <row r="193" spans="1:12" x14ac:dyDescent="0.3">
      <c r="A193" s="25">
        <v>614947</v>
      </c>
      <c r="B193" s="1" t="s">
        <v>214</v>
      </c>
      <c r="C193" s="1" t="s">
        <v>1190</v>
      </c>
      <c r="D193" s="1" t="s">
        <v>212</v>
      </c>
      <c r="E193" s="1" t="s">
        <v>133</v>
      </c>
      <c r="F193" s="1" t="s">
        <v>1281</v>
      </c>
      <c r="G193" s="4">
        <v>46160</v>
      </c>
      <c r="H193" s="5">
        <v>0.3923611111111111</v>
      </c>
      <c r="I193" s="1" t="s">
        <v>60</v>
      </c>
      <c r="J193" s="1" t="s">
        <v>1280</v>
      </c>
      <c r="K193" s="4">
        <v>46173</v>
      </c>
      <c r="L193" s="30">
        <v>0.12847222222222221</v>
      </c>
    </row>
    <row r="194" spans="1:12" x14ac:dyDescent="0.3">
      <c r="A194" s="25">
        <v>723323</v>
      </c>
      <c r="B194" s="1" t="s">
        <v>214</v>
      </c>
      <c r="C194" s="1" t="s">
        <v>1191</v>
      </c>
      <c r="D194" s="1" t="s">
        <v>212</v>
      </c>
      <c r="E194" s="1" t="s">
        <v>57</v>
      </c>
      <c r="F194" s="1" t="s">
        <v>1280</v>
      </c>
      <c r="G194" s="4">
        <v>46163</v>
      </c>
      <c r="H194" s="5">
        <v>0.2361111111111111</v>
      </c>
      <c r="I194" s="1" t="s">
        <v>76</v>
      </c>
      <c r="J194" s="1" t="s">
        <v>1281</v>
      </c>
      <c r="K194" s="4">
        <v>46175</v>
      </c>
      <c r="L194" s="30">
        <v>0.93055555555555558</v>
      </c>
    </row>
    <row r="195" spans="1:12" x14ac:dyDescent="0.3">
      <c r="A195" s="25">
        <v>723341</v>
      </c>
      <c r="B195" s="1" t="s">
        <v>214</v>
      </c>
      <c r="C195" s="1" t="s">
        <v>1191</v>
      </c>
      <c r="D195" s="1" t="s">
        <v>212</v>
      </c>
      <c r="E195" s="1" t="s">
        <v>57</v>
      </c>
      <c r="F195" s="1" t="s">
        <v>1280</v>
      </c>
      <c r="G195" s="4">
        <v>46163</v>
      </c>
      <c r="H195" s="5">
        <v>0.2361111111111111</v>
      </c>
      <c r="I195" s="1" t="s">
        <v>76</v>
      </c>
      <c r="J195" s="1" t="s">
        <v>1281</v>
      </c>
      <c r="K195" s="4">
        <v>46175</v>
      </c>
      <c r="L195" s="30">
        <v>0.93055555555555558</v>
      </c>
    </row>
    <row r="196" spans="1:12" x14ac:dyDescent="0.3">
      <c r="A196" s="25">
        <v>723353</v>
      </c>
      <c r="B196" s="1" t="s">
        <v>214</v>
      </c>
      <c r="C196" s="1" t="s">
        <v>1191</v>
      </c>
      <c r="D196" s="1" t="s">
        <v>212</v>
      </c>
      <c r="E196" s="1" t="s">
        <v>57</v>
      </c>
      <c r="F196" s="1" t="s">
        <v>1280</v>
      </c>
      <c r="G196" s="4">
        <v>46163</v>
      </c>
      <c r="H196" s="5">
        <v>0.2361111111111111</v>
      </c>
      <c r="I196" s="1" t="s">
        <v>76</v>
      </c>
      <c r="J196" s="1" t="s">
        <v>1281</v>
      </c>
      <c r="K196" s="4">
        <v>46175</v>
      </c>
      <c r="L196" s="30">
        <v>0.93055555555555558</v>
      </c>
    </row>
    <row r="197" spans="1:12" x14ac:dyDescent="0.3">
      <c r="A197" s="25">
        <v>663303</v>
      </c>
      <c r="B197" s="1" t="s">
        <v>214</v>
      </c>
      <c r="C197" s="1" t="s">
        <v>1196</v>
      </c>
      <c r="D197" s="1" t="s">
        <v>212</v>
      </c>
      <c r="E197" s="1" t="s">
        <v>61</v>
      </c>
      <c r="F197" s="1" t="s">
        <v>1280</v>
      </c>
      <c r="G197" s="4">
        <v>46164</v>
      </c>
      <c r="H197" s="5">
        <v>0.57986111111111116</v>
      </c>
      <c r="I197" s="1" t="s">
        <v>72</v>
      </c>
      <c r="J197" s="1" t="s">
        <v>1281</v>
      </c>
      <c r="K197" s="4">
        <v>46172</v>
      </c>
      <c r="L197" s="30">
        <v>0.25347222222222221</v>
      </c>
    </row>
    <row r="198" spans="1:12" x14ac:dyDescent="0.3">
      <c r="A198" s="25">
        <v>663479</v>
      </c>
      <c r="B198" s="1" t="s">
        <v>214</v>
      </c>
      <c r="C198" s="1" t="s">
        <v>1196</v>
      </c>
      <c r="D198" s="1" t="s">
        <v>212</v>
      </c>
      <c r="E198" s="1" t="s">
        <v>61</v>
      </c>
      <c r="F198" s="1" t="s">
        <v>1280</v>
      </c>
      <c r="G198" s="4">
        <v>46164</v>
      </c>
      <c r="H198" s="5">
        <v>0.57986111111111116</v>
      </c>
      <c r="I198" s="1" t="s">
        <v>72</v>
      </c>
      <c r="J198" s="1" t="s">
        <v>1281</v>
      </c>
      <c r="K198" s="4">
        <v>46172</v>
      </c>
      <c r="L198" s="30">
        <v>0.25347222222222221</v>
      </c>
    </row>
    <row r="199" spans="1:12" x14ac:dyDescent="0.3">
      <c r="A199" s="25">
        <v>663502</v>
      </c>
      <c r="B199" s="1" t="s">
        <v>214</v>
      </c>
      <c r="C199" s="1" t="s">
        <v>1196</v>
      </c>
      <c r="D199" s="1" t="s">
        <v>212</v>
      </c>
      <c r="E199" s="1" t="s">
        <v>61</v>
      </c>
      <c r="F199" s="1" t="s">
        <v>1280</v>
      </c>
      <c r="G199" s="4">
        <v>46164</v>
      </c>
      <c r="H199" s="5">
        <v>0.57986111111111116</v>
      </c>
      <c r="I199" s="1" t="s">
        <v>72</v>
      </c>
      <c r="J199" s="1" t="s">
        <v>1281</v>
      </c>
      <c r="K199" s="4">
        <v>46172</v>
      </c>
      <c r="L199" s="30">
        <v>0.25347222222222221</v>
      </c>
    </row>
    <row r="200" spans="1:12" x14ac:dyDescent="0.3">
      <c r="A200" s="25">
        <v>663509</v>
      </c>
      <c r="B200" s="1" t="s">
        <v>214</v>
      </c>
      <c r="C200" s="1" t="s">
        <v>1196</v>
      </c>
      <c r="D200" s="1" t="s">
        <v>212</v>
      </c>
      <c r="E200" s="1" t="s">
        <v>61</v>
      </c>
      <c r="F200" s="1" t="s">
        <v>1280</v>
      </c>
      <c r="G200" s="4">
        <v>46164</v>
      </c>
      <c r="H200" s="5">
        <v>0.57986111111111116</v>
      </c>
      <c r="I200" s="1" t="s">
        <v>72</v>
      </c>
      <c r="J200" s="1" t="s">
        <v>1281</v>
      </c>
      <c r="K200" s="4">
        <v>46172</v>
      </c>
      <c r="L200" s="30">
        <v>0.25347222222222221</v>
      </c>
    </row>
    <row r="201" spans="1:12" x14ac:dyDescent="0.3">
      <c r="A201" s="25">
        <v>663537</v>
      </c>
      <c r="B201" s="1" t="s">
        <v>214</v>
      </c>
      <c r="C201" s="1" t="s">
        <v>1196</v>
      </c>
      <c r="D201" s="1" t="s">
        <v>212</v>
      </c>
      <c r="E201" s="1" t="s">
        <v>61</v>
      </c>
      <c r="F201" s="1" t="s">
        <v>1280</v>
      </c>
      <c r="G201" s="4">
        <v>46164</v>
      </c>
      <c r="H201" s="5">
        <v>0.57986111111111116</v>
      </c>
      <c r="I201" s="1" t="s">
        <v>72</v>
      </c>
      <c r="J201" s="1" t="s">
        <v>1281</v>
      </c>
      <c r="K201" s="4">
        <v>46172</v>
      </c>
      <c r="L201" s="30">
        <v>0.25347222222222221</v>
      </c>
    </row>
    <row r="202" spans="1:12" x14ac:dyDescent="0.3">
      <c r="A202" s="25">
        <v>752562</v>
      </c>
      <c r="B202" s="1" t="s">
        <v>214</v>
      </c>
      <c r="C202" s="1" t="s">
        <v>1192</v>
      </c>
      <c r="D202" s="1" t="s">
        <v>212</v>
      </c>
      <c r="E202" s="1" t="s">
        <v>57</v>
      </c>
      <c r="F202" s="1" t="s">
        <v>1280</v>
      </c>
      <c r="G202" s="4">
        <v>46163</v>
      </c>
      <c r="H202" s="5">
        <v>0.2361111111111111</v>
      </c>
      <c r="I202" s="1" t="s">
        <v>76</v>
      </c>
      <c r="J202" s="1" t="s">
        <v>1281</v>
      </c>
      <c r="K202" s="4">
        <v>46175</v>
      </c>
      <c r="L202" s="30">
        <v>0.93055555555555558</v>
      </c>
    </row>
    <row r="203" spans="1:12" x14ac:dyDescent="0.3">
      <c r="A203" s="25">
        <v>762594</v>
      </c>
      <c r="B203" s="1" t="s">
        <v>214</v>
      </c>
      <c r="C203" s="1" t="s">
        <v>1192</v>
      </c>
      <c r="D203" s="1" t="s">
        <v>212</v>
      </c>
      <c r="E203" s="1" t="s">
        <v>57</v>
      </c>
      <c r="F203" s="1" t="s">
        <v>1280</v>
      </c>
      <c r="G203" s="4">
        <v>46163</v>
      </c>
      <c r="H203" s="5">
        <v>0.2361111111111111</v>
      </c>
      <c r="I203" s="1" t="s">
        <v>76</v>
      </c>
      <c r="J203" s="1" t="s">
        <v>1281</v>
      </c>
      <c r="K203" s="4">
        <v>46175</v>
      </c>
      <c r="L203" s="30">
        <v>0.93055555555555558</v>
      </c>
    </row>
    <row r="204" spans="1:12" x14ac:dyDescent="0.3">
      <c r="A204" s="25">
        <v>819816</v>
      </c>
      <c r="B204" s="1" t="s">
        <v>214</v>
      </c>
      <c r="C204" s="1" t="s">
        <v>1196</v>
      </c>
      <c r="D204" s="1" t="s">
        <v>212</v>
      </c>
      <c r="E204" s="1" t="s">
        <v>61</v>
      </c>
      <c r="F204" s="1" t="s">
        <v>1280</v>
      </c>
      <c r="G204" s="4">
        <v>46164</v>
      </c>
      <c r="H204" s="5">
        <v>0.57986111111111116</v>
      </c>
      <c r="I204" s="1" t="s">
        <v>72</v>
      </c>
      <c r="J204" s="1" t="s">
        <v>1281</v>
      </c>
      <c r="K204" s="4">
        <v>46172</v>
      </c>
      <c r="L204" s="30">
        <v>0.25347222222222221</v>
      </c>
    </row>
    <row r="205" spans="1:12" x14ac:dyDescent="0.3">
      <c r="A205" s="25">
        <v>819868</v>
      </c>
      <c r="B205" s="1" t="s">
        <v>214</v>
      </c>
      <c r="C205" s="1" t="s">
        <v>1196</v>
      </c>
      <c r="D205" s="1" t="s">
        <v>212</v>
      </c>
      <c r="E205" s="1" t="s">
        <v>61</v>
      </c>
      <c r="F205" s="1" t="s">
        <v>1280</v>
      </c>
      <c r="G205" s="4">
        <v>46164</v>
      </c>
      <c r="H205" s="5">
        <v>0.57986111111111116</v>
      </c>
      <c r="I205" s="1" t="s">
        <v>72</v>
      </c>
      <c r="J205" s="1" t="s">
        <v>1281</v>
      </c>
      <c r="K205" s="4">
        <v>46172</v>
      </c>
      <c r="L205" s="30">
        <v>0.25347222222222221</v>
      </c>
    </row>
    <row r="206" spans="1:12" x14ac:dyDescent="0.3">
      <c r="A206" s="25">
        <v>328213</v>
      </c>
      <c r="B206" s="1" t="s">
        <v>214</v>
      </c>
      <c r="C206" s="1" t="s">
        <v>1194</v>
      </c>
      <c r="D206" s="1" t="s">
        <v>212</v>
      </c>
      <c r="E206" s="1" t="s">
        <v>137</v>
      </c>
      <c r="F206" s="1" t="s">
        <v>1281</v>
      </c>
      <c r="G206" s="4">
        <v>46161</v>
      </c>
      <c r="H206" s="5">
        <v>0.87847222222222221</v>
      </c>
      <c r="I206" s="1" t="s">
        <v>63</v>
      </c>
      <c r="J206" s="1" t="s">
        <v>1280</v>
      </c>
      <c r="K206" s="4">
        <v>46173</v>
      </c>
      <c r="L206" s="30">
        <v>0.3923611111111111</v>
      </c>
    </row>
    <row r="207" spans="1:12" x14ac:dyDescent="0.3">
      <c r="A207" s="25">
        <v>637073</v>
      </c>
      <c r="B207" s="1" t="s">
        <v>214</v>
      </c>
      <c r="C207" s="1" t="s">
        <v>1194</v>
      </c>
      <c r="D207" s="1" t="s">
        <v>212</v>
      </c>
      <c r="E207" s="1" t="s">
        <v>137</v>
      </c>
      <c r="F207" s="1" t="s">
        <v>1281</v>
      </c>
      <c r="G207" s="4">
        <v>46161</v>
      </c>
      <c r="H207" s="5">
        <v>0.87847222222222221</v>
      </c>
      <c r="I207" s="1" t="s">
        <v>63</v>
      </c>
      <c r="J207" s="1" t="s">
        <v>1280</v>
      </c>
      <c r="K207" s="4">
        <v>46173</v>
      </c>
      <c r="L207" s="30">
        <v>0.3923611111111111</v>
      </c>
    </row>
    <row r="208" spans="1:12" x14ac:dyDescent="0.3">
      <c r="A208" s="25">
        <v>862334</v>
      </c>
      <c r="B208" s="1" t="s">
        <v>214</v>
      </c>
      <c r="C208" s="1" t="s">
        <v>1190</v>
      </c>
      <c r="D208" s="1" t="s">
        <v>212</v>
      </c>
      <c r="E208" s="1" t="s">
        <v>133</v>
      </c>
      <c r="F208" s="1" t="s">
        <v>1281</v>
      </c>
      <c r="G208" s="4">
        <v>46160</v>
      </c>
      <c r="H208" s="5">
        <v>0.3923611111111111</v>
      </c>
      <c r="I208" s="1" t="s">
        <v>60</v>
      </c>
      <c r="J208" s="1" t="s">
        <v>1280</v>
      </c>
      <c r="K208" s="4">
        <v>46173</v>
      </c>
      <c r="L208" s="30">
        <v>0.12847222222222221</v>
      </c>
    </row>
    <row r="209" spans="1:12" x14ac:dyDescent="0.3">
      <c r="A209" s="25">
        <v>862401</v>
      </c>
      <c r="B209" s="1" t="s">
        <v>214</v>
      </c>
      <c r="C209" s="1" t="s">
        <v>1190</v>
      </c>
      <c r="D209" s="1" t="s">
        <v>212</v>
      </c>
      <c r="E209" s="1" t="s">
        <v>133</v>
      </c>
      <c r="F209" s="1" t="s">
        <v>1281</v>
      </c>
      <c r="G209" s="4">
        <v>46160</v>
      </c>
      <c r="H209" s="5">
        <v>0.3923611111111111</v>
      </c>
      <c r="I209" s="1" t="s">
        <v>60</v>
      </c>
      <c r="J209" s="1" t="s">
        <v>1280</v>
      </c>
      <c r="K209" s="4">
        <v>46173</v>
      </c>
      <c r="L209" s="30">
        <v>0.12847222222222221</v>
      </c>
    </row>
    <row r="210" spans="1:12" x14ac:dyDescent="0.3">
      <c r="A210" s="25">
        <v>862441</v>
      </c>
      <c r="B210" s="1" t="s">
        <v>214</v>
      </c>
      <c r="C210" s="1" t="s">
        <v>1190</v>
      </c>
      <c r="D210" s="1" t="s">
        <v>212</v>
      </c>
      <c r="E210" s="1" t="s">
        <v>133</v>
      </c>
      <c r="F210" s="1" t="s">
        <v>1281</v>
      </c>
      <c r="G210" s="4">
        <v>46160</v>
      </c>
      <c r="H210" s="5">
        <v>0.3923611111111111</v>
      </c>
      <c r="I210" s="1" t="s">
        <v>60</v>
      </c>
      <c r="J210" s="1" t="s">
        <v>1280</v>
      </c>
      <c r="K210" s="4">
        <v>46173</v>
      </c>
      <c r="L210" s="30">
        <v>0.12847222222222221</v>
      </c>
    </row>
    <row r="211" spans="1:12" x14ac:dyDescent="0.3">
      <c r="A211" s="25">
        <v>864866</v>
      </c>
      <c r="B211" s="1" t="s">
        <v>214</v>
      </c>
      <c r="C211" s="1" t="s">
        <v>1190</v>
      </c>
      <c r="D211" s="1" t="s">
        <v>212</v>
      </c>
      <c r="E211" s="1" t="s">
        <v>133</v>
      </c>
      <c r="F211" s="1" t="s">
        <v>1281</v>
      </c>
      <c r="G211" s="4">
        <v>46160</v>
      </c>
      <c r="H211" s="5">
        <v>0.3923611111111111</v>
      </c>
      <c r="I211" s="1" t="s">
        <v>60</v>
      </c>
      <c r="J211" s="1" t="s">
        <v>1280</v>
      </c>
      <c r="K211" s="4">
        <v>46173</v>
      </c>
      <c r="L211" s="30">
        <v>0.12847222222222221</v>
      </c>
    </row>
    <row r="212" spans="1:12" x14ac:dyDescent="0.3">
      <c r="A212" s="25">
        <v>131330</v>
      </c>
      <c r="B212" s="1" t="s">
        <v>214</v>
      </c>
      <c r="C212" s="1" t="s">
        <v>1190</v>
      </c>
      <c r="D212" s="1" t="s">
        <v>212</v>
      </c>
      <c r="E212" s="1" t="s">
        <v>133</v>
      </c>
      <c r="F212" s="1" t="s">
        <v>1281</v>
      </c>
      <c r="G212" s="4">
        <v>46160</v>
      </c>
      <c r="H212" s="5">
        <v>0.3923611111111111</v>
      </c>
      <c r="I212" s="1" t="s">
        <v>60</v>
      </c>
      <c r="J212" s="1" t="s">
        <v>1280</v>
      </c>
      <c r="K212" s="4">
        <v>46173</v>
      </c>
      <c r="L212" s="30">
        <v>0.12847222222222221</v>
      </c>
    </row>
    <row r="213" spans="1:12" x14ac:dyDescent="0.3">
      <c r="A213" s="25">
        <v>131352</v>
      </c>
      <c r="B213" s="1" t="s">
        <v>214</v>
      </c>
      <c r="C213" s="1" t="s">
        <v>1190</v>
      </c>
      <c r="D213" s="1" t="s">
        <v>212</v>
      </c>
      <c r="E213" s="1" t="s">
        <v>133</v>
      </c>
      <c r="F213" s="1" t="s">
        <v>1281</v>
      </c>
      <c r="G213" s="4">
        <v>46160</v>
      </c>
      <c r="H213" s="5">
        <v>0.3923611111111111</v>
      </c>
      <c r="I213" s="1" t="s">
        <v>60</v>
      </c>
      <c r="J213" s="1" t="s">
        <v>1280</v>
      </c>
      <c r="K213" s="4">
        <v>46173</v>
      </c>
      <c r="L213" s="30">
        <v>0.12847222222222221</v>
      </c>
    </row>
    <row r="214" spans="1:12" x14ac:dyDescent="0.3">
      <c r="A214" s="25">
        <v>131372</v>
      </c>
      <c r="B214" s="1" t="s">
        <v>214</v>
      </c>
      <c r="C214" s="1" t="s">
        <v>1190</v>
      </c>
      <c r="D214" s="1" t="s">
        <v>212</v>
      </c>
      <c r="E214" s="1" t="s">
        <v>133</v>
      </c>
      <c r="F214" s="1" t="s">
        <v>1281</v>
      </c>
      <c r="G214" s="4">
        <v>46160</v>
      </c>
      <c r="H214" s="5">
        <v>0.3923611111111111</v>
      </c>
      <c r="I214" s="1" t="s">
        <v>60</v>
      </c>
      <c r="J214" s="1" t="s">
        <v>1280</v>
      </c>
      <c r="K214" s="4">
        <v>46173</v>
      </c>
      <c r="L214" s="30">
        <v>0.12847222222222221</v>
      </c>
    </row>
    <row r="215" spans="1:12" x14ac:dyDescent="0.3">
      <c r="A215" s="25">
        <v>819175</v>
      </c>
      <c r="B215" s="1" t="s">
        <v>214</v>
      </c>
      <c r="C215" s="1" t="s">
        <v>1196</v>
      </c>
      <c r="D215" s="1" t="s">
        <v>212</v>
      </c>
      <c r="E215" s="1" t="s">
        <v>61</v>
      </c>
      <c r="F215" s="1" t="s">
        <v>1280</v>
      </c>
      <c r="G215" s="4">
        <v>46164</v>
      </c>
      <c r="H215" s="5">
        <v>0.57986111111111116</v>
      </c>
      <c r="I215" s="1" t="s">
        <v>72</v>
      </c>
      <c r="J215" s="1" t="s">
        <v>1281</v>
      </c>
      <c r="K215" s="4">
        <v>46172</v>
      </c>
      <c r="L215" s="30">
        <v>0.25347222222222221</v>
      </c>
    </row>
    <row r="216" spans="1:12" x14ac:dyDescent="0.3">
      <c r="A216" s="25">
        <v>819254</v>
      </c>
      <c r="B216" s="1" t="s">
        <v>214</v>
      </c>
      <c r="C216" s="1" t="s">
        <v>1196</v>
      </c>
      <c r="D216" s="1" t="s">
        <v>212</v>
      </c>
      <c r="E216" s="1" t="s">
        <v>61</v>
      </c>
      <c r="F216" s="1" t="s">
        <v>1280</v>
      </c>
      <c r="G216" s="4">
        <v>46164</v>
      </c>
      <c r="H216" s="5">
        <v>0.57986111111111116</v>
      </c>
      <c r="I216" s="1" t="s">
        <v>72</v>
      </c>
      <c r="J216" s="1" t="s">
        <v>1281</v>
      </c>
      <c r="K216" s="4">
        <v>46172</v>
      </c>
      <c r="L216" s="30">
        <v>0.25347222222222221</v>
      </c>
    </row>
    <row r="217" spans="1:12" x14ac:dyDescent="0.3">
      <c r="A217" s="25">
        <v>868401</v>
      </c>
      <c r="B217" s="1" t="s">
        <v>214</v>
      </c>
      <c r="C217" s="1" t="s">
        <v>1202</v>
      </c>
      <c r="D217" s="1" t="s">
        <v>212</v>
      </c>
      <c r="E217" s="1" t="s">
        <v>136</v>
      </c>
      <c r="F217" s="1" t="s">
        <v>1281</v>
      </c>
      <c r="G217" s="4">
        <v>46160</v>
      </c>
      <c r="H217" s="5">
        <v>0.1076388888888889</v>
      </c>
      <c r="I217" s="1" t="s">
        <v>71</v>
      </c>
      <c r="J217" s="1" t="s">
        <v>1280</v>
      </c>
      <c r="K217" s="4">
        <v>46172</v>
      </c>
      <c r="L217" s="30">
        <v>0.40972222222222221</v>
      </c>
    </row>
    <row r="218" spans="1:12" x14ac:dyDescent="0.3">
      <c r="A218" s="25">
        <v>715940</v>
      </c>
      <c r="B218" s="1" t="s">
        <v>214</v>
      </c>
      <c r="C218" s="1" t="s">
        <v>1209</v>
      </c>
      <c r="D218" s="1" t="s">
        <v>212</v>
      </c>
      <c r="E218" s="1" t="s">
        <v>134</v>
      </c>
      <c r="F218" s="1" t="s">
        <v>1281</v>
      </c>
      <c r="G218" s="4">
        <v>46160</v>
      </c>
      <c r="H218" s="5">
        <v>0.73958333333333337</v>
      </c>
      <c r="I218" s="1" t="s">
        <v>68</v>
      </c>
      <c r="J218" s="1" t="s">
        <v>1280</v>
      </c>
      <c r="K218" s="4">
        <v>46172</v>
      </c>
      <c r="L218" s="30">
        <v>0.38541666666666669</v>
      </c>
    </row>
    <row r="219" spans="1:12" x14ac:dyDescent="0.3">
      <c r="A219" s="25">
        <v>715988</v>
      </c>
      <c r="B219" s="1" t="s">
        <v>214</v>
      </c>
      <c r="C219" s="1" t="s">
        <v>1209</v>
      </c>
      <c r="D219" s="1" t="s">
        <v>212</v>
      </c>
      <c r="E219" s="1" t="s">
        <v>134</v>
      </c>
      <c r="F219" s="1" t="s">
        <v>1281</v>
      </c>
      <c r="G219" s="4">
        <v>46160</v>
      </c>
      <c r="H219" s="5">
        <v>0.73958333333333337</v>
      </c>
      <c r="I219" s="1" t="s">
        <v>68</v>
      </c>
      <c r="J219" s="1" t="s">
        <v>1280</v>
      </c>
      <c r="K219" s="4">
        <v>46172</v>
      </c>
      <c r="L219" s="30">
        <v>0.38541666666666669</v>
      </c>
    </row>
    <row r="220" spans="1:12" x14ac:dyDescent="0.3">
      <c r="A220" s="25">
        <v>787743</v>
      </c>
      <c r="B220" s="1" t="s">
        <v>214</v>
      </c>
      <c r="C220" s="1" t="s">
        <v>1193</v>
      </c>
      <c r="D220" s="1" t="s">
        <v>212</v>
      </c>
      <c r="E220" s="1" t="s">
        <v>134</v>
      </c>
      <c r="F220" s="1" t="s">
        <v>1281</v>
      </c>
      <c r="G220" s="4">
        <v>46160</v>
      </c>
      <c r="H220" s="5">
        <v>0.73958333333333337</v>
      </c>
      <c r="I220" s="1" t="s">
        <v>63</v>
      </c>
      <c r="J220" s="1" t="s">
        <v>1280</v>
      </c>
      <c r="K220" s="4">
        <v>46172</v>
      </c>
      <c r="L220" s="30">
        <v>0.35069444444444442</v>
      </c>
    </row>
    <row r="221" spans="1:12" x14ac:dyDescent="0.3">
      <c r="A221" s="25">
        <v>795892</v>
      </c>
      <c r="B221" s="1" t="s">
        <v>214</v>
      </c>
      <c r="C221" s="1" t="s">
        <v>1193</v>
      </c>
      <c r="D221" s="1" t="s">
        <v>212</v>
      </c>
      <c r="E221" s="1" t="s">
        <v>134</v>
      </c>
      <c r="F221" s="1" t="s">
        <v>1281</v>
      </c>
      <c r="G221" s="4">
        <v>46160</v>
      </c>
      <c r="H221" s="5">
        <v>0.73958333333333337</v>
      </c>
      <c r="I221" s="1" t="s">
        <v>63</v>
      </c>
      <c r="J221" s="1" t="s">
        <v>1280</v>
      </c>
      <c r="K221" s="4">
        <v>46172</v>
      </c>
      <c r="L221" s="30">
        <v>0.35069444444444442</v>
      </c>
    </row>
    <row r="222" spans="1:12" x14ac:dyDescent="0.3">
      <c r="A222" s="25">
        <v>548148</v>
      </c>
      <c r="B222" s="1" t="s">
        <v>214</v>
      </c>
      <c r="C222" s="1" t="s">
        <v>1193</v>
      </c>
      <c r="D222" s="1" t="s">
        <v>212</v>
      </c>
      <c r="E222" s="1" t="s">
        <v>134</v>
      </c>
      <c r="F222" s="1" t="s">
        <v>1281</v>
      </c>
      <c r="G222" s="4">
        <v>46160</v>
      </c>
      <c r="H222" s="5">
        <v>0.73958333333333337</v>
      </c>
      <c r="I222" s="1" t="s">
        <v>63</v>
      </c>
      <c r="J222" s="1" t="s">
        <v>1280</v>
      </c>
      <c r="K222" s="4">
        <v>46172</v>
      </c>
      <c r="L222" s="30">
        <v>0.35069444444444442</v>
      </c>
    </row>
    <row r="223" spans="1:12" x14ac:dyDescent="0.3">
      <c r="A223" s="25">
        <v>548381</v>
      </c>
      <c r="B223" s="1" t="s">
        <v>214</v>
      </c>
      <c r="C223" s="1" t="s">
        <v>1193</v>
      </c>
      <c r="D223" s="1" t="s">
        <v>212</v>
      </c>
      <c r="E223" s="1" t="s">
        <v>134</v>
      </c>
      <c r="F223" s="1" t="s">
        <v>1281</v>
      </c>
      <c r="G223" s="4">
        <v>46160</v>
      </c>
      <c r="H223" s="5">
        <v>0.73958333333333337</v>
      </c>
      <c r="I223" s="1" t="s">
        <v>63</v>
      </c>
      <c r="J223" s="1" t="s">
        <v>1280</v>
      </c>
      <c r="K223" s="4">
        <v>46172</v>
      </c>
      <c r="L223" s="30">
        <v>0.35069444444444442</v>
      </c>
    </row>
    <row r="224" spans="1:12" x14ac:dyDescent="0.3">
      <c r="A224" s="25">
        <v>491050</v>
      </c>
      <c r="B224" s="1" t="s">
        <v>214</v>
      </c>
      <c r="C224" s="1" t="s">
        <v>1193</v>
      </c>
      <c r="D224" s="1" t="s">
        <v>212</v>
      </c>
      <c r="E224" s="1" t="s">
        <v>134</v>
      </c>
      <c r="F224" s="1" t="s">
        <v>1281</v>
      </c>
      <c r="G224" s="4">
        <v>46160</v>
      </c>
      <c r="H224" s="5">
        <v>0.73958333333333337</v>
      </c>
      <c r="I224" s="1" t="s">
        <v>63</v>
      </c>
      <c r="J224" s="1" t="s">
        <v>1280</v>
      </c>
      <c r="K224" s="4">
        <v>46172</v>
      </c>
      <c r="L224" s="30">
        <v>0.35069444444444442</v>
      </c>
    </row>
    <row r="225" spans="1:12" x14ac:dyDescent="0.3">
      <c r="A225" s="25">
        <v>503805</v>
      </c>
      <c r="B225" s="1" t="s">
        <v>214</v>
      </c>
      <c r="C225" s="1" t="s">
        <v>1193</v>
      </c>
      <c r="D225" s="1" t="s">
        <v>212</v>
      </c>
      <c r="E225" s="1" t="s">
        <v>134</v>
      </c>
      <c r="F225" s="1" t="s">
        <v>1281</v>
      </c>
      <c r="G225" s="4">
        <v>46160</v>
      </c>
      <c r="H225" s="5">
        <v>0.73958333333333337</v>
      </c>
      <c r="I225" s="1" t="s">
        <v>63</v>
      </c>
      <c r="J225" s="1" t="s">
        <v>1280</v>
      </c>
      <c r="K225" s="4">
        <v>46172</v>
      </c>
      <c r="L225" s="30">
        <v>0.35069444444444442</v>
      </c>
    </row>
    <row r="226" spans="1:12" x14ac:dyDescent="0.3">
      <c r="A226" s="25">
        <v>554093</v>
      </c>
      <c r="B226" s="1" t="s">
        <v>214</v>
      </c>
      <c r="C226" s="1" t="s">
        <v>1203</v>
      </c>
      <c r="D226" s="1" t="s">
        <v>212</v>
      </c>
      <c r="E226" s="1" t="s">
        <v>136</v>
      </c>
      <c r="F226" s="1" t="s">
        <v>1281</v>
      </c>
      <c r="G226" s="4">
        <v>46160</v>
      </c>
      <c r="H226" s="5">
        <v>0.1076388888888889</v>
      </c>
      <c r="I226" s="1" t="s">
        <v>71</v>
      </c>
      <c r="J226" s="1" t="s">
        <v>1280</v>
      </c>
      <c r="K226" s="4">
        <v>46172</v>
      </c>
      <c r="L226" s="30">
        <v>0.40972222222222221</v>
      </c>
    </row>
    <row r="227" spans="1:12" x14ac:dyDescent="0.3">
      <c r="A227" s="25">
        <v>616092</v>
      </c>
      <c r="B227" s="1" t="s">
        <v>214</v>
      </c>
      <c r="C227" s="1" t="s">
        <v>1203</v>
      </c>
      <c r="D227" s="1" t="s">
        <v>212</v>
      </c>
      <c r="E227" s="1" t="s">
        <v>136</v>
      </c>
      <c r="F227" s="1" t="s">
        <v>1281</v>
      </c>
      <c r="G227" s="4">
        <v>46160</v>
      </c>
      <c r="H227" s="5">
        <v>0.1076388888888889</v>
      </c>
      <c r="I227" s="1" t="s">
        <v>71</v>
      </c>
      <c r="J227" s="1" t="s">
        <v>1280</v>
      </c>
      <c r="K227" s="4">
        <v>46172</v>
      </c>
      <c r="L227" s="30">
        <v>0.40972222222222221</v>
      </c>
    </row>
    <row r="228" spans="1:12" x14ac:dyDescent="0.3">
      <c r="A228" s="25">
        <v>727955</v>
      </c>
      <c r="B228" s="1" t="s">
        <v>214</v>
      </c>
      <c r="C228" s="1" t="s">
        <v>1202</v>
      </c>
      <c r="D228" s="1" t="s">
        <v>212</v>
      </c>
      <c r="E228" s="1" t="s">
        <v>136</v>
      </c>
      <c r="F228" s="1" t="s">
        <v>1281</v>
      </c>
      <c r="G228" s="4">
        <v>46160</v>
      </c>
      <c r="H228" s="5">
        <v>0.1076388888888889</v>
      </c>
      <c r="I228" s="1" t="s">
        <v>71</v>
      </c>
      <c r="J228" s="1" t="s">
        <v>1280</v>
      </c>
      <c r="K228" s="4">
        <v>46172</v>
      </c>
      <c r="L228" s="30">
        <v>0.40972222222222221</v>
      </c>
    </row>
    <row r="229" spans="1:12" x14ac:dyDescent="0.3">
      <c r="A229" s="25">
        <v>727973</v>
      </c>
      <c r="B229" s="1" t="s">
        <v>214</v>
      </c>
      <c r="C229" s="1" t="s">
        <v>1202</v>
      </c>
      <c r="D229" s="1" t="s">
        <v>212</v>
      </c>
      <c r="E229" s="1" t="s">
        <v>136</v>
      </c>
      <c r="F229" s="1" t="s">
        <v>1281</v>
      </c>
      <c r="G229" s="4">
        <v>46160</v>
      </c>
      <c r="H229" s="5">
        <v>0.1076388888888889</v>
      </c>
      <c r="I229" s="1" t="s">
        <v>71</v>
      </c>
      <c r="J229" s="1" t="s">
        <v>1280</v>
      </c>
      <c r="K229" s="4">
        <v>46172</v>
      </c>
      <c r="L229" s="30">
        <v>0.40972222222222221</v>
      </c>
    </row>
    <row r="230" spans="1:12" x14ac:dyDescent="0.3">
      <c r="A230" s="25">
        <v>712908</v>
      </c>
      <c r="B230" s="1" t="s">
        <v>214</v>
      </c>
      <c r="C230" s="1" t="s">
        <v>1193</v>
      </c>
      <c r="D230" s="1" t="s">
        <v>212</v>
      </c>
      <c r="E230" s="1" t="s">
        <v>134</v>
      </c>
      <c r="F230" s="1" t="s">
        <v>1281</v>
      </c>
      <c r="G230" s="4">
        <v>46160</v>
      </c>
      <c r="H230" s="5">
        <v>0.73958333333333337</v>
      </c>
      <c r="I230" s="1" t="s">
        <v>63</v>
      </c>
      <c r="J230" s="1" t="s">
        <v>1280</v>
      </c>
      <c r="K230" s="4">
        <v>46172</v>
      </c>
      <c r="L230" s="30">
        <v>0.35069444444444442</v>
      </c>
    </row>
    <row r="231" spans="1:12" x14ac:dyDescent="0.3">
      <c r="A231" s="25">
        <v>712926</v>
      </c>
      <c r="B231" s="1" t="s">
        <v>214</v>
      </c>
      <c r="C231" s="1" t="s">
        <v>1193</v>
      </c>
      <c r="D231" s="1" t="s">
        <v>212</v>
      </c>
      <c r="E231" s="1" t="s">
        <v>134</v>
      </c>
      <c r="F231" s="1" t="s">
        <v>1281</v>
      </c>
      <c r="G231" s="4">
        <v>46160</v>
      </c>
      <c r="H231" s="5">
        <v>0.73958333333333337</v>
      </c>
      <c r="I231" s="1" t="s">
        <v>63</v>
      </c>
      <c r="J231" s="1" t="s">
        <v>1280</v>
      </c>
      <c r="K231" s="4">
        <v>46172</v>
      </c>
      <c r="L231" s="30">
        <v>0.35069444444444442</v>
      </c>
    </row>
    <row r="232" spans="1:12" x14ac:dyDescent="0.3">
      <c r="A232" s="25">
        <v>720701</v>
      </c>
      <c r="B232" s="1" t="s">
        <v>214</v>
      </c>
      <c r="C232" s="1" t="s">
        <v>1193</v>
      </c>
      <c r="D232" s="1" t="s">
        <v>212</v>
      </c>
      <c r="E232" s="1" t="s">
        <v>134</v>
      </c>
      <c r="F232" s="1" t="s">
        <v>1281</v>
      </c>
      <c r="G232" s="4">
        <v>46160</v>
      </c>
      <c r="H232" s="5">
        <v>0.73958333333333337</v>
      </c>
      <c r="I232" s="1" t="s">
        <v>63</v>
      </c>
      <c r="J232" s="1" t="s">
        <v>1280</v>
      </c>
      <c r="K232" s="4">
        <v>46172</v>
      </c>
      <c r="L232" s="30">
        <v>0.35069444444444442</v>
      </c>
    </row>
    <row r="233" spans="1:12" x14ac:dyDescent="0.3">
      <c r="A233" s="25">
        <v>550195</v>
      </c>
      <c r="B233" s="1" t="s">
        <v>214</v>
      </c>
      <c r="C233" s="1" t="s">
        <v>1191</v>
      </c>
      <c r="D233" s="1" t="s">
        <v>212</v>
      </c>
      <c r="E233" s="1" t="s">
        <v>57</v>
      </c>
      <c r="F233" s="1" t="s">
        <v>1280</v>
      </c>
      <c r="G233" s="4">
        <v>46163</v>
      </c>
      <c r="H233" s="5">
        <v>0.2361111111111111</v>
      </c>
      <c r="I233" s="1" t="s">
        <v>76</v>
      </c>
      <c r="J233" s="1" t="s">
        <v>1281</v>
      </c>
      <c r="K233" s="4">
        <v>46175</v>
      </c>
      <c r="L233" s="30">
        <v>0.93055555555555558</v>
      </c>
    </row>
    <row r="234" spans="1:12" x14ac:dyDescent="0.3">
      <c r="A234" s="25">
        <v>552590</v>
      </c>
      <c r="B234" s="1" t="s">
        <v>214</v>
      </c>
      <c r="C234" s="1" t="s">
        <v>1191</v>
      </c>
      <c r="D234" s="1" t="s">
        <v>212</v>
      </c>
      <c r="E234" s="1" t="s">
        <v>57</v>
      </c>
      <c r="F234" s="1" t="s">
        <v>1280</v>
      </c>
      <c r="G234" s="4">
        <v>46163</v>
      </c>
      <c r="H234" s="5">
        <v>0.2361111111111111</v>
      </c>
      <c r="I234" s="1" t="s">
        <v>76</v>
      </c>
      <c r="J234" s="1" t="s">
        <v>1281</v>
      </c>
      <c r="K234" s="4">
        <v>46175</v>
      </c>
      <c r="L234" s="30">
        <v>0.93055555555555558</v>
      </c>
    </row>
    <row r="235" spans="1:12" x14ac:dyDescent="0.3">
      <c r="A235" s="25">
        <v>845787</v>
      </c>
      <c r="B235" s="1" t="s">
        <v>214</v>
      </c>
      <c r="C235" s="1" t="s">
        <v>1200</v>
      </c>
      <c r="D235" s="1" t="s">
        <v>212</v>
      </c>
      <c r="E235" s="1" t="s">
        <v>69</v>
      </c>
      <c r="F235" s="1" t="s">
        <v>1280</v>
      </c>
      <c r="G235" s="4">
        <v>46164</v>
      </c>
      <c r="H235" s="5">
        <v>0.93055555555555558</v>
      </c>
      <c r="I235" s="1" t="s">
        <v>72</v>
      </c>
      <c r="J235" s="1" t="s">
        <v>1281</v>
      </c>
      <c r="K235" s="4">
        <v>46177</v>
      </c>
      <c r="L235" s="30">
        <v>0.25347222222222221</v>
      </c>
    </row>
    <row r="236" spans="1:12" x14ac:dyDescent="0.3">
      <c r="A236" s="25">
        <v>862688</v>
      </c>
      <c r="B236" s="1" t="s">
        <v>214</v>
      </c>
      <c r="C236" s="1" t="s">
        <v>1193</v>
      </c>
      <c r="D236" s="1" t="s">
        <v>212</v>
      </c>
      <c r="E236" s="1" t="s">
        <v>134</v>
      </c>
      <c r="F236" s="1" t="s">
        <v>1281</v>
      </c>
      <c r="G236" s="4">
        <v>46160</v>
      </c>
      <c r="H236" s="5">
        <v>0.73958333333333337</v>
      </c>
      <c r="I236" s="1" t="s">
        <v>63</v>
      </c>
      <c r="J236" s="1" t="s">
        <v>1280</v>
      </c>
      <c r="K236" s="4">
        <v>46172</v>
      </c>
      <c r="L236" s="30">
        <v>0.35069444444444442</v>
      </c>
    </row>
    <row r="237" spans="1:12" x14ac:dyDescent="0.3">
      <c r="A237" s="25">
        <v>862702</v>
      </c>
      <c r="B237" s="1" t="s">
        <v>214</v>
      </c>
      <c r="C237" s="1" t="s">
        <v>1193</v>
      </c>
      <c r="D237" s="1" t="s">
        <v>212</v>
      </c>
      <c r="E237" s="1" t="s">
        <v>134</v>
      </c>
      <c r="F237" s="1" t="s">
        <v>1281</v>
      </c>
      <c r="G237" s="4">
        <v>46160</v>
      </c>
      <c r="H237" s="5">
        <v>0.73958333333333337</v>
      </c>
      <c r="I237" s="1" t="s">
        <v>63</v>
      </c>
      <c r="J237" s="1" t="s">
        <v>1280</v>
      </c>
      <c r="K237" s="4">
        <v>46172</v>
      </c>
      <c r="L237" s="30">
        <v>0.35069444444444442</v>
      </c>
    </row>
    <row r="238" spans="1:12" x14ac:dyDescent="0.3">
      <c r="A238" s="25">
        <v>847922</v>
      </c>
      <c r="B238" s="1" t="s">
        <v>214</v>
      </c>
      <c r="C238" s="1" t="s">
        <v>1212</v>
      </c>
      <c r="D238" s="1" t="s">
        <v>212</v>
      </c>
      <c r="E238" s="1" t="s">
        <v>66</v>
      </c>
      <c r="F238" s="1" t="s">
        <v>1280</v>
      </c>
      <c r="G238" s="4">
        <v>46164</v>
      </c>
      <c r="H238" s="5">
        <v>0.57986111111111116</v>
      </c>
      <c r="I238" s="1" t="s">
        <v>73</v>
      </c>
      <c r="J238" s="1" t="s">
        <v>1281</v>
      </c>
      <c r="K238" s="4">
        <v>46177</v>
      </c>
      <c r="L238" s="30">
        <v>0.14930555555555555</v>
      </c>
    </row>
    <row r="239" spans="1:12" x14ac:dyDescent="0.3">
      <c r="A239" s="25">
        <v>847977</v>
      </c>
      <c r="B239" s="1" t="s">
        <v>214</v>
      </c>
      <c r="C239" s="1" t="s">
        <v>1212</v>
      </c>
      <c r="D239" s="1" t="s">
        <v>212</v>
      </c>
      <c r="E239" s="1" t="s">
        <v>66</v>
      </c>
      <c r="F239" s="1" t="s">
        <v>1280</v>
      </c>
      <c r="G239" s="4">
        <v>46164</v>
      </c>
      <c r="H239" s="5">
        <v>0.57986111111111116</v>
      </c>
      <c r="I239" s="1" t="s">
        <v>73</v>
      </c>
      <c r="J239" s="1" t="s">
        <v>1281</v>
      </c>
      <c r="K239" s="4">
        <v>46177</v>
      </c>
      <c r="L239" s="30">
        <v>0.14930555555555555</v>
      </c>
    </row>
    <row r="240" spans="1:12" x14ac:dyDescent="0.3">
      <c r="A240" s="25">
        <v>727727</v>
      </c>
      <c r="B240" s="1" t="s">
        <v>214</v>
      </c>
      <c r="C240" s="1" t="s">
        <v>1191</v>
      </c>
      <c r="D240" s="1" t="s">
        <v>212</v>
      </c>
      <c r="E240" s="1" t="s">
        <v>57</v>
      </c>
      <c r="F240" s="1" t="s">
        <v>1280</v>
      </c>
      <c r="G240" s="4">
        <v>46163</v>
      </c>
      <c r="H240" s="5">
        <v>0.2361111111111111</v>
      </c>
      <c r="I240" s="1" t="s">
        <v>76</v>
      </c>
      <c r="J240" s="1" t="s">
        <v>1281</v>
      </c>
      <c r="K240" s="4">
        <v>46175</v>
      </c>
      <c r="L240" s="30">
        <v>0.93055555555555558</v>
      </c>
    </row>
    <row r="241" spans="1:12" x14ac:dyDescent="0.3">
      <c r="A241" s="25">
        <v>34512</v>
      </c>
      <c r="B241" s="1" t="s">
        <v>214</v>
      </c>
      <c r="C241" s="1" t="s">
        <v>1191</v>
      </c>
      <c r="D241" s="1" t="s">
        <v>212</v>
      </c>
      <c r="E241" s="1" t="s">
        <v>57</v>
      </c>
      <c r="F241" s="1" t="s">
        <v>1280</v>
      </c>
      <c r="G241" s="4">
        <v>46163</v>
      </c>
      <c r="H241" s="5">
        <v>0.2361111111111111</v>
      </c>
      <c r="I241" s="1" t="s">
        <v>76</v>
      </c>
      <c r="J241" s="1" t="s">
        <v>1281</v>
      </c>
      <c r="K241" s="4">
        <v>46175</v>
      </c>
      <c r="L241" s="30">
        <v>0.93055555555555558</v>
      </c>
    </row>
    <row r="242" spans="1:12" x14ac:dyDescent="0.3">
      <c r="A242" s="25">
        <v>825224</v>
      </c>
      <c r="B242" s="1" t="s">
        <v>214</v>
      </c>
      <c r="C242" s="1" t="s">
        <v>1205</v>
      </c>
      <c r="D242" s="1" t="s">
        <v>212</v>
      </c>
      <c r="E242" s="1" t="s">
        <v>136</v>
      </c>
      <c r="F242" s="1" t="s">
        <v>1281</v>
      </c>
      <c r="G242" s="4">
        <v>46163</v>
      </c>
      <c r="H242" s="5">
        <v>0.1076388888888889</v>
      </c>
      <c r="I242" s="1" t="s">
        <v>1221</v>
      </c>
      <c r="J242" s="1" t="s">
        <v>1280</v>
      </c>
      <c r="K242" s="4">
        <v>46172</v>
      </c>
      <c r="L242" s="30">
        <v>0.34027777777777779</v>
      </c>
    </row>
    <row r="243" spans="1:12" x14ac:dyDescent="0.3">
      <c r="A243" s="25">
        <v>825393</v>
      </c>
      <c r="B243" s="1" t="s">
        <v>214</v>
      </c>
      <c r="C243" s="1" t="s">
        <v>1205</v>
      </c>
      <c r="D243" s="1" t="s">
        <v>212</v>
      </c>
      <c r="E243" s="1" t="s">
        <v>136</v>
      </c>
      <c r="F243" s="1" t="s">
        <v>1281</v>
      </c>
      <c r="G243" s="4">
        <v>46163</v>
      </c>
      <c r="H243" s="5">
        <v>0.1076388888888889</v>
      </c>
      <c r="I243" s="1" t="s">
        <v>1221</v>
      </c>
      <c r="J243" s="1" t="s">
        <v>1280</v>
      </c>
      <c r="K243" s="4">
        <v>46172</v>
      </c>
      <c r="L243" s="30">
        <v>0.34027777777777779</v>
      </c>
    </row>
    <row r="244" spans="1:12" x14ac:dyDescent="0.3">
      <c r="A244" s="25">
        <v>825437</v>
      </c>
      <c r="B244" s="1" t="s">
        <v>214</v>
      </c>
      <c r="C244" s="1" t="s">
        <v>1205</v>
      </c>
      <c r="D244" s="1" t="s">
        <v>212</v>
      </c>
      <c r="E244" s="1" t="s">
        <v>136</v>
      </c>
      <c r="F244" s="1" t="s">
        <v>1281</v>
      </c>
      <c r="G244" s="4">
        <v>46163</v>
      </c>
      <c r="H244" s="5">
        <v>0.1076388888888889</v>
      </c>
      <c r="I244" s="1" t="s">
        <v>1221</v>
      </c>
      <c r="J244" s="1" t="s">
        <v>1280</v>
      </c>
      <c r="K244" s="4">
        <v>46172</v>
      </c>
      <c r="L244" s="30">
        <v>0.34027777777777779</v>
      </c>
    </row>
    <row r="245" spans="1:12" x14ac:dyDescent="0.3">
      <c r="A245" s="25">
        <v>825461</v>
      </c>
      <c r="B245" s="1" t="s">
        <v>214</v>
      </c>
      <c r="C245" s="1" t="s">
        <v>1205</v>
      </c>
      <c r="D245" s="1" t="s">
        <v>212</v>
      </c>
      <c r="E245" s="1" t="s">
        <v>136</v>
      </c>
      <c r="F245" s="1" t="s">
        <v>1281</v>
      </c>
      <c r="G245" s="4">
        <v>46163</v>
      </c>
      <c r="H245" s="5">
        <v>0.1076388888888889</v>
      </c>
      <c r="I245" s="1" t="s">
        <v>1221</v>
      </c>
      <c r="J245" s="1" t="s">
        <v>1280</v>
      </c>
      <c r="K245" s="4">
        <v>46172</v>
      </c>
      <c r="L245" s="30">
        <v>0.34027777777777779</v>
      </c>
    </row>
    <row r="246" spans="1:12" x14ac:dyDescent="0.3">
      <c r="A246" s="25">
        <v>512957</v>
      </c>
      <c r="B246" s="1" t="s">
        <v>214</v>
      </c>
      <c r="C246" s="1" t="s">
        <v>1200</v>
      </c>
      <c r="D246" s="1" t="s">
        <v>212</v>
      </c>
      <c r="E246" s="1" t="s">
        <v>69</v>
      </c>
      <c r="F246" s="1" t="s">
        <v>1280</v>
      </c>
      <c r="G246" s="4">
        <v>46164</v>
      </c>
      <c r="H246" s="5">
        <v>0.93055555555555558</v>
      </c>
      <c r="I246" s="1" t="s">
        <v>72</v>
      </c>
      <c r="J246" s="1" t="s">
        <v>1281</v>
      </c>
      <c r="K246" s="4">
        <v>46177</v>
      </c>
      <c r="L246" s="30">
        <v>0.25347222222222221</v>
      </c>
    </row>
    <row r="247" spans="1:12" x14ac:dyDescent="0.3">
      <c r="A247" s="25">
        <v>337818</v>
      </c>
      <c r="B247" s="1" t="s">
        <v>214</v>
      </c>
      <c r="C247" s="1" t="s">
        <v>1212</v>
      </c>
      <c r="D247" s="1" t="s">
        <v>212</v>
      </c>
      <c r="E247" s="1" t="s">
        <v>66</v>
      </c>
      <c r="F247" s="1" t="s">
        <v>1280</v>
      </c>
      <c r="G247" s="4">
        <v>46164</v>
      </c>
      <c r="H247" s="5">
        <v>0.57986111111111116</v>
      </c>
      <c r="I247" s="1" t="s">
        <v>73</v>
      </c>
      <c r="J247" s="1" t="s">
        <v>1281</v>
      </c>
      <c r="K247" s="4">
        <v>46177</v>
      </c>
      <c r="L247" s="30">
        <v>0.14930555555555555</v>
      </c>
    </row>
    <row r="248" spans="1:12" x14ac:dyDescent="0.3">
      <c r="A248" s="25">
        <v>337825</v>
      </c>
      <c r="B248" s="1" t="s">
        <v>214</v>
      </c>
      <c r="C248" s="1" t="s">
        <v>1212</v>
      </c>
      <c r="D248" s="1" t="s">
        <v>212</v>
      </c>
      <c r="E248" s="1" t="s">
        <v>66</v>
      </c>
      <c r="F248" s="1" t="s">
        <v>1280</v>
      </c>
      <c r="G248" s="4">
        <v>46164</v>
      </c>
      <c r="H248" s="5">
        <v>0.57986111111111116</v>
      </c>
      <c r="I248" s="1" t="s">
        <v>73</v>
      </c>
      <c r="J248" s="1" t="s">
        <v>1281</v>
      </c>
      <c r="K248" s="4">
        <v>46177</v>
      </c>
      <c r="L248" s="30">
        <v>0.14930555555555555</v>
      </c>
    </row>
    <row r="249" spans="1:12" x14ac:dyDescent="0.3">
      <c r="A249" s="25">
        <v>801042</v>
      </c>
      <c r="B249" s="1" t="s">
        <v>214</v>
      </c>
      <c r="C249" s="1" t="s">
        <v>1212</v>
      </c>
      <c r="D249" s="1" t="s">
        <v>212</v>
      </c>
      <c r="E249" s="1" t="s">
        <v>66</v>
      </c>
      <c r="F249" s="1" t="s">
        <v>1280</v>
      </c>
      <c r="G249" s="4">
        <v>46164</v>
      </c>
      <c r="H249" s="5">
        <v>0.57986111111111116</v>
      </c>
      <c r="I249" s="1" t="s">
        <v>73</v>
      </c>
      <c r="J249" s="1" t="s">
        <v>1281</v>
      </c>
      <c r="K249" s="4">
        <v>46177</v>
      </c>
      <c r="L249" s="30">
        <v>0.14930555555555555</v>
      </c>
    </row>
    <row r="250" spans="1:12" x14ac:dyDescent="0.3">
      <c r="A250" s="25">
        <v>811317</v>
      </c>
      <c r="B250" s="1" t="s">
        <v>214</v>
      </c>
      <c r="C250" s="1" t="s">
        <v>1212</v>
      </c>
      <c r="D250" s="1" t="s">
        <v>212</v>
      </c>
      <c r="E250" s="1" t="s">
        <v>66</v>
      </c>
      <c r="F250" s="1" t="s">
        <v>1280</v>
      </c>
      <c r="G250" s="4">
        <v>46164</v>
      </c>
      <c r="H250" s="5">
        <v>0.57986111111111116</v>
      </c>
      <c r="I250" s="1" t="s">
        <v>73</v>
      </c>
      <c r="J250" s="1" t="s">
        <v>1281</v>
      </c>
      <c r="K250" s="4">
        <v>46177</v>
      </c>
      <c r="L250" s="30">
        <v>0.14930555555555555</v>
      </c>
    </row>
    <row r="251" spans="1:12" x14ac:dyDescent="0.3">
      <c r="A251" s="25">
        <v>334673</v>
      </c>
      <c r="B251" s="1" t="s">
        <v>214</v>
      </c>
      <c r="C251" s="1" t="s">
        <v>1190</v>
      </c>
      <c r="D251" s="1" t="s">
        <v>212</v>
      </c>
      <c r="E251" s="1" t="s">
        <v>133</v>
      </c>
      <c r="F251" s="1" t="s">
        <v>1281</v>
      </c>
      <c r="G251" s="4">
        <v>46160</v>
      </c>
      <c r="H251" s="5">
        <v>0.3923611111111111</v>
      </c>
      <c r="I251" s="1" t="s">
        <v>60</v>
      </c>
      <c r="J251" s="1" t="s">
        <v>1280</v>
      </c>
      <c r="K251" s="4">
        <v>46173</v>
      </c>
      <c r="L251" s="30">
        <v>0.12847222222222221</v>
      </c>
    </row>
    <row r="252" spans="1:12" x14ac:dyDescent="0.3">
      <c r="A252" s="25">
        <v>343966</v>
      </c>
      <c r="B252" s="1" t="s">
        <v>214</v>
      </c>
      <c r="C252" s="1" t="s">
        <v>1190</v>
      </c>
      <c r="D252" s="1" t="s">
        <v>212</v>
      </c>
      <c r="E252" s="1" t="s">
        <v>133</v>
      </c>
      <c r="F252" s="1" t="s">
        <v>1281</v>
      </c>
      <c r="G252" s="4">
        <v>46160</v>
      </c>
      <c r="H252" s="5">
        <v>0.3923611111111111</v>
      </c>
      <c r="I252" s="1" t="s">
        <v>60</v>
      </c>
      <c r="J252" s="1" t="s">
        <v>1280</v>
      </c>
      <c r="K252" s="4">
        <v>46173</v>
      </c>
      <c r="L252" s="30">
        <v>0.12847222222222221</v>
      </c>
    </row>
    <row r="253" spans="1:12" x14ac:dyDescent="0.3">
      <c r="A253" s="25">
        <v>623871</v>
      </c>
      <c r="B253" s="1" t="s">
        <v>214</v>
      </c>
      <c r="C253" s="1" t="s">
        <v>1190</v>
      </c>
      <c r="D253" s="1" t="s">
        <v>212</v>
      </c>
      <c r="E253" s="1" t="s">
        <v>133</v>
      </c>
      <c r="F253" s="1" t="s">
        <v>1281</v>
      </c>
      <c r="G253" s="4">
        <v>46160</v>
      </c>
      <c r="H253" s="5">
        <v>0.3923611111111111</v>
      </c>
      <c r="I253" s="1" t="s">
        <v>60</v>
      </c>
      <c r="J253" s="1" t="s">
        <v>1280</v>
      </c>
      <c r="K253" s="4">
        <v>46173</v>
      </c>
      <c r="L253" s="30">
        <v>0.12847222222222221</v>
      </c>
    </row>
    <row r="254" spans="1:12" x14ac:dyDescent="0.3">
      <c r="A254" s="25">
        <v>886283</v>
      </c>
      <c r="B254" s="1" t="s">
        <v>214</v>
      </c>
      <c r="C254" s="1" t="s">
        <v>1193</v>
      </c>
      <c r="D254" s="1" t="s">
        <v>212</v>
      </c>
      <c r="E254" s="1" t="s">
        <v>134</v>
      </c>
      <c r="F254" s="1" t="s">
        <v>1281</v>
      </c>
      <c r="G254" s="4">
        <v>46160</v>
      </c>
      <c r="H254" s="5">
        <v>0.73958333333333337</v>
      </c>
      <c r="I254" s="1" t="s">
        <v>63</v>
      </c>
      <c r="J254" s="1" t="s">
        <v>1280</v>
      </c>
      <c r="K254" s="4">
        <v>46172</v>
      </c>
      <c r="L254" s="30">
        <v>0.35069444444444442</v>
      </c>
    </row>
    <row r="255" spans="1:12" x14ac:dyDescent="0.3">
      <c r="A255" s="25">
        <v>867417</v>
      </c>
      <c r="B255" s="1" t="s">
        <v>214</v>
      </c>
      <c r="C255" s="1" t="s">
        <v>1191</v>
      </c>
      <c r="D255" s="1" t="s">
        <v>212</v>
      </c>
      <c r="E255" s="1" t="s">
        <v>57</v>
      </c>
      <c r="F255" s="1" t="s">
        <v>1280</v>
      </c>
      <c r="G255" s="4">
        <v>46163</v>
      </c>
      <c r="H255" s="5">
        <v>0.2361111111111111</v>
      </c>
      <c r="I255" s="1" t="s">
        <v>76</v>
      </c>
      <c r="J255" s="1" t="s">
        <v>1281</v>
      </c>
      <c r="K255" s="4">
        <v>46175</v>
      </c>
      <c r="L255" s="30">
        <v>0.93055555555555558</v>
      </c>
    </row>
    <row r="256" spans="1:12" x14ac:dyDescent="0.3">
      <c r="A256" s="25">
        <v>877091</v>
      </c>
      <c r="B256" s="1" t="s">
        <v>214</v>
      </c>
      <c r="C256" s="1" t="s">
        <v>1191</v>
      </c>
      <c r="D256" s="1" t="s">
        <v>212</v>
      </c>
      <c r="E256" s="1" t="s">
        <v>57</v>
      </c>
      <c r="F256" s="1" t="s">
        <v>1280</v>
      </c>
      <c r="G256" s="4">
        <v>46163</v>
      </c>
      <c r="H256" s="5">
        <v>0.2361111111111111</v>
      </c>
      <c r="I256" s="1" t="s">
        <v>76</v>
      </c>
      <c r="J256" s="1" t="s">
        <v>1281</v>
      </c>
      <c r="K256" s="4">
        <v>46175</v>
      </c>
      <c r="L256" s="30">
        <v>0.93055555555555558</v>
      </c>
    </row>
    <row r="257" spans="1:12" x14ac:dyDescent="0.3">
      <c r="A257" s="25">
        <v>369335</v>
      </c>
      <c r="B257" s="1" t="s">
        <v>214</v>
      </c>
      <c r="C257" s="1" t="s">
        <v>1191</v>
      </c>
      <c r="D257" s="1" t="s">
        <v>212</v>
      </c>
      <c r="E257" s="1" t="s">
        <v>57</v>
      </c>
      <c r="F257" s="1" t="s">
        <v>1280</v>
      </c>
      <c r="G257" s="4">
        <v>46163</v>
      </c>
      <c r="H257" s="5">
        <v>0.2361111111111111</v>
      </c>
      <c r="I257" s="1" t="s">
        <v>76</v>
      </c>
      <c r="J257" s="1" t="s">
        <v>1281</v>
      </c>
      <c r="K257" s="4">
        <v>46175</v>
      </c>
      <c r="L257" s="30">
        <v>0.93055555555555558</v>
      </c>
    </row>
    <row r="258" spans="1:12" x14ac:dyDescent="0.3">
      <c r="A258" s="25">
        <v>375321</v>
      </c>
      <c r="B258" s="1" t="s">
        <v>214</v>
      </c>
      <c r="C258" s="1" t="s">
        <v>1191</v>
      </c>
      <c r="D258" s="1" t="s">
        <v>212</v>
      </c>
      <c r="E258" s="1" t="s">
        <v>57</v>
      </c>
      <c r="F258" s="1" t="s">
        <v>1280</v>
      </c>
      <c r="G258" s="4">
        <v>46163</v>
      </c>
      <c r="H258" s="5">
        <v>0.2361111111111111</v>
      </c>
      <c r="I258" s="1" t="s">
        <v>76</v>
      </c>
      <c r="J258" s="1" t="s">
        <v>1281</v>
      </c>
      <c r="K258" s="4">
        <v>46175</v>
      </c>
      <c r="L258" s="30">
        <v>0.93055555555555558</v>
      </c>
    </row>
    <row r="259" spans="1:12" x14ac:dyDescent="0.3">
      <c r="A259" s="25">
        <v>50920</v>
      </c>
      <c r="B259" s="1" t="s">
        <v>214</v>
      </c>
      <c r="C259" s="1" t="s">
        <v>1190</v>
      </c>
      <c r="D259" s="1" t="s">
        <v>212</v>
      </c>
      <c r="E259" s="1" t="s">
        <v>133</v>
      </c>
      <c r="F259" s="1" t="s">
        <v>1281</v>
      </c>
      <c r="G259" s="4">
        <v>46160</v>
      </c>
      <c r="H259" s="5">
        <v>0.3923611111111111</v>
      </c>
      <c r="I259" s="1" t="s">
        <v>60</v>
      </c>
      <c r="J259" s="1" t="s">
        <v>1280</v>
      </c>
      <c r="K259" s="4">
        <v>46173</v>
      </c>
      <c r="L259" s="30">
        <v>0.12847222222222221</v>
      </c>
    </row>
    <row r="260" spans="1:12" x14ac:dyDescent="0.3">
      <c r="A260" s="25">
        <v>847443</v>
      </c>
      <c r="B260" s="1" t="s">
        <v>214</v>
      </c>
      <c r="C260" s="1" t="s">
        <v>1190</v>
      </c>
      <c r="D260" s="1" t="s">
        <v>212</v>
      </c>
      <c r="E260" s="1" t="s">
        <v>133</v>
      </c>
      <c r="F260" s="1" t="s">
        <v>1281</v>
      </c>
      <c r="G260" s="4">
        <v>46160</v>
      </c>
      <c r="H260" s="5">
        <v>0.3923611111111111</v>
      </c>
      <c r="I260" s="1" t="s">
        <v>60</v>
      </c>
      <c r="J260" s="1" t="s">
        <v>1280</v>
      </c>
      <c r="K260" s="4">
        <v>46173</v>
      </c>
      <c r="L260" s="30">
        <v>0.12847222222222221</v>
      </c>
    </row>
    <row r="261" spans="1:12" x14ac:dyDescent="0.3">
      <c r="A261" s="25">
        <v>840612</v>
      </c>
      <c r="B261" s="1" t="s">
        <v>214</v>
      </c>
      <c r="C261" s="1" t="s">
        <v>1197</v>
      </c>
      <c r="D261" s="1" t="s">
        <v>212</v>
      </c>
      <c r="E261" s="1" t="s">
        <v>61</v>
      </c>
      <c r="F261" s="1" t="s">
        <v>1280</v>
      </c>
      <c r="G261" s="4">
        <v>46160</v>
      </c>
      <c r="H261" s="5">
        <v>0.57986111111111116</v>
      </c>
      <c r="I261" s="1" t="s">
        <v>63</v>
      </c>
      <c r="J261" s="1" t="s">
        <v>1280</v>
      </c>
      <c r="K261" s="4">
        <v>46172</v>
      </c>
      <c r="L261" s="30">
        <v>0.3923611111111111</v>
      </c>
    </row>
    <row r="262" spans="1:12" x14ac:dyDescent="0.3">
      <c r="A262" s="25">
        <v>842476</v>
      </c>
      <c r="B262" s="1" t="s">
        <v>214</v>
      </c>
      <c r="C262" s="1" t="s">
        <v>1197</v>
      </c>
      <c r="D262" s="1" t="s">
        <v>212</v>
      </c>
      <c r="E262" s="1" t="s">
        <v>61</v>
      </c>
      <c r="F262" s="1" t="s">
        <v>1280</v>
      </c>
      <c r="G262" s="4">
        <v>46160</v>
      </c>
      <c r="H262" s="5">
        <v>0.57986111111111116</v>
      </c>
      <c r="I262" s="1" t="s">
        <v>63</v>
      </c>
      <c r="J262" s="1" t="s">
        <v>1280</v>
      </c>
      <c r="K262" s="4">
        <v>46172</v>
      </c>
      <c r="L262" s="30">
        <v>0.3923611111111111</v>
      </c>
    </row>
    <row r="263" spans="1:12" x14ac:dyDescent="0.3">
      <c r="A263" s="25">
        <v>815351</v>
      </c>
      <c r="B263" s="1" t="s">
        <v>214</v>
      </c>
      <c r="C263" s="1" t="s">
        <v>1200</v>
      </c>
      <c r="D263" s="1" t="s">
        <v>212</v>
      </c>
      <c r="E263" s="1" t="s">
        <v>69</v>
      </c>
      <c r="F263" s="1" t="s">
        <v>1280</v>
      </c>
      <c r="G263" s="4">
        <v>46164</v>
      </c>
      <c r="H263" s="5">
        <v>0.93055555555555558</v>
      </c>
      <c r="I263" s="1" t="s">
        <v>72</v>
      </c>
      <c r="J263" s="1" t="s">
        <v>1281</v>
      </c>
      <c r="K263" s="4">
        <v>46177</v>
      </c>
      <c r="L263" s="30">
        <v>0.25347222222222221</v>
      </c>
    </row>
    <row r="264" spans="1:12" x14ac:dyDescent="0.3">
      <c r="A264" s="25">
        <v>815670</v>
      </c>
      <c r="B264" s="1" t="s">
        <v>214</v>
      </c>
      <c r="C264" s="1" t="s">
        <v>1200</v>
      </c>
      <c r="D264" s="1" t="s">
        <v>212</v>
      </c>
      <c r="E264" s="1" t="s">
        <v>69</v>
      </c>
      <c r="F264" s="1" t="s">
        <v>1280</v>
      </c>
      <c r="G264" s="4">
        <v>46164</v>
      </c>
      <c r="H264" s="5">
        <v>0.93055555555555558</v>
      </c>
      <c r="I264" s="1" t="s">
        <v>72</v>
      </c>
      <c r="J264" s="1" t="s">
        <v>1281</v>
      </c>
      <c r="K264" s="4">
        <v>46177</v>
      </c>
      <c r="L264" s="30">
        <v>0.25347222222222221</v>
      </c>
    </row>
    <row r="265" spans="1:12" x14ac:dyDescent="0.3">
      <c r="A265" s="25">
        <v>614915</v>
      </c>
      <c r="B265" s="1" t="s">
        <v>214</v>
      </c>
      <c r="C265" s="1" t="s">
        <v>1190</v>
      </c>
      <c r="D265" s="1" t="s">
        <v>212</v>
      </c>
      <c r="E265" s="1" t="s">
        <v>133</v>
      </c>
      <c r="F265" s="1" t="s">
        <v>1281</v>
      </c>
      <c r="G265" s="4">
        <v>46160</v>
      </c>
      <c r="H265" s="5">
        <v>0.3923611111111111</v>
      </c>
      <c r="I265" s="1" t="s">
        <v>60</v>
      </c>
      <c r="J265" s="1" t="s">
        <v>1280</v>
      </c>
      <c r="K265" s="4">
        <v>46173</v>
      </c>
      <c r="L265" s="30">
        <v>0.12847222222222221</v>
      </c>
    </row>
    <row r="266" spans="1:12" x14ac:dyDescent="0.3">
      <c r="A266" s="25">
        <v>614954</v>
      </c>
      <c r="B266" s="1" t="s">
        <v>214</v>
      </c>
      <c r="C266" s="1" t="s">
        <v>1190</v>
      </c>
      <c r="D266" s="1" t="s">
        <v>212</v>
      </c>
      <c r="E266" s="1" t="s">
        <v>133</v>
      </c>
      <c r="F266" s="1" t="s">
        <v>1281</v>
      </c>
      <c r="G266" s="4">
        <v>46160</v>
      </c>
      <c r="H266" s="5">
        <v>0.3923611111111111</v>
      </c>
      <c r="I266" s="1" t="s">
        <v>60</v>
      </c>
      <c r="J266" s="1" t="s">
        <v>1280</v>
      </c>
      <c r="K266" s="4">
        <v>46173</v>
      </c>
      <c r="L266" s="30">
        <v>0.12847222222222221</v>
      </c>
    </row>
    <row r="267" spans="1:12" x14ac:dyDescent="0.3">
      <c r="A267" s="25">
        <v>368357</v>
      </c>
      <c r="B267" s="1" t="s">
        <v>214</v>
      </c>
      <c r="C267" s="1" t="s">
        <v>1212</v>
      </c>
      <c r="D267" s="1" t="s">
        <v>212</v>
      </c>
      <c r="E267" s="1" t="s">
        <v>66</v>
      </c>
      <c r="F267" s="1" t="s">
        <v>1280</v>
      </c>
      <c r="G267" s="4">
        <v>46164</v>
      </c>
      <c r="H267" s="5">
        <v>0.57986111111111116</v>
      </c>
      <c r="I267" s="1" t="s">
        <v>73</v>
      </c>
      <c r="J267" s="1" t="s">
        <v>1281</v>
      </c>
      <c r="K267" s="4">
        <v>46177</v>
      </c>
      <c r="L267" s="30">
        <v>0.14930555555555555</v>
      </c>
    </row>
    <row r="268" spans="1:12" x14ac:dyDescent="0.3">
      <c r="A268" s="25">
        <v>614781</v>
      </c>
      <c r="B268" s="1" t="s">
        <v>214</v>
      </c>
      <c r="C268" s="1" t="s">
        <v>1196</v>
      </c>
      <c r="D268" s="1" t="s">
        <v>212</v>
      </c>
      <c r="E268" s="1" t="s">
        <v>61</v>
      </c>
      <c r="F268" s="1" t="s">
        <v>1280</v>
      </c>
      <c r="G268" s="4">
        <v>46164</v>
      </c>
      <c r="H268" s="5">
        <v>0.57986111111111116</v>
      </c>
      <c r="I268" s="1" t="s">
        <v>72</v>
      </c>
      <c r="J268" s="1" t="s">
        <v>1281</v>
      </c>
      <c r="K268" s="4">
        <v>46172</v>
      </c>
      <c r="L268" s="30">
        <v>0.25347222222222221</v>
      </c>
    </row>
    <row r="269" spans="1:12" x14ac:dyDescent="0.3">
      <c r="A269" s="25">
        <v>624305</v>
      </c>
      <c r="B269" s="1" t="s">
        <v>214</v>
      </c>
      <c r="C269" s="1" t="s">
        <v>1196</v>
      </c>
      <c r="D269" s="1" t="s">
        <v>212</v>
      </c>
      <c r="E269" s="1" t="s">
        <v>61</v>
      </c>
      <c r="F269" s="1" t="s">
        <v>1280</v>
      </c>
      <c r="G269" s="4">
        <v>46164</v>
      </c>
      <c r="H269" s="5">
        <v>0.57986111111111116</v>
      </c>
      <c r="I269" s="1" t="s">
        <v>72</v>
      </c>
      <c r="J269" s="1" t="s">
        <v>1281</v>
      </c>
      <c r="K269" s="4">
        <v>46172</v>
      </c>
      <c r="L269" s="30">
        <v>0.25347222222222221</v>
      </c>
    </row>
    <row r="270" spans="1:12" x14ac:dyDescent="0.3">
      <c r="A270" s="25">
        <v>391082</v>
      </c>
      <c r="B270" s="1" t="s">
        <v>214</v>
      </c>
      <c r="C270" s="1" t="s">
        <v>1190</v>
      </c>
      <c r="D270" s="1" t="s">
        <v>212</v>
      </c>
      <c r="E270" s="1" t="s">
        <v>133</v>
      </c>
      <c r="F270" s="1" t="s">
        <v>1281</v>
      </c>
      <c r="G270" s="4">
        <v>46160</v>
      </c>
      <c r="H270" s="5">
        <v>0.3923611111111111</v>
      </c>
      <c r="I270" s="1" t="s">
        <v>60</v>
      </c>
      <c r="J270" s="1" t="s">
        <v>1280</v>
      </c>
      <c r="K270" s="4">
        <v>46173</v>
      </c>
      <c r="L270" s="30">
        <v>0.12847222222222221</v>
      </c>
    </row>
    <row r="271" spans="1:12" x14ac:dyDescent="0.3">
      <c r="A271" s="25">
        <v>609618</v>
      </c>
      <c r="B271" s="1" t="s">
        <v>214</v>
      </c>
      <c r="C271" s="1" t="s">
        <v>1190</v>
      </c>
      <c r="D271" s="1" t="s">
        <v>212</v>
      </c>
      <c r="E271" s="1" t="s">
        <v>133</v>
      </c>
      <c r="F271" s="1" t="s">
        <v>1281</v>
      </c>
      <c r="G271" s="4">
        <v>46160</v>
      </c>
      <c r="H271" s="5">
        <v>0.3923611111111111</v>
      </c>
      <c r="I271" s="1" t="s">
        <v>60</v>
      </c>
      <c r="J271" s="1" t="s">
        <v>1280</v>
      </c>
      <c r="K271" s="4">
        <v>46173</v>
      </c>
      <c r="L271" s="30">
        <v>0.12847222222222221</v>
      </c>
    </row>
    <row r="272" spans="1:12" x14ac:dyDescent="0.3">
      <c r="A272" s="25">
        <v>698744</v>
      </c>
      <c r="B272" s="1" t="s">
        <v>214</v>
      </c>
      <c r="C272" s="1" t="s">
        <v>1197</v>
      </c>
      <c r="D272" s="1" t="s">
        <v>212</v>
      </c>
      <c r="E272" s="1" t="s">
        <v>61</v>
      </c>
      <c r="F272" s="1" t="s">
        <v>1280</v>
      </c>
      <c r="G272" s="4">
        <v>46160</v>
      </c>
      <c r="H272" s="5">
        <v>0.57986111111111116</v>
      </c>
      <c r="I272" s="1" t="s">
        <v>63</v>
      </c>
      <c r="J272" s="1" t="s">
        <v>1280</v>
      </c>
      <c r="K272" s="4">
        <v>46172</v>
      </c>
      <c r="L272" s="30">
        <v>0.3923611111111111</v>
      </c>
    </row>
    <row r="273" spans="1:12" x14ac:dyDescent="0.3">
      <c r="A273" s="25">
        <v>729158</v>
      </c>
      <c r="B273" s="1" t="s">
        <v>214</v>
      </c>
      <c r="C273" s="1" t="s">
        <v>1197</v>
      </c>
      <c r="D273" s="1" t="s">
        <v>212</v>
      </c>
      <c r="E273" s="1" t="s">
        <v>61</v>
      </c>
      <c r="F273" s="1" t="s">
        <v>1280</v>
      </c>
      <c r="G273" s="4">
        <v>46160</v>
      </c>
      <c r="H273" s="5">
        <v>0.57986111111111116</v>
      </c>
      <c r="I273" s="1" t="s">
        <v>63</v>
      </c>
      <c r="J273" s="1" t="s">
        <v>1280</v>
      </c>
      <c r="K273" s="4">
        <v>46172</v>
      </c>
      <c r="L273" s="30">
        <v>0.3923611111111111</v>
      </c>
    </row>
    <row r="274" spans="1:12" x14ac:dyDescent="0.3">
      <c r="A274" s="25">
        <v>597857</v>
      </c>
      <c r="B274" s="1" t="s">
        <v>214</v>
      </c>
      <c r="C274" s="1" t="s">
        <v>1190</v>
      </c>
      <c r="D274" s="1" t="s">
        <v>212</v>
      </c>
      <c r="E274" s="1" t="s">
        <v>133</v>
      </c>
      <c r="F274" s="1" t="s">
        <v>1281</v>
      </c>
      <c r="G274" s="4">
        <v>46160</v>
      </c>
      <c r="H274" s="5">
        <v>0.3923611111111111</v>
      </c>
      <c r="I274" s="1" t="s">
        <v>60</v>
      </c>
      <c r="J274" s="1" t="s">
        <v>1280</v>
      </c>
      <c r="K274" s="4">
        <v>46173</v>
      </c>
      <c r="L274" s="30">
        <v>0.12847222222222221</v>
      </c>
    </row>
    <row r="275" spans="1:12" x14ac:dyDescent="0.3">
      <c r="A275" s="25">
        <v>703923</v>
      </c>
      <c r="B275" s="1" t="s">
        <v>214</v>
      </c>
      <c r="C275" s="1" t="s">
        <v>1190</v>
      </c>
      <c r="D275" s="1" t="s">
        <v>212</v>
      </c>
      <c r="E275" s="1" t="s">
        <v>133</v>
      </c>
      <c r="F275" s="1" t="s">
        <v>1281</v>
      </c>
      <c r="G275" s="4">
        <v>46160</v>
      </c>
      <c r="H275" s="5">
        <v>0.3923611111111111</v>
      </c>
      <c r="I275" s="1" t="s">
        <v>60</v>
      </c>
      <c r="J275" s="1" t="s">
        <v>1280</v>
      </c>
      <c r="K275" s="4">
        <v>46173</v>
      </c>
      <c r="L275" s="30">
        <v>0.12847222222222221</v>
      </c>
    </row>
    <row r="276" spans="1:12" x14ac:dyDescent="0.3">
      <c r="A276" s="25">
        <v>624378</v>
      </c>
      <c r="B276" s="1" t="s">
        <v>214</v>
      </c>
      <c r="C276" s="1" t="s">
        <v>1209</v>
      </c>
      <c r="D276" s="1" t="s">
        <v>212</v>
      </c>
      <c r="E276" s="1" t="s">
        <v>134</v>
      </c>
      <c r="F276" s="1" t="s">
        <v>1281</v>
      </c>
      <c r="G276" s="4">
        <v>46160</v>
      </c>
      <c r="H276" s="5">
        <v>0.73958333333333337</v>
      </c>
      <c r="I276" s="1" t="s">
        <v>68</v>
      </c>
      <c r="J276" s="1" t="s">
        <v>1280</v>
      </c>
      <c r="K276" s="4">
        <v>46172</v>
      </c>
      <c r="L276" s="30">
        <v>0.38541666666666669</v>
      </c>
    </row>
    <row r="277" spans="1:12" x14ac:dyDescent="0.3">
      <c r="A277" s="25">
        <v>624380</v>
      </c>
      <c r="B277" s="1" t="s">
        <v>214</v>
      </c>
      <c r="C277" s="1" t="s">
        <v>1209</v>
      </c>
      <c r="D277" s="1" t="s">
        <v>212</v>
      </c>
      <c r="E277" s="1" t="s">
        <v>134</v>
      </c>
      <c r="F277" s="1" t="s">
        <v>1281</v>
      </c>
      <c r="G277" s="4">
        <v>46160</v>
      </c>
      <c r="H277" s="5">
        <v>0.73958333333333337</v>
      </c>
      <c r="I277" s="1" t="s">
        <v>68</v>
      </c>
      <c r="J277" s="1" t="s">
        <v>1280</v>
      </c>
      <c r="K277" s="4">
        <v>46172</v>
      </c>
      <c r="L277" s="30">
        <v>0.38541666666666669</v>
      </c>
    </row>
    <row r="278" spans="1:12" x14ac:dyDescent="0.3">
      <c r="A278" s="25">
        <v>59288</v>
      </c>
      <c r="B278" s="1" t="s">
        <v>214</v>
      </c>
      <c r="C278" s="1" t="s">
        <v>1192</v>
      </c>
      <c r="D278" s="1" t="s">
        <v>212</v>
      </c>
      <c r="E278" s="1" t="s">
        <v>57</v>
      </c>
      <c r="F278" s="1" t="s">
        <v>1280</v>
      </c>
      <c r="G278" s="4">
        <v>46163</v>
      </c>
      <c r="H278" s="5">
        <v>0.2361111111111111</v>
      </c>
      <c r="I278" s="1" t="s">
        <v>76</v>
      </c>
      <c r="J278" s="1" t="s">
        <v>1281</v>
      </c>
      <c r="K278" s="4">
        <v>46175</v>
      </c>
      <c r="L278" s="30">
        <v>0.93055555555555558</v>
      </c>
    </row>
    <row r="279" spans="1:12" x14ac:dyDescent="0.3">
      <c r="A279" s="25">
        <v>470827</v>
      </c>
      <c r="B279" s="1" t="s">
        <v>214</v>
      </c>
      <c r="C279" s="1" t="s">
        <v>1192</v>
      </c>
      <c r="D279" s="1" t="s">
        <v>212</v>
      </c>
      <c r="E279" s="1" t="s">
        <v>57</v>
      </c>
      <c r="F279" s="1" t="s">
        <v>1280</v>
      </c>
      <c r="G279" s="4">
        <v>46163</v>
      </c>
      <c r="H279" s="5">
        <v>0.2361111111111111</v>
      </c>
      <c r="I279" s="1" t="s">
        <v>76</v>
      </c>
      <c r="J279" s="1" t="s">
        <v>1281</v>
      </c>
      <c r="K279" s="4">
        <v>46175</v>
      </c>
      <c r="L279" s="30">
        <v>0.93055555555555558</v>
      </c>
    </row>
    <row r="280" spans="1:12" x14ac:dyDescent="0.3">
      <c r="A280" s="25">
        <v>715118</v>
      </c>
      <c r="B280" s="1" t="s">
        <v>214</v>
      </c>
      <c r="C280" s="1" t="s">
        <v>1194</v>
      </c>
      <c r="D280" s="1" t="s">
        <v>212</v>
      </c>
      <c r="E280" s="1" t="s">
        <v>137</v>
      </c>
      <c r="F280" s="1" t="s">
        <v>1281</v>
      </c>
      <c r="G280" s="4">
        <v>46161</v>
      </c>
      <c r="H280" s="5">
        <v>0.87847222222222221</v>
      </c>
      <c r="I280" s="1" t="s">
        <v>63</v>
      </c>
      <c r="J280" s="1" t="s">
        <v>1280</v>
      </c>
      <c r="K280" s="4">
        <v>46173</v>
      </c>
      <c r="L280" s="30">
        <v>0.3923611111111111</v>
      </c>
    </row>
    <row r="281" spans="1:12" x14ac:dyDescent="0.3">
      <c r="A281" s="25">
        <v>715193</v>
      </c>
      <c r="B281" s="1" t="s">
        <v>214</v>
      </c>
      <c r="C281" s="1" t="s">
        <v>1194</v>
      </c>
      <c r="D281" s="1" t="s">
        <v>212</v>
      </c>
      <c r="E281" s="1" t="s">
        <v>137</v>
      </c>
      <c r="F281" s="1" t="s">
        <v>1281</v>
      </c>
      <c r="G281" s="4">
        <v>46161</v>
      </c>
      <c r="H281" s="5">
        <v>0.87847222222222221</v>
      </c>
      <c r="I281" s="1" t="s">
        <v>63</v>
      </c>
      <c r="J281" s="1" t="s">
        <v>1280</v>
      </c>
      <c r="K281" s="4">
        <v>46173</v>
      </c>
      <c r="L281" s="30">
        <v>0.3923611111111111</v>
      </c>
    </row>
    <row r="282" spans="1:12" x14ac:dyDescent="0.3">
      <c r="A282" s="25">
        <v>637145</v>
      </c>
      <c r="B282" s="1" t="s">
        <v>214</v>
      </c>
      <c r="C282" s="1" t="s">
        <v>1190</v>
      </c>
      <c r="D282" s="1" t="s">
        <v>212</v>
      </c>
      <c r="E282" s="1" t="s">
        <v>133</v>
      </c>
      <c r="F282" s="1" t="s">
        <v>1281</v>
      </c>
      <c r="G282" s="4">
        <v>46160</v>
      </c>
      <c r="H282" s="5">
        <v>0.3923611111111111</v>
      </c>
      <c r="I282" s="1" t="s">
        <v>60</v>
      </c>
      <c r="J282" s="1" t="s">
        <v>1280</v>
      </c>
      <c r="K282" s="4">
        <v>46173</v>
      </c>
      <c r="L282" s="30">
        <v>0.12847222222222221</v>
      </c>
    </row>
    <row r="283" spans="1:12" x14ac:dyDescent="0.3">
      <c r="A283" s="25">
        <v>675132</v>
      </c>
      <c r="B283" s="1" t="s">
        <v>214</v>
      </c>
      <c r="C283" s="1" t="s">
        <v>1190</v>
      </c>
      <c r="D283" s="1" t="s">
        <v>212</v>
      </c>
      <c r="E283" s="1" t="s">
        <v>133</v>
      </c>
      <c r="F283" s="1" t="s">
        <v>1281</v>
      </c>
      <c r="G283" s="4">
        <v>46160</v>
      </c>
      <c r="H283" s="5">
        <v>0.3923611111111111</v>
      </c>
      <c r="I283" s="1" t="s">
        <v>60</v>
      </c>
      <c r="J283" s="1" t="s">
        <v>1280</v>
      </c>
      <c r="K283" s="4">
        <v>46173</v>
      </c>
      <c r="L283" s="30">
        <v>0.12847222222222221</v>
      </c>
    </row>
    <row r="284" spans="1:12" x14ac:dyDescent="0.3">
      <c r="A284" s="25">
        <v>615802</v>
      </c>
      <c r="B284" s="1" t="s">
        <v>214</v>
      </c>
      <c r="C284" s="1" t="s">
        <v>1200</v>
      </c>
      <c r="D284" s="1" t="s">
        <v>212</v>
      </c>
      <c r="E284" s="1" t="s">
        <v>69</v>
      </c>
      <c r="F284" s="1" t="s">
        <v>1280</v>
      </c>
      <c r="G284" s="4">
        <v>46164</v>
      </c>
      <c r="H284" s="5">
        <v>0.93055555555555558</v>
      </c>
      <c r="I284" s="1" t="s">
        <v>72</v>
      </c>
      <c r="J284" s="1" t="s">
        <v>1281</v>
      </c>
      <c r="K284" s="4">
        <v>46177</v>
      </c>
      <c r="L284" s="30">
        <v>0.25347222222222221</v>
      </c>
    </row>
    <row r="285" spans="1:12" x14ac:dyDescent="0.3">
      <c r="A285" s="25">
        <v>615816</v>
      </c>
      <c r="B285" s="1" t="s">
        <v>214</v>
      </c>
      <c r="C285" s="1" t="s">
        <v>1200</v>
      </c>
      <c r="D285" s="1" t="s">
        <v>212</v>
      </c>
      <c r="E285" s="1" t="s">
        <v>69</v>
      </c>
      <c r="F285" s="1" t="s">
        <v>1280</v>
      </c>
      <c r="G285" s="4">
        <v>46164</v>
      </c>
      <c r="H285" s="5">
        <v>0.93055555555555558</v>
      </c>
      <c r="I285" s="1" t="s">
        <v>72</v>
      </c>
      <c r="J285" s="1" t="s">
        <v>1281</v>
      </c>
      <c r="K285" s="4">
        <v>46177</v>
      </c>
      <c r="L285" s="30">
        <v>0.25347222222222221</v>
      </c>
    </row>
    <row r="286" spans="1:12" x14ac:dyDescent="0.3">
      <c r="A286" s="25">
        <v>23400</v>
      </c>
      <c r="B286" s="1" t="s">
        <v>214</v>
      </c>
      <c r="C286" s="1" t="s">
        <v>1191</v>
      </c>
      <c r="D286" s="1" t="s">
        <v>212</v>
      </c>
      <c r="E286" s="1" t="s">
        <v>57</v>
      </c>
      <c r="F286" s="1" t="s">
        <v>1280</v>
      </c>
      <c r="G286" s="4">
        <v>46163</v>
      </c>
      <c r="H286" s="5">
        <v>0.2361111111111111</v>
      </c>
      <c r="I286" s="1" t="s">
        <v>76</v>
      </c>
      <c r="J286" s="1" t="s">
        <v>1281</v>
      </c>
      <c r="K286" s="4">
        <v>46175</v>
      </c>
      <c r="L286" s="30">
        <v>0.93055555555555558</v>
      </c>
    </row>
    <row r="287" spans="1:12" x14ac:dyDescent="0.3">
      <c r="A287" s="25">
        <v>828978</v>
      </c>
      <c r="B287" s="1" t="s">
        <v>214</v>
      </c>
      <c r="C287" s="1" t="s">
        <v>1191</v>
      </c>
      <c r="D287" s="1" t="s">
        <v>212</v>
      </c>
      <c r="E287" s="1" t="s">
        <v>57</v>
      </c>
      <c r="F287" s="1" t="s">
        <v>1280</v>
      </c>
      <c r="G287" s="4">
        <v>46163</v>
      </c>
      <c r="H287" s="5">
        <v>0.2361111111111111</v>
      </c>
      <c r="I287" s="1" t="s">
        <v>76</v>
      </c>
      <c r="J287" s="1" t="s">
        <v>1281</v>
      </c>
      <c r="K287" s="4">
        <v>46175</v>
      </c>
      <c r="L287" s="30">
        <v>0.93055555555555558</v>
      </c>
    </row>
    <row r="288" spans="1:12" x14ac:dyDescent="0.3">
      <c r="A288" s="25">
        <v>435131</v>
      </c>
      <c r="B288" s="1" t="s">
        <v>214</v>
      </c>
      <c r="C288" s="1" t="s">
        <v>1202</v>
      </c>
      <c r="D288" s="1" t="s">
        <v>212</v>
      </c>
      <c r="E288" s="1" t="s">
        <v>136</v>
      </c>
      <c r="F288" s="1" t="s">
        <v>1281</v>
      </c>
      <c r="G288" s="4">
        <v>46160</v>
      </c>
      <c r="H288" s="5">
        <v>0.1076388888888889</v>
      </c>
      <c r="I288" s="1" t="s">
        <v>71</v>
      </c>
      <c r="J288" s="1" t="s">
        <v>1280</v>
      </c>
      <c r="K288" s="4">
        <v>46172</v>
      </c>
      <c r="L288" s="30">
        <v>0.40972222222222221</v>
      </c>
    </row>
    <row r="289" spans="1:12" x14ac:dyDescent="0.3">
      <c r="A289" s="25">
        <v>642043</v>
      </c>
      <c r="B289" s="1" t="s">
        <v>214</v>
      </c>
      <c r="C289" s="1" t="s">
        <v>1202</v>
      </c>
      <c r="D289" s="1" t="s">
        <v>212</v>
      </c>
      <c r="E289" s="1" t="s">
        <v>136</v>
      </c>
      <c r="F289" s="1" t="s">
        <v>1281</v>
      </c>
      <c r="G289" s="4">
        <v>46160</v>
      </c>
      <c r="H289" s="5">
        <v>0.1076388888888889</v>
      </c>
      <c r="I289" s="1" t="s">
        <v>71</v>
      </c>
      <c r="J289" s="1" t="s">
        <v>1280</v>
      </c>
      <c r="K289" s="4">
        <v>46172</v>
      </c>
      <c r="L289" s="30">
        <v>0.40972222222222221</v>
      </c>
    </row>
    <row r="290" spans="1:12" x14ac:dyDescent="0.3">
      <c r="A290" s="25">
        <v>642174</v>
      </c>
      <c r="B290" s="1" t="s">
        <v>214</v>
      </c>
      <c r="C290" s="1" t="s">
        <v>1202</v>
      </c>
      <c r="D290" s="1" t="s">
        <v>212</v>
      </c>
      <c r="E290" s="1" t="s">
        <v>136</v>
      </c>
      <c r="F290" s="1" t="s">
        <v>1281</v>
      </c>
      <c r="G290" s="4">
        <v>46160</v>
      </c>
      <c r="H290" s="5">
        <v>0.1076388888888889</v>
      </c>
      <c r="I290" s="1" t="s">
        <v>71</v>
      </c>
      <c r="J290" s="1" t="s">
        <v>1280</v>
      </c>
      <c r="K290" s="4">
        <v>46172</v>
      </c>
      <c r="L290" s="30">
        <v>0.40972222222222221</v>
      </c>
    </row>
    <row r="291" spans="1:12" x14ac:dyDescent="0.3">
      <c r="A291" s="25">
        <v>676721</v>
      </c>
      <c r="B291" s="1" t="s">
        <v>214</v>
      </c>
      <c r="C291" s="1" t="s">
        <v>1202</v>
      </c>
      <c r="D291" s="1" t="s">
        <v>212</v>
      </c>
      <c r="E291" s="1" t="s">
        <v>136</v>
      </c>
      <c r="F291" s="1" t="s">
        <v>1281</v>
      </c>
      <c r="G291" s="4">
        <v>46160</v>
      </c>
      <c r="H291" s="5">
        <v>0.1076388888888889</v>
      </c>
      <c r="I291" s="1" t="s">
        <v>71</v>
      </c>
      <c r="J291" s="1" t="s">
        <v>1280</v>
      </c>
      <c r="K291" s="4">
        <v>46172</v>
      </c>
      <c r="L291" s="30">
        <v>0.40972222222222221</v>
      </c>
    </row>
    <row r="292" spans="1:12" x14ac:dyDescent="0.3">
      <c r="A292" s="25">
        <v>22967</v>
      </c>
      <c r="B292" s="1" t="s">
        <v>214</v>
      </c>
      <c r="C292" s="1" t="s">
        <v>1197</v>
      </c>
      <c r="D292" s="1" t="s">
        <v>212</v>
      </c>
      <c r="E292" s="1" t="s">
        <v>61</v>
      </c>
      <c r="F292" s="1" t="s">
        <v>1280</v>
      </c>
      <c r="G292" s="4">
        <v>46160</v>
      </c>
      <c r="H292" s="5">
        <v>0.57986111111111116</v>
      </c>
      <c r="I292" s="1" t="s">
        <v>63</v>
      </c>
      <c r="J292" s="1" t="s">
        <v>1280</v>
      </c>
      <c r="K292" s="4">
        <v>46172</v>
      </c>
      <c r="L292" s="30">
        <v>0.3923611111111111</v>
      </c>
    </row>
    <row r="293" spans="1:12" x14ac:dyDescent="0.3">
      <c r="A293" s="25">
        <v>23011</v>
      </c>
      <c r="B293" s="1" t="s">
        <v>214</v>
      </c>
      <c r="C293" s="1" t="s">
        <v>1197</v>
      </c>
      <c r="D293" s="1" t="s">
        <v>212</v>
      </c>
      <c r="E293" s="1" t="s">
        <v>61</v>
      </c>
      <c r="F293" s="1" t="s">
        <v>1280</v>
      </c>
      <c r="G293" s="4">
        <v>46160</v>
      </c>
      <c r="H293" s="5">
        <v>0.57986111111111116</v>
      </c>
      <c r="I293" s="1" t="s">
        <v>63</v>
      </c>
      <c r="J293" s="1" t="s">
        <v>1280</v>
      </c>
      <c r="K293" s="4">
        <v>46172</v>
      </c>
      <c r="L293" s="30">
        <v>0.3923611111111111</v>
      </c>
    </row>
    <row r="294" spans="1:12" x14ac:dyDescent="0.3">
      <c r="A294" s="25">
        <v>131650</v>
      </c>
      <c r="B294" s="1" t="s">
        <v>214</v>
      </c>
      <c r="C294" s="1" t="s">
        <v>1191</v>
      </c>
      <c r="D294" s="1" t="s">
        <v>212</v>
      </c>
      <c r="E294" s="1" t="s">
        <v>57</v>
      </c>
      <c r="F294" s="1" t="s">
        <v>1280</v>
      </c>
      <c r="G294" s="4">
        <v>46163</v>
      </c>
      <c r="H294" s="5">
        <v>0.2361111111111111</v>
      </c>
      <c r="I294" s="1" t="s">
        <v>76</v>
      </c>
      <c r="J294" s="1" t="s">
        <v>1281</v>
      </c>
      <c r="K294" s="4">
        <v>46175</v>
      </c>
      <c r="L294" s="30">
        <v>0.93055555555555558</v>
      </c>
    </row>
    <row r="295" spans="1:12" x14ac:dyDescent="0.3">
      <c r="A295" s="25"/>
      <c r="B295" s="1" t="s">
        <v>214</v>
      </c>
      <c r="C295" s="1" t="s">
        <v>1195</v>
      </c>
      <c r="D295" s="1"/>
      <c r="E295" s="1" t="s">
        <v>138</v>
      </c>
      <c r="F295" s="1" t="s">
        <v>1281</v>
      </c>
      <c r="G295" s="4">
        <v>46163</v>
      </c>
      <c r="H295" s="5">
        <v>0.77083333333333337</v>
      </c>
      <c r="I295" s="1" t="s">
        <v>75</v>
      </c>
      <c r="J295" s="1" t="s">
        <v>1280</v>
      </c>
      <c r="K295" s="4">
        <v>46174</v>
      </c>
      <c r="L295" s="30">
        <v>0.20833333333333334</v>
      </c>
    </row>
    <row r="296" spans="1:12" x14ac:dyDescent="0.3">
      <c r="A296" s="25"/>
      <c r="B296" s="1" t="s">
        <v>214</v>
      </c>
      <c r="C296" s="1" t="s">
        <v>1198</v>
      </c>
      <c r="D296" s="1"/>
      <c r="E296" s="1" t="s">
        <v>137</v>
      </c>
      <c r="F296" s="1" t="s">
        <v>1281</v>
      </c>
      <c r="G296" s="4">
        <v>46161</v>
      </c>
      <c r="H296" s="5">
        <v>0.87847222222222221</v>
      </c>
      <c r="I296" s="1" t="s">
        <v>63</v>
      </c>
      <c r="J296" s="1" t="s">
        <v>1280</v>
      </c>
      <c r="K296" s="4">
        <v>46173</v>
      </c>
      <c r="L296" s="30">
        <v>0.3923611111111111</v>
      </c>
    </row>
    <row r="297" spans="1:12" x14ac:dyDescent="0.3">
      <c r="A297" s="25"/>
      <c r="B297" s="1" t="s">
        <v>214</v>
      </c>
      <c r="C297" s="1" t="s">
        <v>1204</v>
      </c>
      <c r="D297" s="1"/>
      <c r="E297" s="1" t="s">
        <v>136</v>
      </c>
      <c r="F297" s="1" t="s">
        <v>1281</v>
      </c>
      <c r="G297" s="4">
        <v>46160</v>
      </c>
      <c r="H297" s="5">
        <v>0.1076388888888889</v>
      </c>
      <c r="I297" s="1" t="s">
        <v>71</v>
      </c>
      <c r="J297" s="1" t="s">
        <v>1280</v>
      </c>
      <c r="K297" s="4">
        <v>46172</v>
      </c>
      <c r="L297" s="30">
        <v>0.40972222222222221</v>
      </c>
    </row>
    <row r="298" spans="1:12" x14ac:dyDescent="0.3">
      <c r="A298" s="25"/>
      <c r="B298" s="1" t="s">
        <v>214</v>
      </c>
      <c r="C298" s="1" t="s">
        <v>1206</v>
      </c>
      <c r="D298" s="1"/>
      <c r="E298" s="1" t="s">
        <v>136</v>
      </c>
      <c r="F298" s="1" t="s">
        <v>1281</v>
      </c>
      <c r="G298" s="4">
        <v>46163</v>
      </c>
      <c r="H298" s="5">
        <v>0.1076388888888889</v>
      </c>
      <c r="I298" s="1" t="s">
        <v>1221</v>
      </c>
      <c r="J298" s="1" t="s">
        <v>1280</v>
      </c>
      <c r="K298" s="4">
        <v>46172</v>
      </c>
      <c r="L298" s="30">
        <v>0.34027777777777779</v>
      </c>
    </row>
    <row r="299" spans="1:12" x14ac:dyDescent="0.3">
      <c r="A299" s="25"/>
      <c r="B299" s="1" t="s">
        <v>214</v>
      </c>
      <c r="C299" s="1" t="s">
        <v>1211</v>
      </c>
      <c r="D299" s="1"/>
      <c r="E299" s="1" t="s">
        <v>134</v>
      </c>
      <c r="F299" s="1" t="s">
        <v>1281</v>
      </c>
      <c r="G299" s="4">
        <v>46162</v>
      </c>
      <c r="H299" s="5">
        <v>0.73958333333333337</v>
      </c>
      <c r="I299" s="1" t="s">
        <v>68</v>
      </c>
      <c r="J299" s="1" t="s">
        <v>1280</v>
      </c>
      <c r="K299" s="4">
        <v>46173</v>
      </c>
      <c r="L299" s="30">
        <v>0.38541666666666669</v>
      </c>
    </row>
    <row r="300" spans="1:12" x14ac:dyDescent="0.3">
      <c r="A300" s="25"/>
      <c r="B300" s="1" t="s">
        <v>214</v>
      </c>
      <c r="C300" s="1" t="s">
        <v>1214</v>
      </c>
      <c r="D300" s="1"/>
      <c r="E300" s="1" t="s">
        <v>66</v>
      </c>
      <c r="F300" s="1" t="s">
        <v>1280</v>
      </c>
      <c r="G300" s="4">
        <v>46164</v>
      </c>
      <c r="H300" s="5">
        <v>0.57986111111111116</v>
      </c>
      <c r="I300" s="1" t="s">
        <v>73</v>
      </c>
      <c r="J300" s="1" t="s">
        <v>1281</v>
      </c>
      <c r="K300" s="4">
        <v>46177</v>
      </c>
      <c r="L300" s="30">
        <v>0.14930555555555555</v>
      </c>
    </row>
    <row r="301" spans="1:12" x14ac:dyDescent="0.3">
      <c r="A301" s="25">
        <v>725686</v>
      </c>
      <c r="B301" s="1" t="s">
        <v>261</v>
      </c>
      <c r="C301" s="1" t="s">
        <v>1290</v>
      </c>
      <c r="D301" s="1" t="s">
        <v>268</v>
      </c>
      <c r="E301" s="1" t="s">
        <v>1291</v>
      </c>
      <c r="F301" s="1" t="s">
        <v>1281</v>
      </c>
      <c r="G301" s="4">
        <v>46164</v>
      </c>
      <c r="H301" s="5">
        <v>0.95833333333333337</v>
      </c>
      <c r="I301" s="1" t="s">
        <v>1292</v>
      </c>
      <c r="J301" s="1" t="s">
        <v>1280</v>
      </c>
      <c r="K301" s="4">
        <v>46173</v>
      </c>
      <c r="L301" s="30">
        <v>2.7777777777777776E-2</v>
      </c>
    </row>
    <row r="302" spans="1:12" x14ac:dyDescent="0.3">
      <c r="A302" s="25">
        <v>724252</v>
      </c>
      <c r="B302" s="1" t="s">
        <v>261</v>
      </c>
      <c r="C302" s="1" t="s">
        <v>1290</v>
      </c>
      <c r="D302" s="1" t="s">
        <v>268</v>
      </c>
      <c r="E302" s="1" t="s">
        <v>1291</v>
      </c>
      <c r="F302" s="1" t="s">
        <v>1281</v>
      </c>
      <c r="G302" s="4">
        <v>46164</v>
      </c>
      <c r="H302" s="5">
        <v>0.95833333333333337</v>
      </c>
      <c r="I302" s="1" t="s">
        <v>1292</v>
      </c>
      <c r="J302" s="1" t="s">
        <v>1280</v>
      </c>
      <c r="K302" s="4">
        <v>46173</v>
      </c>
      <c r="L302" s="30">
        <v>2.7777777777777776E-2</v>
      </c>
    </row>
    <row r="303" spans="1:12" x14ac:dyDescent="0.3">
      <c r="A303" s="25">
        <v>687565</v>
      </c>
      <c r="B303" s="1" t="s">
        <v>261</v>
      </c>
      <c r="C303" s="1" t="s">
        <v>1290</v>
      </c>
      <c r="D303" s="1" t="s">
        <v>268</v>
      </c>
      <c r="E303" s="1" t="s">
        <v>1291</v>
      </c>
      <c r="F303" s="1" t="s">
        <v>1281</v>
      </c>
      <c r="G303" s="4">
        <v>46164</v>
      </c>
      <c r="H303" s="5">
        <v>0.95833333333333337</v>
      </c>
      <c r="I303" s="1" t="s">
        <v>1292</v>
      </c>
      <c r="J303" s="1" t="s">
        <v>1280</v>
      </c>
      <c r="K303" s="4">
        <v>46173</v>
      </c>
      <c r="L303" s="30">
        <v>2.7777777777777776E-2</v>
      </c>
    </row>
    <row r="304" spans="1:12" x14ac:dyDescent="0.3">
      <c r="A304" s="25">
        <v>835875</v>
      </c>
      <c r="B304" s="1" t="s">
        <v>261</v>
      </c>
      <c r="C304" s="1" t="s">
        <v>1293</v>
      </c>
      <c r="D304" s="1" t="s">
        <v>505</v>
      </c>
      <c r="E304" s="1" t="s">
        <v>1294</v>
      </c>
      <c r="F304" s="1" t="s">
        <v>1281</v>
      </c>
      <c r="G304" s="4">
        <v>46163</v>
      </c>
      <c r="H304" s="5">
        <v>0.3888888888888889</v>
      </c>
      <c r="I304" s="1" t="s">
        <v>1295</v>
      </c>
      <c r="J304" s="1" t="s">
        <v>1280</v>
      </c>
      <c r="K304" s="4">
        <v>46179</v>
      </c>
      <c r="L304" s="30">
        <v>0.73263888888888884</v>
      </c>
    </row>
    <row r="305" spans="1:12" x14ac:dyDescent="0.3">
      <c r="A305" s="25">
        <v>721940</v>
      </c>
      <c r="B305" s="1" t="s">
        <v>261</v>
      </c>
      <c r="C305" s="1" t="s">
        <v>1293</v>
      </c>
      <c r="D305" s="1" t="s">
        <v>505</v>
      </c>
      <c r="E305" s="1" t="s">
        <v>1294</v>
      </c>
      <c r="F305" s="1" t="s">
        <v>1281</v>
      </c>
      <c r="G305" s="4">
        <v>46163</v>
      </c>
      <c r="H305" s="5">
        <v>0.3888888888888889</v>
      </c>
      <c r="I305" s="1" t="s">
        <v>1295</v>
      </c>
      <c r="J305" s="1" t="s">
        <v>1280</v>
      </c>
      <c r="K305" s="4">
        <v>46179</v>
      </c>
      <c r="L305" s="30">
        <v>0.73263888888888884</v>
      </c>
    </row>
    <row r="306" spans="1:12" x14ac:dyDescent="0.3">
      <c r="A306" s="25">
        <v>720552</v>
      </c>
      <c r="B306" s="1" t="s">
        <v>261</v>
      </c>
      <c r="C306" s="1" t="s">
        <v>1293</v>
      </c>
      <c r="D306" s="1" t="s">
        <v>505</v>
      </c>
      <c r="E306" s="1" t="s">
        <v>1294</v>
      </c>
      <c r="F306" s="1" t="s">
        <v>1281</v>
      </c>
      <c r="G306" s="4">
        <v>46163</v>
      </c>
      <c r="H306" s="5">
        <v>0.3888888888888889</v>
      </c>
      <c r="I306" s="1" t="s">
        <v>1295</v>
      </c>
      <c r="J306" s="1" t="s">
        <v>1280</v>
      </c>
      <c r="K306" s="4">
        <v>46179</v>
      </c>
      <c r="L306" s="30">
        <v>0.73263888888888884</v>
      </c>
    </row>
    <row r="307" spans="1:12" x14ac:dyDescent="0.3">
      <c r="A307" s="25">
        <v>622917</v>
      </c>
      <c r="B307" s="1" t="s">
        <v>261</v>
      </c>
      <c r="C307" s="1" t="s">
        <v>1296</v>
      </c>
      <c r="D307" s="1" t="s">
        <v>327</v>
      </c>
      <c r="E307" s="1" t="s">
        <v>1297</v>
      </c>
      <c r="F307" s="1" t="s">
        <v>1280</v>
      </c>
      <c r="G307" s="4">
        <v>46165</v>
      </c>
      <c r="H307" s="5">
        <v>0.54513888888888884</v>
      </c>
      <c r="I307" s="1" t="s">
        <v>1298</v>
      </c>
      <c r="J307" s="1" t="s">
        <v>1281</v>
      </c>
      <c r="K307" s="4">
        <v>46175</v>
      </c>
      <c r="L307" s="30">
        <v>0.21527777777777779</v>
      </c>
    </row>
    <row r="308" spans="1:12" x14ac:dyDescent="0.3">
      <c r="A308" s="25">
        <v>612174</v>
      </c>
      <c r="B308" s="1" t="s">
        <v>261</v>
      </c>
      <c r="C308" s="1" t="s">
        <v>1296</v>
      </c>
      <c r="D308" s="1" t="s">
        <v>327</v>
      </c>
      <c r="E308" s="1" t="s">
        <v>1297</v>
      </c>
      <c r="F308" s="1" t="s">
        <v>1280</v>
      </c>
      <c r="G308" s="4">
        <v>46165</v>
      </c>
      <c r="H308" s="5">
        <v>0.54513888888888884</v>
      </c>
      <c r="I308" s="1" t="s">
        <v>1298</v>
      </c>
      <c r="J308" s="1" t="s">
        <v>1281</v>
      </c>
      <c r="K308" s="4">
        <v>46175</v>
      </c>
      <c r="L308" s="30">
        <v>0.21527777777777779</v>
      </c>
    </row>
    <row r="309" spans="1:12" x14ac:dyDescent="0.3">
      <c r="A309" s="25">
        <v>553881</v>
      </c>
      <c r="B309" s="1" t="s">
        <v>261</v>
      </c>
      <c r="C309" s="1" t="s">
        <v>1299</v>
      </c>
      <c r="D309" s="1" t="s">
        <v>434</v>
      </c>
      <c r="E309" s="1" t="s">
        <v>1300</v>
      </c>
      <c r="F309" s="1" t="s">
        <v>1281</v>
      </c>
      <c r="G309" s="4">
        <v>46163</v>
      </c>
      <c r="H309" s="5">
        <v>0.35416666666666669</v>
      </c>
      <c r="I309" s="1" t="s">
        <v>1301</v>
      </c>
      <c r="J309" s="1" t="s">
        <v>1280</v>
      </c>
      <c r="K309" s="4">
        <v>46173</v>
      </c>
      <c r="L309" s="30">
        <v>0.31944444444444442</v>
      </c>
    </row>
    <row r="310" spans="1:12" x14ac:dyDescent="0.3">
      <c r="A310" s="25">
        <v>549432</v>
      </c>
      <c r="B310" s="1" t="s">
        <v>261</v>
      </c>
      <c r="C310" s="1" t="s">
        <v>1299</v>
      </c>
      <c r="D310" s="1" t="s">
        <v>434</v>
      </c>
      <c r="E310" s="1" t="s">
        <v>1300</v>
      </c>
      <c r="F310" s="1" t="s">
        <v>1281</v>
      </c>
      <c r="G310" s="4">
        <v>46163</v>
      </c>
      <c r="H310" s="5">
        <v>0.35416666666666669</v>
      </c>
      <c r="I310" s="1" t="s">
        <v>1301</v>
      </c>
      <c r="J310" s="1" t="s">
        <v>1280</v>
      </c>
      <c r="K310" s="4">
        <v>46173</v>
      </c>
      <c r="L310" s="30">
        <v>0.31944444444444442</v>
      </c>
    </row>
    <row r="311" spans="1:12" x14ac:dyDescent="0.3">
      <c r="A311" s="25">
        <v>216091</v>
      </c>
      <c r="B311" s="1" t="s">
        <v>261</v>
      </c>
      <c r="C311" s="1" t="s">
        <v>1302</v>
      </c>
      <c r="D311" s="1" t="s">
        <v>464</v>
      </c>
      <c r="E311" s="1" t="s">
        <v>1303</v>
      </c>
      <c r="F311" s="1" t="s">
        <v>1281</v>
      </c>
      <c r="G311" s="4">
        <v>46160</v>
      </c>
      <c r="H311" s="5">
        <v>0.94444444444444442</v>
      </c>
      <c r="I311" s="1" t="s">
        <v>1304</v>
      </c>
      <c r="J311" s="1" t="s">
        <v>1280</v>
      </c>
      <c r="K311" s="4">
        <v>46173</v>
      </c>
      <c r="L311" s="30">
        <v>0.24305555555555555</v>
      </c>
    </row>
    <row r="312" spans="1:12" x14ac:dyDescent="0.3">
      <c r="A312" s="25">
        <v>741671</v>
      </c>
      <c r="B312" s="1" t="s">
        <v>261</v>
      </c>
      <c r="C312" s="1" t="s">
        <v>1305</v>
      </c>
      <c r="D312" s="1" t="s">
        <v>263</v>
      </c>
      <c r="E312" s="1" t="s">
        <v>1308</v>
      </c>
      <c r="F312" s="1" t="s">
        <v>1281</v>
      </c>
      <c r="G312" s="4">
        <v>46160</v>
      </c>
      <c r="H312" s="5">
        <v>0.78472222222222221</v>
      </c>
      <c r="I312" s="1" t="s">
        <v>1309</v>
      </c>
      <c r="J312" s="1" t="s">
        <v>1280</v>
      </c>
      <c r="K312" s="4">
        <v>46173</v>
      </c>
      <c r="L312" s="30">
        <v>0.3125</v>
      </c>
    </row>
    <row r="313" spans="1:12" x14ac:dyDescent="0.3">
      <c r="A313" s="25">
        <v>741593</v>
      </c>
      <c r="B313" s="1" t="s">
        <v>261</v>
      </c>
      <c r="C313" s="1" t="s">
        <v>1305</v>
      </c>
      <c r="D313" s="1" t="s">
        <v>263</v>
      </c>
      <c r="E313" s="1" t="s">
        <v>1308</v>
      </c>
      <c r="F313" s="1" t="s">
        <v>1281</v>
      </c>
      <c r="G313" s="4">
        <v>46160</v>
      </c>
      <c r="H313" s="5">
        <v>0.78472222222222221</v>
      </c>
      <c r="I313" s="1" t="s">
        <v>1309</v>
      </c>
      <c r="J313" s="1" t="s">
        <v>1280</v>
      </c>
      <c r="K313" s="4">
        <v>46173</v>
      </c>
      <c r="L313" s="30">
        <v>0.3125</v>
      </c>
    </row>
    <row r="314" spans="1:12" x14ac:dyDescent="0.3">
      <c r="A314" s="25">
        <v>820035</v>
      </c>
      <c r="B314" s="1" t="s">
        <v>261</v>
      </c>
      <c r="C314" s="1" t="s">
        <v>1310</v>
      </c>
      <c r="D314" s="1" t="s">
        <v>492</v>
      </c>
      <c r="E314" s="1" t="s">
        <v>1311</v>
      </c>
      <c r="F314" s="1" t="s">
        <v>1281</v>
      </c>
      <c r="G314" s="4">
        <v>46163</v>
      </c>
      <c r="H314" s="5">
        <v>0.44097222222222221</v>
      </c>
      <c r="I314" s="1" t="s">
        <v>1312</v>
      </c>
      <c r="J314" s="1" t="s">
        <v>1280</v>
      </c>
      <c r="K314" s="4">
        <v>46179</v>
      </c>
      <c r="L314" s="30">
        <v>0.72222222222222221</v>
      </c>
    </row>
    <row r="315" spans="1:12" x14ac:dyDescent="0.3">
      <c r="A315" s="25">
        <v>820033</v>
      </c>
      <c r="B315" s="1" t="s">
        <v>261</v>
      </c>
      <c r="C315" s="1" t="s">
        <v>1310</v>
      </c>
      <c r="D315" s="1" t="s">
        <v>492</v>
      </c>
      <c r="E315" s="1" t="s">
        <v>1311</v>
      </c>
      <c r="F315" s="1" t="s">
        <v>1281</v>
      </c>
      <c r="G315" s="4">
        <v>46163</v>
      </c>
      <c r="H315" s="5">
        <v>0.44097222222222221</v>
      </c>
      <c r="I315" s="1" t="s">
        <v>1312</v>
      </c>
      <c r="J315" s="1" t="s">
        <v>1280</v>
      </c>
      <c r="K315" s="4">
        <v>46179</v>
      </c>
      <c r="L315" s="30">
        <v>0.72222222222222221</v>
      </c>
    </row>
    <row r="316" spans="1:12" x14ac:dyDescent="0.3">
      <c r="A316" s="25">
        <v>726343</v>
      </c>
      <c r="B316" s="1" t="s">
        <v>261</v>
      </c>
      <c r="C316" s="1" t="s">
        <v>1313</v>
      </c>
      <c r="D316" s="1" t="s">
        <v>513</v>
      </c>
      <c r="E316" s="1" t="s">
        <v>1314</v>
      </c>
      <c r="F316" s="1" t="s">
        <v>1280</v>
      </c>
      <c r="G316" s="4">
        <v>46163</v>
      </c>
      <c r="H316" s="5">
        <v>0.16319444444444445</v>
      </c>
      <c r="I316" s="1" t="s">
        <v>1315</v>
      </c>
      <c r="J316" s="1" t="s">
        <v>1280</v>
      </c>
      <c r="K316" s="4">
        <v>46173</v>
      </c>
      <c r="L316" s="30">
        <v>0.13194444444444445</v>
      </c>
    </row>
    <row r="317" spans="1:12" x14ac:dyDescent="0.3">
      <c r="A317" s="25">
        <v>726109</v>
      </c>
      <c r="B317" s="1" t="s">
        <v>261</v>
      </c>
      <c r="C317" s="1" t="s">
        <v>1313</v>
      </c>
      <c r="D317" s="1" t="s">
        <v>513</v>
      </c>
      <c r="E317" s="1" t="s">
        <v>1314</v>
      </c>
      <c r="F317" s="1" t="s">
        <v>1280</v>
      </c>
      <c r="G317" s="4">
        <v>46163</v>
      </c>
      <c r="H317" s="5">
        <v>0.16319444444444445</v>
      </c>
      <c r="I317" s="1" t="s">
        <v>1315</v>
      </c>
      <c r="J317" s="1" t="s">
        <v>1280</v>
      </c>
      <c r="K317" s="4">
        <v>46173</v>
      </c>
      <c r="L317" s="30">
        <v>0.13194444444444445</v>
      </c>
    </row>
    <row r="318" spans="1:12" x14ac:dyDescent="0.3">
      <c r="A318" s="25">
        <v>51461</v>
      </c>
      <c r="B318" s="1" t="s">
        <v>261</v>
      </c>
      <c r="C318" s="1" t="s">
        <v>1316</v>
      </c>
      <c r="D318" s="1" t="s">
        <v>533</v>
      </c>
      <c r="E318" s="1" t="s">
        <v>1317</v>
      </c>
      <c r="F318" s="1" t="s">
        <v>1281</v>
      </c>
      <c r="G318" s="4">
        <v>46160</v>
      </c>
      <c r="H318" s="5">
        <v>0.67361111111111116</v>
      </c>
      <c r="I318" s="1" t="s">
        <v>1318</v>
      </c>
      <c r="J318" s="1" t="s">
        <v>1280</v>
      </c>
      <c r="K318" s="4">
        <v>46173</v>
      </c>
      <c r="L318" s="30">
        <v>0.38194444444444442</v>
      </c>
    </row>
    <row r="319" spans="1:12" x14ac:dyDescent="0.3">
      <c r="A319" s="25">
        <v>24416</v>
      </c>
      <c r="B319" s="1" t="s">
        <v>261</v>
      </c>
      <c r="C319" s="1" t="s">
        <v>1319</v>
      </c>
      <c r="D319" s="1" t="s">
        <v>351</v>
      </c>
      <c r="E319" s="1" t="s">
        <v>1308</v>
      </c>
      <c r="F319" s="1" t="s">
        <v>1281</v>
      </c>
      <c r="G319" s="4">
        <v>46160</v>
      </c>
      <c r="H319" s="5">
        <v>0.78472222222222221</v>
      </c>
      <c r="I319" s="1" t="s">
        <v>1320</v>
      </c>
      <c r="J319" s="1" t="s">
        <v>1280</v>
      </c>
      <c r="K319" s="4">
        <v>46173</v>
      </c>
      <c r="L319" s="30">
        <v>0.29166666666666669</v>
      </c>
    </row>
    <row r="320" spans="1:12" x14ac:dyDescent="0.3">
      <c r="A320" s="25">
        <v>868390</v>
      </c>
      <c r="B320" s="1" t="s">
        <v>261</v>
      </c>
      <c r="C320" s="1" t="s">
        <v>1321</v>
      </c>
      <c r="D320" s="1" t="s">
        <v>538</v>
      </c>
      <c r="E320" s="1" t="s">
        <v>1322</v>
      </c>
      <c r="F320" s="1" t="s">
        <v>1280</v>
      </c>
      <c r="G320" s="4">
        <v>46163</v>
      </c>
      <c r="H320" s="5">
        <v>0.80902777777777779</v>
      </c>
      <c r="I320" s="1" t="s">
        <v>1323</v>
      </c>
      <c r="J320" s="1" t="s">
        <v>1280</v>
      </c>
      <c r="K320" s="4">
        <v>46175</v>
      </c>
      <c r="L320" s="30">
        <v>0.9375</v>
      </c>
    </row>
    <row r="321" spans="1:12" x14ac:dyDescent="0.3">
      <c r="A321" s="25">
        <v>670648</v>
      </c>
      <c r="B321" s="1" t="s">
        <v>261</v>
      </c>
      <c r="C321" s="1" t="s">
        <v>1321</v>
      </c>
      <c r="D321" s="1" t="s">
        <v>538</v>
      </c>
      <c r="E321" s="1" t="s">
        <v>1322</v>
      </c>
      <c r="F321" s="1" t="s">
        <v>1280</v>
      </c>
      <c r="G321" s="4">
        <v>46163</v>
      </c>
      <c r="H321" s="5">
        <v>0.80902777777777779</v>
      </c>
      <c r="I321" s="1" t="s">
        <v>1323</v>
      </c>
      <c r="J321" s="1" t="s">
        <v>1280</v>
      </c>
      <c r="K321" s="4">
        <v>46175</v>
      </c>
      <c r="L321" s="30">
        <v>0.9375</v>
      </c>
    </row>
    <row r="322" spans="1:12" x14ac:dyDescent="0.3">
      <c r="A322" s="25">
        <v>748546</v>
      </c>
      <c r="B322" s="1" t="s">
        <v>261</v>
      </c>
      <c r="C322" s="1" t="s">
        <v>1324</v>
      </c>
      <c r="D322" s="1" t="s">
        <v>548</v>
      </c>
      <c r="E322" s="1" t="s">
        <v>1325</v>
      </c>
      <c r="F322" s="1" t="s">
        <v>1280</v>
      </c>
      <c r="G322" s="4">
        <v>46163</v>
      </c>
      <c r="H322" s="5">
        <v>0.73958333333333337</v>
      </c>
      <c r="I322" s="1" t="s">
        <v>1326</v>
      </c>
      <c r="J322" s="1" t="s">
        <v>1281</v>
      </c>
      <c r="K322" s="4">
        <v>46175</v>
      </c>
      <c r="L322" s="30">
        <v>0.73263888888888884</v>
      </c>
    </row>
    <row r="323" spans="1:12" x14ac:dyDescent="0.3">
      <c r="A323" s="25">
        <v>744826</v>
      </c>
      <c r="B323" s="1" t="s">
        <v>261</v>
      </c>
      <c r="C323" s="1" t="s">
        <v>1324</v>
      </c>
      <c r="D323" s="1" t="s">
        <v>548</v>
      </c>
      <c r="E323" s="1" t="s">
        <v>1325</v>
      </c>
      <c r="F323" s="1" t="s">
        <v>1280</v>
      </c>
      <c r="G323" s="4">
        <v>46163</v>
      </c>
      <c r="H323" s="5">
        <v>0.73958333333333337</v>
      </c>
      <c r="I323" s="1" t="s">
        <v>1326</v>
      </c>
      <c r="J323" s="1" t="s">
        <v>1281</v>
      </c>
      <c r="K323" s="4">
        <v>46175</v>
      </c>
      <c r="L323" s="30">
        <v>0.73263888888888884</v>
      </c>
    </row>
    <row r="324" spans="1:12" x14ac:dyDescent="0.3">
      <c r="A324" s="25">
        <v>197145</v>
      </c>
      <c r="B324" s="1" t="s">
        <v>261</v>
      </c>
      <c r="C324" s="1" t="s">
        <v>1330</v>
      </c>
      <c r="D324" s="1" t="s">
        <v>558</v>
      </c>
      <c r="E324" s="1" t="s">
        <v>1331</v>
      </c>
      <c r="F324" s="1" t="s">
        <v>1280</v>
      </c>
      <c r="G324" s="4">
        <v>46163</v>
      </c>
      <c r="H324" s="5">
        <v>0.94444444444444442</v>
      </c>
      <c r="I324" s="1" t="s">
        <v>1332</v>
      </c>
      <c r="J324" s="1" t="s">
        <v>1280</v>
      </c>
      <c r="K324" s="4">
        <v>46175</v>
      </c>
      <c r="L324" s="30">
        <v>5.5555555555555552E-2</v>
      </c>
    </row>
    <row r="325" spans="1:12" x14ac:dyDescent="0.3">
      <c r="A325" s="25">
        <v>103048</v>
      </c>
      <c r="B325" s="1" t="s">
        <v>261</v>
      </c>
      <c r="C325" s="1" t="s">
        <v>1330</v>
      </c>
      <c r="D325" s="1" t="s">
        <v>558</v>
      </c>
      <c r="E325" s="1" t="s">
        <v>1331</v>
      </c>
      <c r="F325" s="1" t="s">
        <v>1280</v>
      </c>
      <c r="G325" s="4">
        <v>46163</v>
      </c>
      <c r="H325" s="5">
        <v>0.94444444444444442</v>
      </c>
      <c r="I325" s="1" t="s">
        <v>1332</v>
      </c>
      <c r="J325" s="1" t="s">
        <v>1280</v>
      </c>
      <c r="K325" s="4">
        <v>46175</v>
      </c>
      <c r="L325" s="30">
        <v>5.5555555555555552E-2</v>
      </c>
    </row>
    <row r="326" spans="1:12" x14ac:dyDescent="0.3">
      <c r="A326" s="25">
        <v>786761</v>
      </c>
      <c r="B326" s="1" t="s">
        <v>261</v>
      </c>
      <c r="C326" s="1" t="s">
        <v>1333</v>
      </c>
      <c r="D326" s="1" t="s">
        <v>607</v>
      </c>
      <c r="E326" s="1" t="s">
        <v>1334</v>
      </c>
      <c r="F326" s="1" t="s">
        <v>1280</v>
      </c>
      <c r="G326" s="4">
        <v>46163</v>
      </c>
      <c r="H326" s="5">
        <v>0.15277777777777779</v>
      </c>
      <c r="I326" s="1" t="s">
        <v>1335</v>
      </c>
      <c r="J326" s="1" t="s">
        <v>1281</v>
      </c>
      <c r="K326" s="4">
        <v>46175</v>
      </c>
      <c r="L326" s="30">
        <v>3.8194444444444448E-2</v>
      </c>
    </row>
    <row r="327" spans="1:12" x14ac:dyDescent="0.3">
      <c r="A327" s="25">
        <v>718721</v>
      </c>
      <c r="B327" s="1" t="s">
        <v>261</v>
      </c>
      <c r="C327" s="1" t="s">
        <v>1337</v>
      </c>
      <c r="D327" s="1" t="s">
        <v>318</v>
      </c>
      <c r="E327" s="1" t="s">
        <v>1338</v>
      </c>
      <c r="F327" s="1" t="s">
        <v>1281</v>
      </c>
      <c r="G327" s="4">
        <v>46163</v>
      </c>
      <c r="H327" s="5">
        <v>0.15625</v>
      </c>
      <c r="I327" s="1" t="s">
        <v>1309</v>
      </c>
      <c r="J327" s="1" t="s">
        <v>1280</v>
      </c>
      <c r="K327" s="4">
        <v>46173</v>
      </c>
      <c r="L327" s="30">
        <v>0.3125</v>
      </c>
    </row>
    <row r="328" spans="1:12" x14ac:dyDescent="0.3">
      <c r="A328" s="25">
        <v>602251</v>
      </c>
      <c r="B328" s="1" t="s">
        <v>261</v>
      </c>
      <c r="C328" s="1" t="s">
        <v>1337</v>
      </c>
      <c r="D328" s="1" t="s">
        <v>318</v>
      </c>
      <c r="E328" s="1" t="s">
        <v>1338</v>
      </c>
      <c r="F328" s="1" t="s">
        <v>1281</v>
      </c>
      <c r="G328" s="4">
        <v>46163</v>
      </c>
      <c r="H328" s="5">
        <v>0.15625</v>
      </c>
      <c r="I328" s="1" t="s">
        <v>1309</v>
      </c>
      <c r="J328" s="1" t="s">
        <v>1280</v>
      </c>
      <c r="K328" s="4">
        <v>46173</v>
      </c>
      <c r="L328" s="30">
        <v>0.3125</v>
      </c>
    </row>
    <row r="329" spans="1:12" x14ac:dyDescent="0.3">
      <c r="A329" s="25">
        <v>789534</v>
      </c>
      <c r="B329" s="1" t="s">
        <v>261</v>
      </c>
      <c r="C329" s="1" t="s">
        <v>1339</v>
      </c>
      <c r="D329" s="1" t="s">
        <v>574</v>
      </c>
      <c r="E329" s="1" t="s">
        <v>1340</v>
      </c>
      <c r="F329" s="1" t="s">
        <v>1281</v>
      </c>
      <c r="G329" s="4">
        <v>46163</v>
      </c>
      <c r="H329" s="5">
        <v>0.13541666666666666</v>
      </c>
      <c r="I329" s="1" t="s">
        <v>1341</v>
      </c>
      <c r="J329" s="1" t="s">
        <v>1280</v>
      </c>
      <c r="K329" s="4">
        <v>46179</v>
      </c>
      <c r="L329" s="30">
        <v>0.2013888888888889</v>
      </c>
    </row>
    <row r="330" spans="1:12" x14ac:dyDescent="0.3">
      <c r="A330" s="25">
        <v>789502</v>
      </c>
      <c r="B330" s="1" t="s">
        <v>261</v>
      </c>
      <c r="C330" s="1" t="s">
        <v>1339</v>
      </c>
      <c r="D330" s="1" t="s">
        <v>574</v>
      </c>
      <c r="E330" s="1" t="s">
        <v>1340</v>
      </c>
      <c r="F330" s="1" t="s">
        <v>1281</v>
      </c>
      <c r="G330" s="4">
        <v>46163</v>
      </c>
      <c r="H330" s="5">
        <v>0.13541666666666666</v>
      </c>
      <c r="I330" s="1" t="s">
        <v>1341</v>
      </c>
      <c r="J330" s="1" t="s">
        <v>1280</v>
      </c>
      <c r="K330" s="4">
        <v>46179</v>
      </c>
      <c r="L330" s="30">
        <v>0.2013888888888889</v>
      </c>
    </row>
    <row r="331" spans="1:12" x14ac:dyDescent="0.3">
      <c r="A331" s="25">
        <v>778442</v>
      </c>
      <c r="B331" s="1" t="s">
        <v>261</v>
      </c>
      <c r="C331" s="1" t="s">
        <v>1342</v>
      </c>
      <c r="D331" s="1" t="s">
        <v>414</v>
      </c>
      <c r="E331" s="1" t="s">
        <v>1343</v>
      </c>
      <c r="F331" s="1" t="s">
        <v>1281</v>
      </c>
      <c r="G331" s="4">
        <v>46163</v>
      </c>
      <c r="H331" s="5">
        <v>0.88888888888888884</v>
      </c>
      <c r="I331" s="1" t="s">
        <v>1292</v>
      </c>
      <c r="J331" s="1" t="s">
        <v>1280</v>
      </c>
      <c r="K331" s="4">
        <v>46173</v>
      </c>
      <c r="L331" s="30">
        <v>2.7777777777777776E-2</v>
      </c>
    </row>
    <row r="332" spans="1:12" x14ac:dyDescent="0.3">
      <c r="A332" s="25">
        <v>356008</v>
      </c>
      <c r="B332" s="1" t="s">
        <v>261</v>
      </c>
      <c r="C332" s="1" t="s">
        <v>1342</v>
      </c>
      <c r="D332" s="1" t="s">
        <v>414</v>
      </c>
      <c r="E332" s="1" t="s">
        <v>1343</v>
      </c>
      <c r="F332" s="1" t="s">
        <v>1281</v>
      </c>
      <c r="G332" s="4">
        <v>46163</v>
      </c>
      <c r="H332" s="5">
        <v>0.88888888888888884</v>
      </c>
      <c r="I332" s="1" t="s">
        <v>1292</v>
      </c>
      <c r="J332" s="1" t="s">
        <v>1280</v>
      </c>
      <c r="K332" s="4">
        <v>46173</v>
      </c>
      <c r="L332" s="30">
        <v>2.7777777777777776E-2</v>
      </c>
    </row>
    <row r="333" spans="1:12" x14ac:dyDescent="0.3">
      <c r="A333" s="25">
        <v>727890</v>
      </c>
      <c r="B333" s="1" t="s">
        <v>261</v>
      </c>
      <c r="C333" s="1" t="s">
        <v>1350</v>
      </c>
      <c r="D333" s="1" t="s">
        <v>459</v>
      </c>
      <c r="E333" s="1" t="s">
        <v>1351</v>
      </c>
      <c r="F333" s="1" t="s">
        <v>1280</v>
      </c>
      <c r="G333" s="4">
        <v>46163</v>
      </c>
      <c r="H333" s="5">
        <v>0.28125</v>
      </c>
      <c r="I333" s="1" t="s">
        <v>1298</v>
      </c>
      <c r="J333" s="1" t="s">
        <v>1281</v>
      </c>
      <c r="K333" s="4">
        <v>46175</v>
      </c>
      <c r="L333" s="30">
        <v>0.21527777777777779</v>
      </c>
    </row>
    <row r="334" spans="1:12" x14ac:dyDescent="0.3">
      <c r="A334" s="25">
        <v>400819</v>
      </c>
      <c r="B334" s="1" t="s">
        <v>261</v>
      </c>
      <c r="C334" s="1" t="s">
        <v>1352</v>
      </c>
      <c r="D334" s="1" t="s">
        <v>481</v>
      </c>
      <c r="E334" s="1" t="s">
        <v>1353</v>
      </c>
      <c r="F334" s="1" t="s">
        <v>1281</v>
      </c>
      <c r="G334" s="4">
        <v>46163</v>
      </c>
      <c r="H334" s="5">
        <v>0.67708333333333337</v>
      </c>
      <c r="I334" s="1" t="s">
        <v>1354</v>
      </c>
      <c r="J334" s="1" t="s">
        <v>1280</v>
      </c>
      <c r="K334" s="4">
        <v>46179</v>
      </c>
      <c r="L334" s="30">
        <v>0.36805555555555558</v>
      </c>
    </row>
    <row r="335" spans="1:12" x14ac:dyDescent="0.3">
      <c r="A335" s="25">
        <v>400757</v>
      </c>
      <c r="B335" s="1" t="s">
        <v>261</v>
      </c>
      <c r="C335" s="1" t="s">
        <v>1352</v>
      </c>
      <c r="D335" s="1" t="s">
        <v>481</v>
      </c>
      <c r="E335" s="1" t="s">
        <v>1353</v>
      </c>
      <c r="F335" s="1" t="s">
        <v>1281</v>
      </c>
      <c r="G335" s="4">
        <v>46163</v>
      </c>
      <c r="H335" s="5">
        <v>0.67708333333333337</v>
      </c>
      <c r="I335" s="1" t="s">
        <v>1354</v>
      </c>
      <c r="J335" s="1" t="s">
        <v>1280</v>
      </c>
      <c r="K335" s="4">
        <v>46179</v>
      </c>
      <c r="L335" s="30">
        <v>0.36805555555555558</v>
      </c>
    </row>
    <row r="336" spans="1:12" x14ac:dyDescent="0.3">
      <c r="A336" s="25">
        <v>838121</v>
      </c>
      <c r="B336" s="1" t="s">
        <v>261</v>
      </c>
      <c r="C336" s="1" t="s">
        <v>1355</v>
      </c>
      <c r="D336" s="1" t="s">
        <v>567</v>
      </c>
      <c r="E336" s="1" t="s">
        <v>1356</v>
      </c>
      <c r="F336" s="1" t="s">
        <v>1280</v>
      </c>
      <c r="G336" s="4">
        <v>46160</v>
      </c>
      <c r="H336" s="5">
        <v>0.57986111111111116</v>
      </c>
      <c r="I336" s="1" t="s">
        <v>1357</v>
      </c>
      <c r="J336" s="1" t="s">
        <v>1280</v>
      </c>
      <c r="K336" s="4">
        <v>46173</v>
      </c>
      <c r="L336" s="30">
        <v>0.3923611111111111</v>
      </c>
    </row>
    <row r="337" spans="1:12" x14ac:dyDescent="0.3">
      <c r="A337" s="25">
        <v>838073</v>
      </c>
      <c r="B337" s="1" t="s">
        <v>261</v>
      </c>
      <c r="C337" s="1" t="s">
        <v>1355</v>
      </c>
      <c r="D337" s="1" t="s">
        <v>567</v>
      </c>
      <c r="E337" s="1" t="s">
        <v>1356</v>
      </c>
      <c r="F337" s="1" t="s">
        <v>1280</v>
      </c>
      <c r="G337" s="4">
        <v>46160</v>
      </c>
      <c r="H337" s="5">
        <v>0.57986111111111116</v>
      </c>
      <c r="I337" s="1" t="s">
        <v>1357</v>
      </c>
      <c r="J337" s="1" t="s">
        <v>1280</v>
      </c>
      <c r="K337" s="4">
        <v>46173</v>
      </c>
      <c r="L337" s="30">
        <v>0.3923611111111111</v>
      </c>
    </row>
    <row r="338" spans="1:12" x14ac:dyDescent="0.3">
      <c r="A338" s="25">
        <v>752184</v>
      </c>
      <c r="B338" s="1" t="s">
        <v>261</v>
      </c>
      <c r="C338" s="1" t="s">
        <v>1358</v>
      </c>
      <c r="D338" s="1" t="s">
        <v>403</v>
      </c>
      <c r="E338" s="1" t="s">
        <v>1322</v>
      </c>
      <c r="F338" s="1" t="s">
        <v>1280</v>
      </c>
      <c r="G338" s="4">
        <v>46163</v>
      </c>
      <c r="H338" s="5">
        <v>0.80902777777777779</v>
      </c>
      <c r="I338" s="1" t="s">
        <v>1359</v>
      </c>
      <c r="J338" s="1" t="s">
        <v>1280</v>
      </c>
      <c r="K338" s="4">
        <v>46175</v>
      </c>
      <c r="L338" s="30">
        <v>0.41666666666666669</v>
      </c>
    </row>
    <row r="339" spans="1:12" x14ac:dyDescent="0.3">
      <c r="A339" s="25">
        <v>618586</v>
      </c>
      <c r="B339" s="1" t="s">
        <v>261</v>
      </c>
      <c r="C339" s="1" t="s">
        <v>1358</v>
      </c>
      <c r="D339" s="1" t="s">
        <v>403</v>
      </c>
      <c r="E339" s="1" t="s">
        <v>1322</v>
      </c>
      <c r="F339" s="1" t="s">
        <v>1280</v>
      </c>
      <c r="G339" s="4">
        <v>46163</v>
      </c>
      <c r="H339" s="5">
        <v>0.80902777777777779</v>
      </c>
      <c r="I339" s="1" t="s">
        <v>1359</v>
      </c>
      <c r="J339" s="1" t="s">
        <v>1280</v>
      </c>
      <c r="K339" s="4">
        <v>46175</v>
      </c>
      <c r="L339" s="30">
        <v>0.41666666666666669</v>
      </c>
    </row>
    <row r="340" spans="1:12" x14ac:dyDescent="0.3">
      <c r="A340" s="25">
        <v>524615</v>
      </c>
      <c r="B340" s="1" t="s">
        <v>261</v>
      </c>
      <c r="C340" s="1" t="s">
        <v>1468</v>
      </c>
      <c r="D340" s="1" t="s">
        <v>310</v>
      </c>
      <c r="E340" s="1" t="s">
        <v>1469</v>
      </c>
      <c r="F340" s="1" t="s">
        <v>1280</v>
      </c>
      <c r="G340" s="4">
        <v>46163</v>
      </c>
      <c r="H340" s="5">
        <v>0.4375</v>
      </c>
      <c r="I340" s="1" t="s">
        <v>1374</v>
      </c>
      <c r="J340" s="1" t="s">
        <v>1281</v>
      </c>
      <c r="K340" s="4">
        <v>46175</v>
      </c>
      <c r="L340" s="30">
        <v>0.64236111111111116</v>
      </c>
    </row>
    <row r="341" spans="1:12" x14ac:dyDescent="0.3">
      <c r="A341" s="25">
        <v>602879</v>
      </c>
      <c r="B341" s="1" t="s">
        <v>261</v>
      </c>
      <c r="C341" s="1" t="s">
        <v>1468</v>
      </c>
      <c r="D341" s="1" t="s">
        <v>310</v>
      </c>
      <c r="E341" s="1" t="s">
        <v>1469</v>
      </c>
      <c r="F341" s="1" t="s">
        <v>1280</v>
      </c>
      <c r="G341" s="4">
        <v>46163</v>
      </c>
      <c r="H341" s="5">
        <v>0.4375</v>
      </c>
      <c r="I341" s="1" t="s">
        <v>1374</v>
      </c>
      <c r="J341" s="1" t="s">
        <v>1281</v>
      </c>
      <c r="K341" s="4">
        <v>46175</v>
      </c>
      <c r="L341" s="30">
        <v>0.64236111111111116</v>
      </c>
    </row>
    <row r="342" spans="1:12" x14ac:dyDescent="0.3">
      <c r="A342" s="25">
        <v>288573</v>
      </c>
      <c r="B342" s="1" t="s">
        <v>261</v>
      </c>
      <c r="C342" s="1" t="s">
        <v>1362</v>
      </c>
      <c r="D342" s="1" t="s">
        <v>500</v>
      </c>
      <c r="E342" s="1" t="s">
        <v>1343</v>
      </c>
      <c r="F342" s="1" t="s">
        <v>1281</v>
      </c>
      <c r="G342" s="4">
        <v>46163</v>
      </c>
      <c r="H342" s="5">
        <v>0.88888888888888884</v>
      </c>
      <c r="I342" s="1" t="s">
        <v>1363</v>
      </c>
      <c r="J342" s="1" t="s">
        <v>1280</v>
      </c>
      <c r="K342" s="4">
        <v>46173</v>
      </c>
      <c r="L342" s="30">
        <v>0.29166666666666669</v>
      </c>
    </row>
    <row r="343" spans="1:12" x14ac:dyDescent="0.3">
      <c r="A343" s="25">
        <v>128717</v>
      </c>
      <c r="B343" s="1" t="s">
        <v>261</v>
      </c>
      <c r="C343" s="1" t="s">
        <v>1370</v>
      </c>
      <c r="D343" s="1" t="s">
        <v>598</v>
      </c>
      <c r="E343" s="1" t="s">
        <v>1371</v>
      </c>
      <c r="F343" s="1" t="s">
        <v>1281</v>
      </c>
      <c r="G343" s="4">
        <v>46163</v>
      </c>
      <c r="H343" s="5">
        <v>0.18402777777777779</v>
      </c>
      <c r="I343" s="1" t="s">
        <v>1372</v>
      </c>
      <c r="J343" s="1" t="s">
        <v>1280</v>
      </c>
      <c r="K343" s="4">
        <v>46173</v>
      </c>
      <c r="L343" s="30">
        <v>6.25E-2</v>
      </c>
    </row>
    <row r="344" spans="1:12" x14ac:dyDescent="0.3">
      <c r="A344" s="25">
        <v>826259</v>
      </c>
      <c r="B344" s="1" t="s">
        <v>261</v>
      </c>
      <c r="C344" s="1" t="s">
        <v>1394</v>
      </c>
      <c r="D344" s="1" t="s">
        <v>338</v>
      </c>
      <c r="E344" s="1" t="s">
        <v>1395</v>
      </c>
      <c r="F344" s="1" t="s">
        <v>1280</v>
      </c>
      <c r="G344" s="4">
        <v>46163</v>
      </c>
      <c r="H344" s="5">
        <v>0.53819444444444442</v>
      </c>
      <c r="I344" s="1" t="s">
        <v>1396</v>
      </c>
      <c r="J344" s="1" t="s">
        <v>1281</v>
      </c>
      <c r="K344" s="4">
        <v>46175</v>
      </c>
      <c r="L344" s="30">
        <v>0.25694444444444442</v>
      </c>
    </row>
    <row r="345" spans="1:12" x14ac:dyDescent="0.3">
      <c r="A345" s="25">
        <v>136751</v>
      </c>
      <c r="B345" s="1" t="s">
        <v>261</v>
      </c>
      <c r="C345" s="1" t="s">
        <v>1399</v>
      </c>
      <c r="D345" s="1" t="s">
        <v>346</v>
      </c>
      <c r="E345" s="1" t="s">
        <v>1400</v>
      </c>
      <c r="F345" s="1" t="s">
        <v>1280</v>
      </c>
      <c r="G345" s="4">
        <v>46163</v>
      </c>
      <c r="H345" s="5">
        <v>0.95486111111111116</v>
      </c>
      <c r="I345" s="1" t="s">
        <v>1298</v>
      </c>
      <c r="J345" s="1" t="s">
        <v>1281</v>
      </c>
      <c r="K345" s="4">
        <v>46175</v>
      </c>
      <c r="L345" s="30">
        <v>0.21527777777777779</v>
      </c>
    </row>
    <row r="346" spans="1:12" x14ac:dyDescent="0.3">
      <c r="A346" s="25">
        <v>780675</v>
      </c>
      <c r="B346" s="1" t="s">
        <v>261</v>
      </c>
      <c r="C346" s="1" t="s">
        <v>1393</v>
      </c>
      <c r="D346" s="1" t="s">
        <v>361</v>
      </c>
      <c r="E346" s="1" t="s">
        <v>1379</v>
      </c>
      <c r="F346" s="1" t="s">
        <v>1280</v>
      </c>
      <c r="G346" s="4">
        <v>46160</v>
      </c>
      <c r="H346" s="5">
        <v>0.79166666666666663</v>
      </c>
      <c r="I346" s="1" t="s">
        <v>1380</v>
      </c>
      <c r="J346" s="1" t="s">
        <v>1280</v>
      </c>
      <c r="K346" s="4">
        <v>46173</v>
      </c>
      <c r="L346" s="30">
        <v>7.9861111111111105E-2</v>
      </c>
    </row>
    <row r="347" spans="1:12" x14ac:dyDescent="0.3">
      <c r="A347" s="25">
        <v>806761</v>
      </c>
      <c r="B347" s="1" t="s">
        <v>261</v>
      </c>
      <c r="C347" s="1" t="s">
        <v>1393</v>
      </c>
      <c r="D347" s="1" t="s">
        <v>361</v>
      </c>
      <c r="E347" s="1" t="s">
        <v>1379</v>
      </c>
      <c r="F347" s="1" t="s">
        <v>1280</v>
      </c>
      <c r="G347" s="4">
        <v>46160</v>
      </c>
      <c r="H347" s="5">
        <v>0.79166666666666663</v>
      </c>
      <c r="I347" s="1" t="s">
        <v>1380</v>
      </c>
      <c r="J347" s="1" t="s">
        <v>1280</v>
      </c>
      <c r="K347" s="4">
        <v>46173</v>
      </c>
      <c r="L347" s="30">
        <v>7.9861111111111105E-2</v>
      </c>
    </row>
    <row r="348" spans="1:12" x14ac:dyDescent="0.3">
      <c r="A348" s="25">
        <v>784074</v>
      </c>
      <c r="B348" s="1" t="s">
        <v>261</v>
      </c>
      <c r="C348" s="1" t="s">
        <v>1454</v>
      </c>
      <c r="D348" s="1" t="s">
        <v>372</v>
      </c>
      <c r="E348" s="1" t="s">
        <v>1455</v>
      </c>
      <c r="F348" s="1" t="s">
        <v>1281</v>
      </c>
      <c r="G348" s="4">
        <v>46160</v>
      </c>
      <c r="H348" s="5">
        <v>0.67708333333333337</v>
      </c>
      <c r="I348" s="1" t="s">
        <v>1456</v>
      </c>
      <c r="J348" s="1" t="s">
        <v>1280</v>
      </c>
      <c r="K348" s="4">
        <v>46173</v>
      </c>
      <c r="L348" s="30">
        <v>0.3263888888888889</v>
      </c>
    </row>
    <row r="349" spans="1:12" x14ac:dyDescent="0.3">
      <c r="A349" s="25">
        <v>785495</v>
      </c>
      <c r="B349" s="1" t="s">
        <v>261</v>
      </c>
      <c r="C349" s="1" t="s">
        <v>1454</v>
      </c>
      <c r="D349" s="1" t="s">
        <v>372</v>
      </c>
      <c r="E349" s="1" t="s">
        <v>1455</v>
      </c>
      <c r="F349" s="1" t="s">
        <v>1281</v>
      </c>
      <c r="G349" s="4">
        <v>46160</v>
      </c>
      <c r="H349" s="5">
        <v>0.67708333333333337</v>
      </c>
      <c r="I349" s="1" t="s">
        <v>1456</v>
      </c>
      <c r="J349" s="1" t="s">
        <v>1280</v>
      </c>
      <c r="K349" s="4">
        <v>46173</v>
      </c>
      <c r="L349" s="30">
        <v>0.3263888888888889</v>
      </c>
    </row>
    <row r="350" spans="1:12" x14ac:dyDescent="0.3">
      <c r="A350" s="25">
        <v>90379</v>
      </c>
      <c r="B350" s="1" t="s">
        <v>261</v>
      </c>
      <c r="C350" s="1" t="s">
        <v>1470</v>
      </c>
      <c r="D350" s="1" t="s">
        <v>378</v>
      </c>
      <c r="E350" s="1" t="s">
        <v>1308</v>
      </c>
      <c r="F350" s="1" t="s">
        <v>1281</v>
      </c>
      <c r="G350" s="4">
        <v>46163</v>
      </c>
      <c r="H350" s="5">
        <v>0.78472222222222221</v>
      </c>
      <c r="I350" s="1" t="s">
        <v>1320</v>
      </c>
      <c r="J350" s="1" t="s">
        <v>1280</v>
      </c>
      <c r="K350" s="4">
        <v>46173</v>
      </c>
      <c r="L350" s="30">
        <v>0.29166666666666669</v>
      </c>
    </row>
    <row r="351" spans="1:12" x14ac:dyDescent="0.3">
      <c r="A351" s="25">
        <v>791046</v>
      </c>
      <c r="B351" s="1" t="s">
        <v>261</v>
      </c>
      <c r="C351" s="1" t="s">
        <v>1397</v>
      </c>
      <c r="D351" s="1" t="s">
        <v>408</v>
      </c>
      <c r="E351" s="1" t="s">
        <v>1340</v>
      </c>
      <c r="F351" s="1" t="s">
        <v>1281</v>
      </c>
      <c r="G351" s="4">
        <v>46163</v>
      </c>
      <c r="H351" s="5">
        <v>0.13541666666666666</v>
      </c>
      <c r="I351" s="1" t="s">
        <v>1398</v>
      </c>
      <c r="J351" s="1" t="s">
        <v>1281</v>
      </c>
      <c r="K351" s="4">
        <v>46179</v>
      </c>
      <c r="L351" s="30">
        <v>0.19791666666666666</v>
      </c>
    </row>
    <row r="352" spans="1:12" x14ac:dyDescent="0.3">
      <c r="A352" s="25">
        <v>616963</v>
      </c>
      <c r="B352" s="1" t="s">
        <v>261</v>
      </c>
      <c r="C352" s="1" t="s">
        <v>1471</v>
      </c>
      <c r="D352" s="1" t="s">
        <v>398</v>
      </c>
      <c r="E352" s="1" t="s">
        <v>1400</v>
      </c>
      <c r="F352" s="1" t="s">
        <v>1280</v>
      </c>
      <c r="G352" s="4">
        <v>46163</v>
      </c>
      <c r="H352" s="5">
        <v>0.95486111111111116</v>
      </c>
      <c r="I352" s="1" t="s">
        <v>1472</v>
      </c>
      <c r="J352" s="1" t="s">
        <v>1280</v>
      </c>
      <c r="K352" s="4">
        <v>46175</v>
      </c>
      <c r="L352" s="30">
        <v>0.58333333333333337</v>
      </c>
    </row>
    <row r="353" spans="1:12" x14ac:dyDescent="0.3">
      <c r="A353" s="25">
        <v>310986</v>
      </c>
      <c r="B353" s="1" t="s">
        <v>261</v>
      </c>
      <c r="C353" s="1" t="s">
        <v>1397</v>
      </c>
      <c r="D353" s="1" t="s">
        <v>408</v>
      </c>
      <c r="E353" s="1" t="s">
        <v>1340</v>
      </c>
      <c r="F353" s="1" t="s">
        <v>1281</v>
      </c>
      <c r="G353" s="4">
        <v>46163</v>
      </c>
      <c r="H353" s="5">
        <v>0.13541666666666666</v>
      </c>
      <c r="I353" s="1" t="s">
        <v>1398</v>
      </c>
      <c r="J353" s="1" t="s">
        <v>1281</v>
      </c>
      <c r="K353" s="4">
        <v>46179</v>
      </c>
      <c r="L353" s="30">
        <v>0.19791666666666666</v>
      </c>
    </row>
    <row r="354" spans="1:12" x14ac:dyDescent="0.3">
      <c r="A354" s="25">
        <v>617094</v>
      </c>
      <c r="B354" s="1" t="s">
        <v>261</v>
      </c>
      <c r="C354" s="1" t="s">
        <v>1471</v>
      </c>
      <c r="D354" s="1" t="s">
        <v>398</v>
      </c>
      <c r="E354" s="1" t="s">
        <v>1400</v>
      </c>
      <c r="F354" s="1" t="s">
        <v>1280</v>
      </c>
      <c r="G354" s="4">
        <v>46163</v>
      </c>
      <c r="H354" s="5">
        <v>0.95486111111111116</v>
      </c>
      <c r="I354" s="1" t="s">
        <v>1472</v>
      </c>
      <c r="J354" s="1" t="s">
        <v>1280</v>
      </c>
      <c r="K354" s="4">
        <v>46175</v>
      </c>
      <c r="L354" s="30">
        <v>0.58333333333333337</v>
      </c>
    </row>
    <row r="355" spans="1:12" x14ac:dyDescent="0.3">
      <c r="A355" s="25">
        <v>690848</v>
      </c>
      <c r="B355" s="1" t="s">
        <v>261</v>
      </c>
      <c r="C355" s="1" t="s">
        <v>1401</v>
      </c>
      <c r="D355" s="1" t="s">
        <v>420</v>
      </c>
      <c r="E355" s="1" t="s">
        <v>1402</v>
      </c>
      <c r="F355" s="1" t="s">
        <v>1280</v>
      </c>
      <c r="G355" s="4">
        <v>46160</v>
      </c>
      <c r="H355" s="5">
        <v>0.81944444444444442</v>
      </c>
      <c r="I355" s="1" t="s">
        <v>1403</v>
      </c>
      <c r="J355" s="1" t="s">
        <v>1280</v>
      </c>
      <c r="K355" s="4">
        <v>46173</v>
      </c>
      <c r="L355" s="30">
        <v>0.57986111111111116</v>
      </c>
    </row>
    <row r="356" spans="1:12" x14ac:dyDescent="0.3">
      <c r="A356" s="25">
        <v>220723</v>
      </c>
      <c r="B356" s="1" t="s">
        <v>261</v>
      </c>
      <c r="C356" s="1" t="s">
        <v>1401</v>
      </c>
      <c r="D356" s="1" t="s">
        <v>420</v>
      </c>
      <c r="E356" s="1" t="s">
        <v>1402</v>
      </c>
      <c r="F356" s="1" t="s">
        <v>1280</v>
      </c>
      <c r="G356" s="4">
        <v>46160</v>
      </c>
      <c r="H356" s="5">
        <v>0.81944444444444442</v>
      </c>
      <c r="I356" s="1" t="s">
        <v>1403</v>
      </c>
      <c r="J356" s="1" t="s">
        <v>1280</v>
      </c>
      <c r="K356" s="4">
        <v>46173</v>
      </c>
      <c r="L356" s="30">
        <v>0.57986111111111116</v>
      </c>
    </row>
    <row r="357" spans="1:12" x14ac:dyDescent="0.3">
      <c r="A357" s="25">
        <v>543110</v>
      </c>
      <c r="B357" s="1" t="s">
        <v>261</v>
      </c>
      <c r="C357" s="1" t="s">
        <v>1473</v>
      </c>
      <c r="D357" s="1" t="s">
        <v>444</v>
      </c>
      <c r="E357" s="1" t="s">
        <v>1474</v>
      </c>
      <c r="F357" s="1" t="s">
        <v>1281</v>
      </c>
      <c r="G357" s="4">
        <v>46163</v>
      </c>
      <c r="H357" s="5">
        <v>0.98611111111111116</v>
      </c>
      <c r="I357" s="1" t="s">
        <v>1475</v>
      </c>
      <c r="J357" s="1" t="s">
        <v>1281</v>
      </c>
      <c r="K357" s="4">
        <v>46173</v>
      </c>
      <c r="L357" s="30">
        <v>0.22222222222222221</v>
      </c>
    </row>
    <row r="358" spans="1:12" x14ac:dyDescent="0.3">
      <c r="A358" s="25">
        <v>793722</v>
      </c>
      <c r="B358" s="1" t="s">
        <v>261</v>
      </c>
      <c r="C358" s="1" t="s">
        <v>1473</v>
      </c>
      <c r="D358" s="1" t="s">
        <v>444</v>
      </c>
      <c r="E358" s="1" t="s">
        <v>1474</v>
      </c>
      <c r="F358" s="1" t="s">
        <v>1281</v>
      </c>
      <c r="G358" s="4">
        <v>46163</v>
      </c>
      <c r="H358" s="5">
        <v>0.98611111111111116</v>
      </c>
      <c r="I358" s="1" t="s">
        <v>1475</v>
      </c>
      <c r="J358" s="1" t="s">
        <v>1281</v>
      </c>
      <c r="K358" s="4">
        <v>46173</v>
      </c>
      <c r="L358" s="30">
        <v>0.22222222222222221</v>
      </c>
    </row>
    <row r="359" spans="1:12" x14ac:dyDescent="0.3">
      <c r="A359" s="25">
        <v>794297</v>
      </c>
      <c r="B359" s="1" t="s">
        <v>261</v>
      </c>
      <c r="C359" s="1" t="s">
        <v>1465</v>
      </c>
      <c r="D359" s="1" t="s">
        <v>586</v>
      </c>
      <c r="E359" s="1" t="s">
        <v>1455</v>
      </c>
      <c r="F359" s="1" t="s">
        <v>1281</v>
      </c>
      <c r="G359" s="4">
        <v>46163</v>
      </c>
      <c r="H359" s="5">
        <v>0.67708333333333337</v>
      </c>
      <c r="I359" s="1" t="s">
        <v>1346</v>
      </c>
      <c r="J359" s="1" t="s">
        <v>1280</v>
      </c>
      <c r="K359" s="4">
        <v>46173</v>
      </c>
      <c r="L359" s="30">
        <v>0.20833333333333334</v>
      </c>
    </row>
    <row r="360" spans="1:12" x14ac:dyDescent="0.3">
      <c r="A360" s="25">
        <v>876970</v>
      </c>
      <c r="B360" s="1" t="s">
        <v>261</v>
      </c>
      <c r="C360" s="1" t="s">
        <v>1333</v>
      </c>
      <c r="D360" s="1" t="s">
        <v>607</v>
      </c>
      <c r="E360" s="1" t="s">
        <v>1334</v>
      </c>
      <c r="F360" s="1" t="s">
        <v>1280</v>
      </c>
      <c r="G360" s="4">
        <v>46163</v>
      </c>
      <c r="H360" s="5">
        <v>0.15277777777777779</v>
      </c>
      <c r="I360" s="1" t="s">
        <v>1335</v>
      </c>
      <c r="J360" s="1" t="s">
        <v>1281</v>
      </c>
      <c r="K360" s="4">
        <v>46175</v>
      </c>
      <c r="L360" s="30">
        <v>3.8194444444444448E-2</v>
      </c>
    </row>
    <row r="361" spans="1:12" x14ac:dyDescent="0.3">
      <c r="A361" s="25">
        <v>877004</v>
      </c>
      <c r="B361" s="1" t="s">
        <v>261</v>
      </c>
      <c r="C361" s="1" t="s">
        <v>1333</v>
      </c>
      <c r="D361" s="1" t="s">
        <v>607</v>
      </c>
      <c r="E361" s="1" t="s">
        <v>1334</v>
      </c>
      <c r="F361" s="1" t="s">
        <v>1280</v>
      </c>
      <c r="G361" s="4">
        <v>46163</v>
      </c>
      <c r="H361" s="5">
        <v>0.15277777777777779</v>
      </c>
      <c r="I361" s="1" t="s">
        <v>1335</v>
      </c>
      <c r="J361" s="1" t="s">
        <v>1281</v>
      </c>
      <c r="K361" s="4">
        <v>46175</v>
      </c>
      <c r="L361" s="30">
        <v>3.8194444444444448E-2</v>
      </c>
    </row>
    <row r="362" spans="1:12" x14ac:dyDescent="0.3">
      <c r="A362" s="25">
        <v>689744</v>
      </c>
      <c r="B362" s="1" t="s">
        <v>261</v>
      </c>
      <c r="C362" s="1" t="s">
        <v>1360</v>
      </c>
      <c r="D362" s="1" t="s">
        <v>618</v>
      </c>
      <c r="E362" s="1" t="s">
        <v>1343</v>
      </c>
      <c r="F362" s="1" t="s">
        <v>1281</v>
      </c>
      <c r="G362" s="4">
        <v>46163</v>
      </c>
      <c r="H362" s="5">
        <v>0.88888888888888884</v>
      </c>
      <c r="I362" s="1" t="s">
        <v>1298</v>
      </c>
      <c r="J362" s="1" t="s">
        <v>1281</v>
      </c>
      <c r="K362" s="4">
        <v>46173</v>
      </c>
      <c r="L362" s="30">
        <v>0.21527777777777779</v>
      </c>
    </row>
    <row r="363" spans="1:12" x14ac:dyDescent="0.3">
      <c r="A363" s="25">
        <v>689751</v>
      </c>
      <c r="B363" s="1" t="s">
        <v>261</v>
      </c>
      <c r="C363" s="1" t="s">
        <v>1360</v>
      </c>
      <c r="D363" s="1" t="s">
        <v>618</v>
      </c>
      <c r="E363" s="1" t="s">
        <v>1343</v>
      </c>
      <c r="F363" s="1" t="s">
        <v>1281</v>
      </c>
      <c r="G363" s="4">
        <v>46163</v>
      </c>
      <c r="H363" s="5">
        <v>0.88888888888888884</v>
      </c>
      <c r="I363" s="1" t="s">
        <v>1298</v>
      </c>
      <c r="J363" s="1" t="s">
        <v>1281</v>
      </c>
      <c r="K363" s="4">
        <v>46173</v>
      </c>
      <c r="L363" s="30">
        <v>0.21527777777777779</v>
      </c>
    </row>
    <row r="364" spans="1:12" x14ac:dyDescent="0.3">
      <c r="A364" s="25">
        <v>605172</v>
      </c>
      <c r="B364" s="1" t="s">
        <v>261</v>
      </c>
      <c r="C364" s="1" t="s">
        <v>1327</v>
      </c>
      <c r="D364" s="1" t="s">
        <v>625</v>
      </c>
      <c r="E364" s="1" t="s">
        <v>1328</v>
      </c>
      <c r="F364" s="1" t="s">
        <v>1281</v>
      </c>
      <c r="G364" s="4">
        <v>46163</v>
      </c>
      <c r="H364" s="5">
        <v>1.7361111111111112E-2</v>
      </c>
      <c r="I364" s="1" t="s">
        <v>1329</v>
      </c>
      <c r="J364" s="1" t="s">
        <v>1280</v>
      </c>
      <c r="K364" s="4">
        <v>46179</v>
      </c>
      <c r="L364" s="30">
        <v>0.54166666666666663</v>
      </c>
    </row>
    <row r="365" spans="1:12" x14ac:dyDescent="0.3">
      <c r="A365" s="25">
        <v>606294</v>
      </c>
      <c r="B365" s="1" t="s">
        <v>261</v>
      </c>
      <c r="C365" s="1" t="s">
        <v>1327</v>
      </c>
      <c r="D365" s="1" t="s">
        <v>625</v>
      </c>
      <c r="E365" s="1" t="s">
        <v>1328</v>
      </c>
      <c r="F365" s="1" t="s">
        <v>1281</v>
      </c>
      <c r="G365" s="4">
        <v>46163</v>
      </c>
      <c r="H365" s="5">
        <v>1.7361111111111112E-2</v>
      </c>
      <c r="I365" s="1" t="s">
        <v>1329</v>
      </c>
      <c r="J365" s="1" t="s">
        <v>1280</v>
      </c>
      <c r="K365" s="4">
        <v>46179</v>
      </c>
      <c r="L365" s="30">
        <v>0.54166666666666663</v>
      </c>
    </row>
    <row r="366" spans="1:12" x14ac:dyDescent="0.3">
      <c r="A366" s="25">
        <v>792890</v>
      </c>
      <c r="B366" s="1" t="s">
        <v>261</v>
      </c>
      <c r="C366" s="1" t="s">
        <v>1344</v>
      </c>
      <c r="D366" s="1" t="s">
        <v>637</v>
      </c>
      <c r="E366" s="1" t="s">
        <v>1345</v>
      </c>
      <c r="F366" s="1" t="s">
        <v>1281</v>
      </c>
      <c r="G366" s="4">
        <v>46163</v>
      </c>
      <c r="H366" s="5">
        <v>0.99652777777777779</v>
      </c>
      <c r="I366" s="1" t="s">
        <v>1346</v>
      </c>
      <c r="J366" s="1" t="s">
        <v>1280</v>
      </c>
      <c r="K366" s="4">
        <v>46173</v>
      </c>
      <c r="L366" s="30">
        <v>0.20833333333333334</v>
      </c>
    </row>
    <row r="367" spans="1:12" x14ac:dyDescent="0.3">
      <c r="A367" s="25">
        <v>792950</v>
      </c>
      <c r="B367" s="1" t="s">
        <v>261</v>
      </c>
      <c r="C367" s="1" t="s">
        <v>1344</v>
      </c>
      <c r="D367" s="1" t="s">
        <v>637</v>
      </c>
      <c r="E367" s="1" t="s">
        <v>1345</v>
      </c>
      <c r="F367" s="1" t="s">
        <v>1281</v>
      </c>
      <c r="G367" s="4">
        <v>46163</v>
      </c>
      <c r="H367" s="5">
        <v>0.99652777777777779</v>
      </c>
      <c r="I367" s="1" t="s">
        <v>1346</v>
      </c>
      <c r="J367" s="1" t="s">
        <v>1280</v>
      </c>
      <c r="K367" s="4">
        <v>46173</v>
      </c>
      <c r="L367" s="30">
        <v>0.20833333333333334</v>
      </c>
    </row>
    <row r="368" spans="1:12" x14ac:dyDescent="0.3">
      <c r="A368" s="25">
        <v>792989</v>
      </c>
      <c r="B368" s="1" t="s">
        <v>261</v>
      </c>
      <c r="C368" s="1" t="s">
        <v>1344</v>
      </c>
      <c r="D368" s="1" t="s">
        <v>637</v>
      </c>
      <c r="E368" s="1" t="s">
        <v>1345</v>
      </c>
      <c r="F368" s="1" t="s">
        <v>1281</v>
      </c>
      <c r="G368" s="4">
        <v>46163</v>
      </c>
      <c r="H368" s="5">
        <v>0.99652777777777779</v>
      </c>
      <c r="I368" s="1" t="s">
        <v>1346</v>
      </c>
      <c r="J368" s="1" t="s">
        <v>1280</v>
      </c>
      <c r="K368" s="4">
        <v>46173</v>
      </c>
      <c r="L368" s="30">
        <v>0.20833333333333334</v>
      </c>
    </row>
    <row r="369" spans="1:12" x14ac:dyDescent="0.3">
      <c r="A369" s="25">
        <v>425825</v>
      </c>
      <c r="B369" s="1" t="s">
        <v>261</v>
      </c>
      <c r="C369" s="1" t="s">
        <v>1336</v>
      </c>
      <c r="D369" s="1" t="s">
        <v>646</v>
      </c>
      <c r="E369" s="1" t="s">
        <v>1308</v>
      </c>
      <c r="F369" s="1" t="s">
        <v>1281</v>
      </c>
      <c r="G369" s="4">
        <v>46160</v>
      </c>
      <c r="H369" s="5">
        <v>0.78472222222222221</v>
      </c>
      <c r="I369" s="1" t="s">
        <v>1309</v>
      </c>
      <c r="J369" s="1" t="s">
        <v>1280</v>
      </c>
      <c r="K369" s="4">
        <v>46173</v>
      </c>
      <c r="L369" s="30">
        <v>0.3125</v>
      </c>
    </row>
    <row r="370" spans="1:12" x14ac:dyDescent="0.3">
      <c r="A370" s="25">
        <v>425860</v>
      </c>
      <c r="B370" s="1" t="s">
        <v>261</v>
      </c>
      <c r="C370" s="1" t="s">
        <v>1336</v>
      </c>
      <c r="D370" s="1" t="s">
        <v>646</v>
      </c>
      <c r="E370" s="1" t="s">
        <v>1308</v>
      </c>
      <c r="F370" s="1" t="s">
        <v>1281</v>
      </c>
      <c r="G370" s="4">
        <v>46160</v>
      </c>
      <c r="H370" s="5">
        <v>0.78472222222222221</v>
      </c>
      <c r="I370" s="1" t="s">
        <v>1309</v>
      </c>
      <c r="J370" s="1" t="s">
        <v>1280</v>
      </c>
      <c r="K370" s="4">
        <v>46173</v>
      </c>
      <c r="L370" s="30">
        <v>0.3125</v>
      </c>
    </row>
    <row r="371" spans="1:12" x14ac:dyDescent="0.3">
      <c r="A371" s="25">
        <v>694359</v>
      </c>
      <c r="B371" s="1" t="s">
        <v>261</v>
      </c>
      <c r="C371" s="1" t="s">
        <v>1347</v>
      </c>
      <c r="D371" s="1" t="s">
        <v>652</v>
      </c>
      <c r="E371" s="1" t="s">
        <v>1348</v>
      </c>
      <c r="F371" s="1" t="s">
        <v>1281</v>
      </c>
      <c r="G371" s="4">
        <v>46163</v>
      </c>
      <c r="H371" s="5">
        <v>0.71180555555555558</v>
      </c>
      <c r="I371" s="1" t="s">
        <v>1349</v>
      </c>
      <c r="J371" s="1" t="s">
        <v>1280</v>
      </c>
      <c r="K371" s="4">
        <v>46173</v>
      </c>
      <c r="L371" s="30">
        <v>0.5</v>
      </c>
    </row>
    <row r="372" spans="1:12" x14ac:dyDescent="0.3">
      <c r="A372" s="25">
        <v>702637</v>
      </c>
      <c r="B372" s="1" t="s">
        <v>261</v>
      </c>
      <c r="C372" s="1" t="s">
        <v>1347</v>
      </c>
      <c r="D372" s="1" t="s">
        <v>652</v>
      </c>
      <c r="E372" s="1" t="s">
        <v>1348</v>
      </c>
      <c r="F372" s="1" t="s">
        <v>1281</v>
      </c>
      <c r="G372" s="4">
        <v>46163</v>
      </c>
      <c r="H372" s="5">
        <v>0.71180555555555558</v>
      </c>
      <c r="I372" s="1" t="s">
        <v>1349</v>
      </c>
      <c r="J372" s="1" t="s">
        <v>1280</v>
      </c>
      <c r="K372" s="4">
        <v>46173</v>
      </c>
      <c r="L372" s="30">
        <v>0.5</v>
      </c>
    </row>
    <row r="373" spans="1:12" x14ac:dyDescent="0.3">
      <c r="A373" s="25">
        <v>548574</v>
      </c>
      <c r="B373" s="1" t="s">
        <v>261</v>
      </c>
      <c r="C373" s="1" t="s">
        <v>1375</v>
      </c>
      <c r="D373" s="1" t="s">
        <v>664</v>
      </c>
      <c r="E373" s="1" t="s">
        <v>1376</v>
      </c>
      <c r="F373" s="1" t="s">
        <v>1281</v>
      </c>
      <c r="G373" s="4">
        <v>46161</v>
      </c>
      <c r="H373" s="5">
        <v>0.43055555555555558</v>
      </c>
      <c r="I373" s="1" t="s">
        <v>1377</v>
      </c>
      <c r="J373" s="1" t="s">
        <v>1280</v>
      </c>
      <c r="K373" s="4">
        <v>46173</v>
      </c>
      <c r="L373" s="30">
        <v>0.2361111111111111</v>
      </c>
    </row>
    <row r="374" spans="1:12" x14ac:dyDescent="0.3">
      <c r="A374" s="25">
        <v>850055</v>
      </c>
      <c r="B374" s="1" t="s">
        <v>261</v>
      </c>
      <c r="C374" s="1" t="s">
        <v>1364</v>
      </c>
      <c r="D374" s="1" t="s">
        <v>685</v>
      </c>
      <c r="E374" s="1" t="s">
        <v>1365</v>
      </c>
      <c r="F374" s="1" t="s">
        <v>1280</v>
      </c>
      <c r="G374" s="4">
        <v>46163</v>
      </c>
      <c r="H374" s="5">
        <v>0.91319444444444442</v>
      </c>
      <c r="I374" s="1" t="s">
        <v>1366</v>
      </c>
      <c r="J374" s="1" t="s">
        <v>1281</v>
      </c>
      <c r="K374" s="4">
        <v>46175</v>
      </c>
      <c r="L374" s="30">
        <v>0.71875</v>
      </c>
    </row>
    <row r="375" spans="1:12" x14ac:dyDescent="0.3">
      <c r="A375" s="25">
        <v>850078</v>
      </c>
      <c r="B375" s="1" t="s">
        <v>261</v>
      </c>
      <c r="C375" s="1" t="s">
        <v>1364</v>
      </c>
      <c r="D375" s="1" t="s">
        <v>685</v>
      </c>
      <c r="E375" s="1" t="s">
        <v>1365</v>
      </c>
      <c r="F375" s="1" t="s">
        <v>1280</v>
      </c>
      <c r="G375" s="4">
        <v>46163</v>
      </c>
      <c r="H375" s="5">
        <v>0.91319444444444442</v>
      </c>
      <c r="I375" s="1" t="s">
        <v>1366</v>
      </c>
      <c r="J375" s="1" t="s">
        <v>1281</v>
      </c>
      <c r="K375" s="4">
        <v>46175</v>
      </c>
      <c r="L375" s="30">
        <v>0.71875</v>
      </c>
    </row>
    <row r="376" spans="1:12" x14ac:dyDescent="0.3">
      <c r="A376" s="25">
        <v>478601</v>
      </c>
      <c r="B376" s="1" t="s">
        <v>261</v>
      </c>
      <c r="C376" s="1" t="s">
        <v>1367</v>
      </c>
      <c r="D376" s="1" t="s">
        <v>690</v>
      </c>
      <c r="E376" s="1" t="s">
        <v>1368</v>
      </c>
      <c r="F376" s="1" t="s">
        <v>1280</v>
      </c>
      <c r="G376" s="4">
        <v>46160</v>
      </c>
      <c r="H376" s="5">
        <v>0.63888888888888884</v>
      </c>
      <c r="I376" s="1" t="s">
        <v>1369</v>
      </c>
      <c r="J376" s="1" t="s">
        <v>1280</v>
      </c>
      <c r="K376" s="4">
        <v>46173</v>
      </c>
      <c r="L376" s="30">
        <v>0.25</v>
      </c>
    </row>
    <row r="377" spans="1:12" x14ac:dyDescent="0.3">
      <c r="A377" s="25">
        <v>125991</v>
      </c>
      <c r="B377" s="1" t="s">
        <v>261</v>
      </c>
      <c r="C377" s="1" t="s">
        <v>1408</v>
      </c>
      <c r="D377" s="1" t="s">
        <v>700</v>
      </c>
      <c r="E377" s="1" t="s">
        <v>1400</v>
      </c>
      <c r="F377" s="1" t="s">
        <v>1280</v>
      </c>
      <c r="G377" s="4">
        <v>46163</v>
      </c>
      <c r="H377" s="5">
        <v>0.95486111111111116</v>
      </c>
      <c r="I377" s="1" t="s">
        <v>1359</v>
      </c>
      <c r="J377" s="1" t="s">
        <v>1280</v>
      </c>
      <c r="K377" s="4">
        <v>46175</v>
      </c>
      <c r="L377" s="30">
        <v>0.41666666666666669</v>
      </c>
    </row>
    <row r="378" spans="1:12" x14ac:dyDescent="0.3">
      <c r="A378" s="25">
        <v>707618</v>
      </c>
      <c r="B378" s="1" t="s">
        <v>261</v>
      </c>
      <c r="C378" s="1" t="s">
        <v>1391</v>
      </c>
      <c r="D378" s="1" t="s">
        <v>708</v>
      </c>
      <c r="E378" s="1" t="s">
        <v>1392</v>
      </c>
      <c r="F378" s="1" t="s">
        <v>1280</v>
      </c>
      <c r="G378" s="4">
        <v>46165</v>
      </c>
      <c r="H378" s="5">
        <v>3.8194444444444448E-2</v>
      </c>
      <c r="I378" s="1" t="s">
        <v>1292</v>
      </c>
      <c r="J378" s="1" t="s">
        <v>1280</v>
      </c>
      <c r="K378" s="4">
        <v>46173</v>
      </c>
      <c r="L378" s="30">
        <v>2.7777777777777776E-2</v>
      </c>
    </row>
    <row r="379" spans="1:12" x14ac:dyDescent="0.3">
      <c r="A379" s="25">
        <v>707681</v>
      </c>
      <c r="B379" s="1" t="s">
        <v>261</v>
      </c>
      <c r="C379" s="1" t="s">
        <v>1391</v>
      </c>
      <c r="D379" s="1" t="s">
        <v>708</v>
      </c>
      <c r="E379" s="1" t="s">
        <v>1392</v>
      </c>
      <c r="F379" s="1" t="s">
        <v>1280</v>
      </c>
      <c r="G379" s="4">
        <v>46165</v>
      </c>
      <c r="H379" s="5">
        <v>3.8194444444444448E-2</v>
      </c>
      <c r="I379" s="1" t="s">
        <v>1292</v>
      </c>
      <c r="J379" s="1" t="s">
        <v>1280</v>
      </c>
      <c r="K379" s="4">
        <v>46173</v>
      </c>
      <c r="L379" s="30">
        <v>2.7777777777777776E-2</v>
      </c>
    </row>
    <row r="380" spans="1:12" x14ac:dyDescent="0.3">
      <c r="A380" s="25">
        <v>708367</v>
      </c>
      <c r="B380" s="1" t="s">
        <v>261</v>
      </c>
      <c r="C380" s="1" t="s">
        <v>1391</v>
      </c>
      <c r="D380" s="1" t="s">
        <v>708</v>
      </c>
      <c r="E380" s="1" t="s">
        <v>1392</v>
      </c>
      <c r="F380" s="1" t="s">
        <v>1280</v>
      </c>
      <c r="G380" s="4">
        <v>46165</v>
      </c>
      <c r="H380" s="5">
        <v>3.8194444444444448E-2</v>
      </c>
      <c r="I380" s="1" t="s">
        <v>1292</v>
      </c>
      <c r="J380" s="1" t="s">
        <v>1280</v>
      </c>
      <c r="K380" s="4">
        <v>46173</v>
      </c>
      <c r="L380" s="30">
        <v>2.7777777777777776E-2</v>
      </c>
    </row>
    <row r="381" spans="1:12" x14ac:dyDescent="0.3">
      <c r="A381" s="25">
        <v>714052</v>
      </c>
      <c r="B381" s="1" t="s">
        <v>261</v>
      </c>
      <c r="C381" s="1" t="s">
        <v>1391</v>
      </c>
      <c r="D381" s="1" t="s">
        <v>708</v>
      </c>
      <c r="E381" s="1" t="s">
        <v>1392</v>
      </c>
      <c r="F381" s="1" t="s">
        <v>1280</v>
      </c>
      <c r="G381" s="4">
        <v>46165</v>
      </c>
      <c r="H381" s="5">
        <v>3.8194444444444448E-2</v>
      </c>
      <c r="I381" s="1" t="s">
        <v>1292</v>
      </c>
      <c r="J381" s="1" t="s">
        <v>1280</v>
      </c>
      <c r="K381" s="4">
        <v>46173</v>
      </c>
      <c r="L381" s="30">
        <v>2.7777777777777776E-2</v>
      </c>
    </row>
    <row r="382" spans="1:12" x14ac:dyDescent="0.3">
      <c r="A382" s="25">
        <v>714083</v>
      </c>
      <c r="B382" s="1" t="s">
        <v>261</v>
      </c>
      <c r="C382" s="1" t="s">
        <v>1391</v>
      </c>
      <c r="D382" s="1" t="s">
        <v>708</v>
      </c>
      <c r="E382" s="1" t="s">
        <v>1392</v>
      </c>
      <c r="F382" s="1" t="s">
        <v>1280</v>
      </c>
      <c r="G382" s="4">
        <v>46165</v>
      </c>
      <c r="H382" s="5">
        <v>3.8194444444444448E-2</v>
      </c>
      <c r="I382" s="1" t="s">
        <v>1292</v>
      </c>
      <c r="J382" s="1" t="s">
        <v>1280</v>
      </c>
      <c r="K382" s="4">
        <v>46173</v>
      </c>
      <c r="L382" s="30">
        <v>2.7777777777777776E-2</v>
      </c>
    </row>
    <row r="383" spans="1:12" x14ac:dyDescent="0.3">
      <c r="A383" s="25">
        <v>714668</v>
      </c>
      <c r="B383" s="1" t="s">
        <v>261</v>
      </c>
      <c r="C383" s="1" t="s">
        <v>1391</v>
      </c>
      <c r="D383" s="1" t="s">
        <v>708</v>
      </c>
      <c r="E383" s="1" t="s">
        <v>1392</v>
      </c>
      <c r="F383" s="1" t="s">
        <v>1280</v>
      </c>
      <c r="G383" s="4">
        <v>46165</v>
      </c>
      <c r="H383" s="5">
        <v>3.8194444444444448E-2</v>
      </c>
      <c r="I383" s="1" t="s">
        <v>1292</v>
      </c>
      <c r="J383" s="1" t="s">
        <v>1280</v>
      </c>
      <c r="K383" s="4">
        <v>46173</v>
      </c>
      <c r="L383" s="30">
        <v>2.7777777777777776E-2</v>
      </c>
    </row>
    <row r="384" spans="1:12" x14ac:dyDescent="0.3">
      <c r="A384" s="25">
        <v>544594</v>
      </c>
      <c r="B384" s="1" t="s">
        <v>261</v>
      </c>
      <c r="C384" s="1" t="s">
        <v>1378</v>
      </c>
      <c r="D384" s="1" t="s">
        <v>723</v>
      </c>
      <c r="E384" s="1" t="s">
        <v>1379</v>
      </c>
      <c r="F384" s="1" t="s">
        <v>1280</v>
      </c>
      <c r="G384" s="4">
        <v>46160</v>
      </c>
      <c r="H384" s="5">
        <v>0.79166666666666663</v>
      </c>
      <c r="I384" s="1" t="s">
        <v>1380</v>
      </c>
      <c r="J384" s="1" t="s">
        <v>1280</v>
      </c>
      <c r="K384" s="4">
        <v>46173</v>
      </c>
      <c r="L384" s="30">
        <v>7.9861111111111105E-2</v>
      </c>
    </row>
    <row r="385" spans="1:12" x14ac:dyDescent="0.3">
      <c r="A385" s="25">
        <v>544832</v>
      </c>
      <c r="B385" s="1" t="s">
        <v>261</v>
      </c>
      <c r="C385" s="1" t="s">
        <v>1378</v>
      </c>
      <c r="D385" s="1" t="s">
        <v>723</v>
      </c>
      <c r="E385" s="1" t="s">
        <v>1379</v>
      </c>
      <c r="F385" s="1" t="s">
        <v>1280</v>
      </c>
      <c r="G385" s="4">
        <v>46160</v>
      </c>
      <c r="H385" s="5">
        <v>0.79166666666666663</v>
      </c>
      <c r="I385" s="1" t="s">
        <v>1380</v>
      </c>
      <c r="J385" s="1" t="s">
        <v>1280</v>
      </c>
      <c r="K385" s="4">
        <v>46173</v>
      </c>
      <c r="L385" s="30">
        <v>7.9861111111111105E-2</v>
      </c>
    </row>
    <row r="386" spans="1:12" x14ac:dyDescent="0.3">
      <c r="A386" s="25">
        <v>549239</v>
      </c>
      <c r="B386" s="1" t="s">
        <v>261</v>
      </c>
      <c r="C386" s="1" t="s">
        <v>1404</v>
      </c>
      <c r="D386" s="1" t="s">
        <v>728</v>
      </c>
      <c r="E386" s="1" t="s">
        <v>1340</v>
      </c>
      <c r="F386" s="1" t="s">
        <v>1281</v>
      </c>
      <c r="G386" s="4">
        <v>46163</v>
      </c>
      <c r="H386" s="5">
        <v>0.13541666666666666</v>
      </c>
      <c r="I386" s="1" t="s">
        <v>1341</v>
      </c>
      <c r="J386" s="1" t="s">
        <v>1280</v>
      </c>
      <c r="K386" s="4">
        <v>46179</v>
      </c>
      <c r="L386" s="30">
        <v>0.2013888888888889</v>
      </c>
    </row>
    <row r="387" spans="1:12" x14ac:dyDescent="0.3">
      <c r="A387" s="25">
        <v>120872</v>
      </c>
      <c r="B387" s="1" t="s">
        <v>261</v>
      </c>
      <c r="C387" s="1" t="s">
        <v>1409</v>
      </c>
      <c r="D387" s="1" t="s">
        <v>740</v>
      </c>
      <c r="E387" s="1" t="s">
        <v>1400</v>
      </c>
      <c r="F387" s="1" t="s">
        <v>1280</v>
      </c>
      <c r="G387" s="4">
        <v>46163</v>
      </c>
      <c r="H387" s="5">
        <v>0.95486111111111116</v>
      </c>
      <c r="I387" s="1" t="s">
        <v>1359</v>
      </c>
      <c r="J387" s="1" t="s">
        <v>1280</v>
      </c>
      <c r="K387" s="4">
        <v>46175</v>
      </c>
      <c r="L387" s="30">
        <v>0.41666666666666669</v>
      </c>
    </row>
    <row r="388" spans="1:12" x14ac:dyDescent="0.3">
      <c r="A388" s="25">
        <v>717283</v>
      </c>
      <c r="B388" s="1" t="s">
        <v>261</v>
      </c>
      <c r="C388" s="1" t="s">
        <v>1407</v>
      </c>
      <c r="D388" s="1" t="s">
        <v>763</v>
      </c>
      <c r="E388" s="1" t="s">
        <v>1400</v>
      </c>
      <c r="F388" s="1" t="s">
        <v>1280</v>
      </c>
      <c r="G388" s="4">
        <v>46163</v>
      </c>
      <c r="H388" s="5">
        <v>0.95486111111111116</v>
      </c>
      <c r="I388" s="1" t="s">
        <v>1359</v>
      </c>
      <c r="J388" s="1" t="s">
        <v>1280</v>
      </c>
      <c r="K388" s="4">
        <v>46175</v>
      </c>
      <c r="L388" s="30">
        <v>0.41666666666666669</v>
      </c>
    </row>
    <row r="389" spans="1:12" x14ac:dyDescent="0.3">
      <c r="A389" s="25">
        <v>718689</v>
      </c>
      <c r="B389" s="1" t="s">
        <v>261</v>
      </c>
      <c r="C389" s="1" t="s">
        <v>1407</v>
      </c>
      <c r="D389" s="1" t="s">
        <v>763</v>
      </c>
      <c r="E389" s="1" t="s">
        <v>1400</v>
      </c>
      <c r="F389" s="1" t="s">
        <v>1280</v>
      </c>
      <c r="G389" s="4">
        <v>46163</v>
      </c>
      <c r="H389" s="5">
        <v>0.95486111111111116</v>
      </c>
      <c r="I389" s="1" t="s">
        <v>1359</v>
      </c>
      <c r="J389" s="1" t="s">
        <v>1280</v>
      </c>
      <c r="K389" s="4">
        <v>46175</v>
      </c>
      <c r="L389" s="30">
        <v>0.41666666666666669</v>
      </c>
    </row>
    <row r="390" spans="1:12" x14ac:dyDescent="0.3">
      <c r="A390" s="25">
        <v>796717</v>
      </c>
      <c r="B390" s="1" t="s">
        <v>261</v>
      </c>
      <c r="C390" s="1" t="s">
        <v>1381</v>
      </c>
      <c r="D390" s="1" t="s">
        <v>776</v>
      </c>
      <c r="E390" s="1" t="s">
        <v>1348</v>
      </c>
      <c r="F390" s="1" t="s">
        <v>1281</v>
      </c>
      <c r="G390" s="4">
        <v>46163</v>
      </c>
      <c r="H390" s="5">
        <v>0.71180555555555558</v>
      </c>
      <c r="I390" s="1" t="s">
        <v>1382</v>
      </c>
      <c r="J390" s="1" t="s">
        <v>1280</v>
      </c>
      <c r="K390" s="4">
        <v>46179</v>
      </c>
      <c r="L390" s="30">
        <v>0.64930555555555558</v>
      </c>
    </row>
    <row r="391" spans="1:12" x14ac:dyDescent="0.3">
      <c r="A391" s="25">
        <v>855672</v>
      </c>
      <c r="B391" s="1" t="s">
        <v>261</v>
      </c>
      <c r="C391" s="1" t="s">
        <v>1381</v>
      </c>
      <c r="D391" s="1" t="s">
        <v>776</v>
      </c>
      <c r="E391" s="1" t="s">
        <v>1348</v>
      </c>
      <c r="F391" s="1" t="s">
        <v>1281</v>
      </c>
      <c r="G391" s="4">
        <v>46163</v>
      </c>
      <c r="H391" s="5">
        <v>0.71180555555555558</v>
      </c>
      <c r="I391" s="1" t="s">
        <v>1382</v>
      </c>
      <c r="J391" s="1" t="s">
        <v>1280</v>
      </c>
      <c r="K391" s="4">
        <v>46179</v>
      </c>
      <c r="L391" s="30">
        <v>0.64930555555555558</v>
      </c>
    </row>
    <row r="392" spans="1:12" x14ac:dyDescent="0.3">
      <c r="A392" s="25">
        <v>619402</v>
      </c>
      <c r="B392" s="1" t="s">
        <v>261</v>
      </c>
      <c r="C392" s="1" t="s">
        <v>1383</v>
      </c>
      <c r="D392" s="1" t="s">
        <v>782</v>
      </c>
      <c r="E392" s="1" t="s">
        <v>1317</v>
      </c>
      <c r="F392" s="1" t="s">
        <v>1281</v>
      </c>
      <c r="G392" s="4">
        <v>46160</v>
      </c>
      <c r="H392" s="5">
        <v>0.67361111111111116</v>
      </c>
      <c r="I392" s="1" t="s">
        <v>1292</v>
      </c>
      <c r="J392" s="1" t="s">
        <v>1280</v>
      </c>
      <c r="K392" s="4">
        <v>46173</v>
      </c>
      <c r="L392" s="30">
        <v>2.7777777777777776E-2</v>
      </c>
    </row>
    <row r="393" spans="1:12" x14ac:dyDescent="0.3">
      <c r="A393" s="25">
        <v>660769</v>
      </c>
      <c r="B393" s="1" t="s">
        <v>261</v>
      </c>
      <c r="C393" s="1" t="s">
        <v>1384</v>
      </c>
      <c r="D393" s="1" t="s">
        <v>797</v>
      </c>
      <c r="E393" s="1" t="s">
        <v>1297</v>
      </c>
      <c r="F393" s="1" t="s">
        <v>1280</v>
      </c>
      <c r="G393" s="4">
        <v>46165</v>
      </c>
      <c r="H393" s="5">
        <v>0.54513888888888884</v>
      </c>
      <c r="I393" s="1" t="s">
        <v>1298</v>
      </c>
      <c r="J393" s="1" t="s">
        <v>1281</v>
      </c>
      <c r="K393" s="4">
        <v>46175</v>
      </c>
      <c r="L393" s="30">
        <v>0.21527777777777779</v>
      </c>
    </row>
    <row r="394" spans="1:12" x14ac:dyDescent="0.3">
      <c r="A394" s="25">
        <v>825912</v>
      </c>
      <c r="B394" s="1" t="s">
        <v>261</v>
      </c>
      <c r="C394" s="1" t="s">
        <v>1384</v>
      </c>
      <c r="D394" s="1" t="s">
        <v>797</v>
      </c>
      <c r="E394" s="1" t="s">
        <v>1297</v>
      </c>
      <c r="F394" s="1" t="s">
        <v>1280</v>
      </c>
      <c r="G394" s="4">
        <v>46165</v>
      </c>
      <c r="H394" s="5">
        <v>0.54513888888888884</v>
      </c>
      <c r="I394" s="1" t="s">
        <v>1298</v>
      </c>
      <c r="J394" s="1" t="s">
        <v>1281</v>
      </c>
      <c r="K394" s="4">
        <v>46175</v>
      </c>
      <c r="L394" s="30">
        <v>0.21527777777777779</v>
      </c>
    </row>
    <row r="395" spans="1:12" x14ac:dyDescent="0.3">
      <c r="A395" s="25">
        <v>791920</v>
      </c>
      <c r="B395" s="1" t="s">
        <v>261</v>
      </c>
      <c r="C395" s="1" t="s">
        <v>1373</v>
      </c>
      <c r="D395" s="1" t="s">
        <v>806</v>
      </c>
      <c r="E395" s="1" t="s">
        <v>1314</v>
      </c>
      <c r="F395" s="1" t="s">
        <v>1280</v>
      </c>
      <c r="G395" s="4">
        <v>46163</v>
      </c>
      <c r="H395" s="5">
        <v>0.16319444444444445</v>
      </c>
      <c r="I395" s="1" t="s">
        <v>1374</v>
      </c>
      <c r="J395" s="1" t="s">
        <v>1281</v>
      </c>
      <c r="K395" s="4">
        <v>46175</v>
      </c>
      <c r="L395" s="30">
        <v>0.64236111111111116</v>
      </c>
    </row>
    <row r="396" spans="1:12" x14ac:dyDescent="0.3">
      <c r="A396" s="25">
        <v>792005</v>
      </c>
      <c r="B396" s="1" t="s">
        <v>261</v>
      </c>
      <c r="C396" s="1" t="s">
        <v>1373</v>
      </c>
      <c r="D396" s="1" t="s">
        <v>806</v>
      </c>
      <c r="E396" s="1" t="s">
        <v>1314</v>
      </c>
      <c r="F396" s="1" t="s">
        <v>1280</v>
      </c>
      <c r="G396" s="4">
        <v>46163</v>
      </c>
      <c r="H396" s="5">
        <v>0.16319444444444445</v>
      </c>
      <c r="I396" s="1" t="s">
        <v>1374</v>
      </c>
      <c r="J396" s="1" t="s">
        <v>1281</v>
      </c>
      <c r="K396" s="4">
        <v>46175</v>
      </c>
      <c r="L396" s="30">
        <v>0.64236111111111116</v>
      </c>
    </row>
    <row r="397" spans="1:12" x14ac:dyDescent="0.3">
      <c r="A397" s="25">
        <v>525420</v>
      </c>
      <c r="B397" s="1" t="s">
        <v>261</v>
      </c>
      <c r="C397" s="1" t="s">
        <v>1385</v>
      </c>
      <c r="D397" s="1" t="s">
        <v>813</v>
      </c>
      <c r="E397" s="1" t="s">
        <v>1351</v>
      </c>
      <c r="F397" s="1" t="s">
        <v>1280</v>
      </c>
      <c r="G397" s="4">
        <v>46163</v>
      </c>
      <c r="H397" s="5">
        <v>0.28125</v>
      </c>
      <c r="I397" s="1" t="s">
        <v>1386</v>
      </c>
      <c r="J397" s="1" t="s">
        <v>1280</v>
      </c>
      <c r="K397" s="4">
        <v>46179</v>
      </c>
      <c r="L397" s="30">
        <v>0.34027777777777779</v>
      </c>
    </row>
    <row r="398" spans="1:12" x14ac:dyDescent="0.3">
      <c r="A398" s="25">
        <v>599188</v>
      </c>
      <c r="B398" s="1" t="s">
        <v>261</v>
      </c>
      <c r="C398" s="1" t="s">
        <v>1385</v>
      </c>
      <c r="D398" s="1" t="s">
        <v>813</v>
      </c>
      <c r="E398" s="1" t="s">
        <v>1351</v>
      </c>
      <c r="F398" s="1" t="s">
        <v>1280</v>
      </c>
      <c r="G398" s="4">
        <v>46163</v>
      </c>
      <c r="H398" s="5">
        <v>0.28125</v>
      </c>
      <c r="I398" s="1" t="s">
        <v>1386</v>
      </c>
      <c r="J398" s="1" t="s">
        <v>1280</v>
      </c>
      <c r="K398" s="4">
        <v>46179</v>
      </c>
      <c r="L398" s="30">
        <v>0.34027777777777779</v>
      </c>
    </row>
    <row r="399" spans="1:12" x14ac:dyDescent="0.3">
      <c r="A399" s="25">
        <v>364568</v>
      </c>
      <c r="B399" s="1" t="s">
        <v>261</v>
      </c>
      <c r="C399" s="1" t="s">
        <v>1387</v>
      </c>
      <c r="D399" s="1" t="s">
        <v>819</v>
      </c>
      <c r="E399" s="1" t="s">
        <v>1388</v>
      </c>
      <c r="F399" s="1" t="s">
        <v>1280</v>
      </c>
      <c r="G399" s="4">
        <v>46163</v>
      </c>
      <c r="H399" s="5">
        <v>0.41666666666666669</v>
      </c>
      <c r="I399" s="1" t="s">
        <v>1341</v>
      </c>
      <c r="J399" s="1" t="s">
        <v>1280</v>
      </c>
      <c r="K399" s="4">
        <v>46173</v>
      </c>
      <c r="L399" s="30">
        <v>0.2013888888888889</v>
      </c>
    </row>
    <row r="400" spans="1:12" x14ac:dyDescent="0.3">
      <c r="A400" s="25">
        <v>267907</v>
      </c>
      <c r="B400" s="1" t="s">
        <v>261</v>
      </c>
      <c r="C400" s="1" t="s">
        <v>1389</v>
      </c>
      <c r="D400" s="1" t="s">
        <v>828</v>
      </c>
      <c r="E400" s="1" t="s">
        <v>1328</v>
      </c>
      <c r="F400" s="1" t="s">
        <v>1281</v>
      </c>
      <c r="G400" s="4">
        <v>46162</v>
      </c>
      <c r="H400" s="5">
        <v>1.7361111111111112E-2</v>
      </c>
      <c r="I400" s="1" t="s">
        <v>1390</v>
      </c>
      <c r="J400" s="1" t="s">
        <v>1281</v>
      </c>
      <c r="K400" s="4">
        <v>46173</v>
      </c>
      <c r="L400" s="30">
        <v>7.6388888888888895E-2</v>
      </c>
    </row>
    <row r="401" spans="1:12" x14ac:dyDescent="0.3">
      <c r="A401" s="25">
        <v>865211</v>
      </c>
      <c r="B401" s="1" t="s">
        <v>261</v>
      </c>
      <c r="C401" s="1" t="s">
        <v>1389</v>
      </c>
      <c r="D401" s="1" t="s">
        <v>828</v>
      </c>
      <c r="E401" s="1" t="s">
        <v>1328</v>
      </c>
      <c r="F401" s="1" t="s">
        <v>1281</v>
      </c>
      <c r="G401" s="4">
        <v>46162</v>
      </c>
      <c r="H401" s="5">
        <v>1.7361111111111112E-2</v>
      </c>
      <c r="I401" s="1" t="s">
        <v>1390</v>
      </c>
      <c r="J401" s="1" t="s">
        <v>1281</v>
      </c>
      <c r="K401" s="4">
        <v>46173</v>
      </c>
      <c r="L401" s="30">
        <v>7.6388888888888895E-2</v>
      </c>
    </row>
    <row r="402" spans="1:12" x14ac:dyDescent="0.3">
      <c r="A402" s="25">
        <v>611348</v>
      </c>
      <c r="B402" s="1" t="s">
        <v>261</v>
      </c>
      <c r="C402" s="1" t="s">
        <v>1405</v>
      </c>
      <c r="D402" s="1" t="s">
        <v>843</v>
      </c>
      <c r="E402" s="1" t="s">
        <v>1348</v>
      </c>
      <c r="F402" s="1" t="s">
        <v>1281</v>
      </c>
      <c r="G402" s="4">
        <v>46163</v>
      </c>
      <c r="H402" s="5">
        <v>0.71180555555555558</v>
      </c>
      <c r="I402" s="1" t="s">
        <v>1406</v>
      </c>
      <c r="J402" s="1" t="s">
        <v>1280</v>
      </c>
      <c r="K402" s="4">
        <v>46179</v>
      </c>
      <c r="L402" s="30">
        <v>0.3611111111111111</v>
      </c>
    </row>
    <row r="403" spans="1:12" x14ac:dyDescent="0.3">
      <c r="A403" s="25">
        <v>661319</v>
      </c>
      <c r="B403" s="1" t="s">
        <v>261</v>
      </c>
      <c r="C403" s="1" t="s">
        <v>1405</v>
      </c>
      <c r="D403" s="1" t="s">
        <v>843</v>
      </c>
      <c r="E403" s="1" t="s">
        <v>1348</v>
      </c>
      <c r="F403" s="1" t="s">
        <v>1281</v>
      </c>
      <c r="G403" s="4">
        <v>46163</v>
      </c>
      <c r="H403" s="5">
        <v>0.71180555555555558</v>
      </c>
      <c r="I403" s="1" t="s">
        <v>1406</v>
      </c>
      <c r="J403" s="1" t="s">
        <v>1280</v>
      </c>
      <c r="K403" s="4">
        <v>46179</v>
      </c>
      <c r="L403" s="30">
        <v>0.3611111111111111</v>
      </c>
    </row>
    <row r="404" spans="1:12" x14ac:dyDescent="0.3">
      <c r="A404" s="25">
        <v>662626</v>
      </c>
      <c r="B404" s="1" t="s">
        <v>261</v>
      </c>
      <c r="C404" s="1" t="s">
        <v>1405</v>
      </c>
      <c r="D404" s="1" t="s">
        <v>843</v>
      </c>
      <c r="E404" s="1" t="s">
        <v>1348</v>
      </c>
      <c r="F404" s="1" t="s">
        <v>1281</v>
      </c>
      <c r="G404" s="4">
        <v>46163</v>
      </c>
      <c r="H404" s="5">
        <v>0.71180555555555558</v>
      </c>
      <c r="I404" s="1" t="s">
        <v>1406</v>
      </c>
      <c r="J404" s="1" t="s">
        <v>1280</v>
      </c>
      <c r="K404" s="4">
        <v>46179</v>
      </c>
      <c r="L404" s="30">
        <v>0.3611111111111111</v>
      </c>
    </row>
    <row r="405" spans="1:12" x14ac:dyDescent="0.3">
      <c r="A405" s="25">
        <v>842249</v>
      </c>
      <c r="B405" s="1" t="s">
        <v>261</v>
      </c>
      <c r="C405" s="1" t="s">
        <v>1405</v>
      </c>
      <c r="D405" s="1" t="s">
        <v>843</v>
      </c>
      <c r="E405" s="1" t="s">
        <v>1348</v>
      </c>
      <c r="F405" s="1" t="s">
        <v>1281</v>
      </c>
      <c r="G405" s="4">
        <v>46163</v>
      </c>
      <c r="H405" s="5">
        <v>0.71180555555555558</v>
      </c>
      <c r="I405" s="1" t="s">
        <v>1406</v>
      </c>
      <c r="J405" s="1" t="s">
        <v>1280</v>
      </c>
      <c r="K405" s="4">
        <v>46179</v>
      </c>
      <c r="L405" s="30">
        <v>0.3611111111111111</v>
      </c>
    </row>
    <row r="406" spans="1:12" x14ac:dyDescent="0.3">
      <c r="A406" s="25">
        <v>478988</v>
      </c>
      <c r="B406" s="1" t="s">
        <v>261</v>
      </c>
      <c r="C406" s="1" t="s">
        <v>1410</v>
      </c>
      <c r="D406" s="1" t="s">
        <v>858</v>
      </c>
      <c r="E406" s="1" t="s">
        <v>1338</v>
      </c>
      <c r="F406" s="1" t="s">
        <v>1281</v>
      </c>
      <c r="G406" s="4">
        <v>46163</v>
      </c>
      <c r="H406" s="5">
        <v>0.15625</v>
      </c>
      <c r="I406" s="1" t="s">
        <v>1309</v>
      </c>
      <c r="J406" s="1" t="s">
        <v>1280</v>
      </c>
      <c r="K406" s="4">
        <v>46173</v>
      </c>
      <c r="L406" s="30">
        <v>0.3125</v>
      </c>
    </row>
    <row r="407" spans="1:12" x14ac:dyDescent="0.3">
      <c r="A407" s="25">
        <v>479006</v>
      </c>
      <c r="B407" s="1" t="s">
        <v>261</v>
      </c>
      <c r="C407" s="1" t="s">
        <v>1410</v>
      </c>
      <c r="D407" s="1" t="s">
        <v>858</v>
      </c>
      <c r="E407" s="1" t="s">
        <v>1338</v>
      </c>
      <c r="F407" s="1" t="s">
        <v>1281</v>
      </c>
      <c r="G407" s="4">
        <v>46163</v>
      </c>
      <c r="H407" s="5">
        <v>0.15625</v>
      </c>
      <c r="I407" s="1" t="s">
        <v>1309</v>
      </c>
      <c r="J407" s="1" t="s">
        <v>1280</v>
      </c>
      <c r="K407" s="4">
        <v>46173</v>
      </c>
      <c r="L407" s="30">
        <v>0.3125</v>
      </c>
    </row>
    <row r="408" spans="1:12" x14ac:dyDescent="0.3">
      <c r="A408" s="25">
        <v>484208</v>
      </c>
      <c r="B408" s="1" t="s">
        <v>261</v>
      </c>
      <c r="C408" s="1" t="s">
        <v>1410</v>
      </c>
      <c r="D408" s="1" t="s">
        <v>858</v>
      </c>
      <c r="E408" s="1" t="s">
        <v>1338</v>
      </c>
      <c r="F408" s="1" t="s">
        <v>1281</v>
      </c>
      <c r="G408" s="4">
        <v>46163</v>
      </c>
      <c r="H408" s="5">
        <v>0.15625</v>
      </c>
      <c r="I408" s="1" t="s">
        <v>1309</v>
      </c>
      <c r="J408" s="1" t="s">
        <v>1280</v>
      </c>
      <c r="K408" s="4">
        <v>46173</v>
      </c>
      <c r="L408" s="30">
        <v>0.3125</v>
      </c>
    </row>
    <row r="409" spans="1:12" x14ac:dyDescent="0.3">
      <c r="A409" s="25">
        <v>860568</v>
      </c>
      <c r="B409" s="1" t="s">
        <v>261</v>
      </c>
      <c r="C409" s="1" t="s">
        <v>1422</v>
      </c>
      <c r="D409" s="1" t="s">
        <v>879</v>
      </c>
      <c r="E409" s="1" t="s">
        <v>1421</v>
      </c>
      <c r="F409" s="1" t="s">
        <v>1281</v>
      </c>
      <c r="G409" s="4">
        <v>46160</v>
      </c>
      <c r="H409" s="5">
        <v>0.1701388888888889</v>
      </c>
      <c r="I409" s="1" t="s">
        <v>1320</v>
      </c>
      <c r="J409" s="1" t="s">
        <v>1280</v>
      </c>
      <c r="K409" s="4">
        <v>46173</v>
      </c>
      <c r="L409" s="30">
        <v>0.29166666666666669</v>
      </c>
    </row>
    <row r="410" spans="1:12" x14ac:dyDescent="0.3">
      <c r="A410" s="25">
        <v>860639</v>
      </c>
      <c r="B410" s="1" t="s">
        <v>261</v>
      </c>
      <c r="C410" s="1" t="s">
        <v>1422</v>
      </c>
      <c r="D410" s="1" t="s">
        <v>879</v>
      </c>
      <c r="E410" s="1" t="s">
        <v>1421</v>
      </c>
      <c r="F410" s="1" t="s">
        <v>1281</v>
      </c>
      <c r="G410" s="4">
        <v>46160</v>
      </c>
      <c r="H410" s="5">
        <v>0.1701388888888889</v>
      </c>
      <c r="I410" s="1" t="s">
        <v>1320</v>
      </c>
      <c r="J410" s="1" t="s">
        <v>1280</v>
      </c>
      <c r="K410" s="4">
        <v>46173</v>
      </c>
      <c r="L410" s="30">
        <v>0.29166666666666669</v>
      </c>
    </row>
    <row r="411" spans="1:12" x14ac:dyDescent="0.3">
      <c r="A411" s="25">
        <v>811309</v>
      </c>
      <c r="B411" s="1" t="s">
        <v>261</v>
      </c>
      <c r="C411" s="1" t="s">
        <v>1420</v>
      </c>
      <c r="D411" s="1" t="s">
        <v>883</v>
      </c>
      <c r="E411" s="1" t="s">
        <v>1421</v>
      </c>
      <c r="F411" s="1" t="s">
        <v>1281</v>
      </c>
      <c r="G411" s="4">
        <v>46160</v>
      </c>
      <c r="H411" s="5">
        <v>0.1701388888888889</v>
      </c>
      <c r="I411" s="1" t="s">
        <v>1320</v>
      </c>
      <c r="J411" s="1" t="s">
        <v>1280</v>
      </c>
      <c r="K411" s="4">
        <v>46173</v>
      </c>
      <c r="L411" s="30">
        <v>0.29166666666666669</v>
      </c>
    </row>
    <row r="412" spans="1:12" x14ac:dyDescent="0.3">
      <c r="A412" s="25">
        <v>830587</v>
      </c>
      <c r="B412" s="1" t="s">
        <v>261</v>
      </c>
      <c r="C412" s="1" t="s">
        <v>1420</v>
      </c>
      <c r="D412" s="1" t="s">
        <v>883</v>
      </c>
      <c r="E412" s="1" t="s">
        <v>1421</v>
      </c>
      <c r="F412" s="1" t="s">
        <v>1281</v>
      </c>
      <c r="G412" s="4">
        <v>46160</v>
      </c>
      <c r="H412" s="5">
        <v>0.1701388888888889</v>
      </c>
      <c r="I412" s="1" t="s">
        <v>1320</v>
      </c>
      <c r="J412" s="1" t="s">
        <v>1280</v>
      </c>
      <c r="K412" s="4">
        <v>46173</v>
      </c>
      <c r="L412" s="30">
        <v>0.29166666666666669</v>
      </c>
    </row>
    <row r="413" spans="1:12" x14ac:dyDescent="0.3">
      <c r="A413" s="25">
        <v>548148</v>
      </c>
      <c r="B413" s="1" t="s">
        <v>261</v>
      </c>
      <c r="C413" s="1" t="s">
        <v>1290</v>
      </c>
      <c r="D413" s="1" t="s">
        <v>268</v>
      </c>
      <c r="E413" s="1" t="s">
        <v>1291</v>
      </c>
      <c r="F413" s="1" t="s">
        <v>1281</v>
      </c>
      <c r="G413" s="4">
        <v>46164</v>
      </c>
      <c r="H413" s="5">
        <v>0.95833333333333337</v>
      </c>
      <c r="I413" s="1" t="s">
        <v>1292</v>
      </c>
      <c r="J413" s="1" t="s">
        <v>1280</v>
      </c>
      <c r="K413" s="4">
        <v>46173</v>
      </c>
      <c r="L413" s="30">
        <v>2.7777777777777776E-2</v>
      </c>
    </row>
    <row r="414" spans="1:12" x14ac:dyDescent="0.3">
      <c r="A414" s="25">
        <v>575830</v>
      </c>
      <c r="B414" s="1" t="s">
        <v>261</v>
      </c>
      <c r="C414" s="1" t="s">
        <v>1436</v>
      </c>
      <c r="D414" s="1" t="s">
        <v>894</v>
      </c>
      <c r="E414" s="1" t="s">
        <v>1338</v>
      </c>
      <c r="F414" s="1" t="s">
        <v>1281</v>
      </c>
      <c r="G414" s="4">
        <v>46163</v>
      </c>
      <c r="H414" s="5">
        <v>0.15625</v>
      </c>
      <c r="I414" s="1" t="s">
        <v>1320</v>
      </c>
      <c r="J414" s="1" t="s">
        <v>1280</v>
      </c>
      <c r="K414" s="4">
        <v>46173</v>
      </c>
      <c r="L414" s="30">
        <v>0.29166666666666669</v>
      </c>
    </row>
    <row r="415" spans="1:12" x14ac:dyDescent="0.3">
      <c r="A415" s="25">
        <v>579007</v>
      </c>
      <c r="B415" s="1" t="s">
        <v>261</v>
      </c>
      <c r="C415" s="1" t="s">
        <v>1436</v>
      </c>
      <c r="D415" s="1" t="s">
        <v>894</v>
      </c>
      <c r="E415" s="1" t="s">
        <v>1338</v>
      </c>
      <c r="F415" s="1" t="s">
        <v>1281</v>
      </c>
      <c r="G415" s="4">
        <v>46163</v>
      </c>
      <c r="H415" s="5">
        <v>0.15625</v>
      </c>
      <c r="I415" s="1" t="s">
        <v>1320</v>
      </c>
      <c r="J415" s="1" t="s">
        <v>1280</v>
      </c>
      <c r="K415" s="4">
        <v>46173</v>
      </c>
      <c r="L415" s="30">
        <v>0.29166666666666669</v>
      </c>
    </row>
    <row r="416" spans="1:12" x14ac:dyDescent="0.3">
      <c r="A416" s="25">
        <v>130145</v>
      </c>
      <c r="B416" s="1" t="s">
        <v>261</v>
      </c>
      <c r="C416" s="1" t="s">
        <v>1423</v>
      </c>
      <c r="D416" s="1" t="s">
        <v>900</v>
      </c>
      <c r="E416" s="1" t="s">
        <v>1338</v>
      </c>
      <c r="F416" s="1" t="s">
        <v>1281</v>
      </c>
      <c r="G416" s="4">
        <v>46163</v>
      </c>
      <c r="H416" s="5">
        <v>0.15625</v>
      </c>
      <c r="I416" s="1" t="s">
        <v>1320</v>
      </c>
      <c r="J416" s="1" t="s">
        <v>1280</v>
      </c>
      <c r="K416" s="4">
        <v>46173</v>
      </c>
      <c r="L416" s="30">
        <v>0.29166666666666669</v>
      </c>
    </row>
    <row r="417" spans="1:12" x14ac:dyDescent="0.3">
      <c r="A417" s="25">
        <v>803436</v>
      </c>
      <c r="B417" s="1" t="s">
        <v>261</v>
      </c>
      <c r="C417" s="1" t="s">
        <v>1423</v>
      </c>
      <c r="D417" s="1" t="s">
        <v>900</v>
      </c>
      <c r="E417" s="1" t="s">
        <v>1338</v>
      </c>
      <c r="F417" s="1" t="s">
        <v>1281</v>
      </c>
      <c r="G417" s="4">
        <v>46163</v>
      </c>
      <c r="H417" s="5">
        <v>0.15625</v>
      </c>
      <c r="I417" s="1" t="s">
        <v>1320</v>
      </c>
      <c r="J417" s="1" t="s">
        <v>1280</v>
      </c>
      <c r="K417" s="4">
        <v>46173</v>
      </c>
      <c r="L417" s="30">
        <v>0.29166666666666669</v>
      </c>
    </row>
    <row r="418" spans="1:12" x14ac:dyDescent="0.3">
      <c r="A418" s="25">
        <v>807998</v>
      </c>
      <c r="B418" s="1" t="s">
        <v>261</v>
      </c>
      <c r="C418" s="1" t="s">
        <v>1423</v>
      </c>
      <c r="D418" s="1" t="s">
        <v>900</v>
      </c>
      <c r="E418" s="1" t="s">
        <v>1338</v>
      </c>
      <c r="F418" s="1" t="s">
        <v>1281</v>
      </c>
      <c r="G418" s="4">
        <v>46163</v>
      </c>
      <c r="H418" s="5">
        <v>0.15625</v>
      </c>
      <c r="I418" s="1" t="s">
        <v>1320</v>
      </c>
      <c r="J418" s="1" t="s">
        <v>1280</v>
      </c>
      <c r="K418" s="4">
        <v>46173</v>
      </c>
      <c r="L418" s="30">
        <v>0.29166666666666669</v>
      </c>
    </row>
    <row r="419" spans="1:12" x14ac:dyDescent="0.3">
      <c r="A419" s="25">
        <v>336213</v>
      </c>
      <c r="B419" s="1" t="s">
        <v>261</v>
      </c>
      <c r="C419" s="1" t="s">
        <v>1411</v>
      </c>
      <c r="D419" s="1" t="s">
        <v>907</v>
      </c>
      <c r="E419" s="1" t="s">
        <v>1412</v>
      </c>
      <c r="F419" s="1" t="s">
        <v>1280</v>
      </c>
      <c r="G419" s="4">
        <v>46165</v>
      </c>
      <c r="H419" s="5">
        <v>0.78125</v>
      </c>
      <c r="I419" s="1" t="s">
        <v>1413</v>
      </c>
      <c r="J419" s="1" t="s">
        <v>1281</v>
      </c>
      <c r="K419" s="4">
        <v>46175</v>
      </c>
      <c r="L419" s="30">
        <v>0.25347222222222221</v>
      </c>
    </row>
    <row r="420" spans="1:12" x14ac:dyDescent="0.3">
      <c r="A420" s="25">
        <v>370613</v>
      </c>
      <c r="B420" s="1" t="s">
        <v>261</v>
      </c>
      <c r="C420" s="1" t="s">
        <v>1411</v>
      </c>
      <c r="D420" s="1" t="s">
        <v>907</v>
      </c>
      <c r="E420" s="1" t="s">
        <v>1412</v>
      </c>
      <c r="F420" s="1" t="s">
        <v>1280</v>
      </c>
      <c r="G420" s="4">
        <v>46165</v>
      </c>
      <c r="H420" s="5">
        <v>0.78125</v>
      </c>
      <c r="I420" s="1" t="s">
        <v>1413</v>
      </c>
      <c r="J420" s="1" t="s">
        <v>1281</v>
      </c>
      <c r="K420" s="4">
        <v>46175</v>
      </c>
      <c r="L420" s="30">
        <v>0.25347222222222221</v>
      </c>
    </row>
    <row r="421" spans="1:12" x14ac:dyDescent="0.3">
      <c r="A421" s="25">
        <v>33310</v>
      </c>
      <c r="B421" s="1" t="s">
        <v>261</v>
      </c>
      <c r="C421" s="1" t="s">
        <v>1414</v>
      </c>
      <c r="D421" s="1" t="s">
        <v>926</v>
      </c>
      <c r="E421" s="1" t="s">
        <v>1307</v>
      </c>
      <c r="F421" s="1" t="s">
        <v>1306</v>
      </c>
      <c r="G421" s="4">
        <v>46163</v>
      </c>
      <c r="H421" s="5">
        <v>0.65277777777777779</v>
      </c>
      <c r="I421" s="1" t="s">
        <v>1320</v>
      </c>
      <c r="J421" s="1" t="s">
        <v>1280</v>
      </c>
      <c r="K421" s="4">
        <v>46173</v>
      </c>
      <c r="L421" s="30">
        <v>0.29166666666666669</v>
      </c>
    </row>
    <row r="422" spans="1:12" x14ac:dyDescent="0.3">
      <c r="A422" s="25">
        <v>35146</v>
      </c>
      <c r="B422" s="1" t="s">
        <v>261</v>
      </c>
      <c r="C422" s="1" t="s">
        <v>1414</v>
      </c>
      <c r="D422" s="1" t="s">
        <v>926</v>
      </c>
      <c r="E422" s="1" t="s">
        <v>1307</v>
      </c>
      <c r="F422" s="1" t="s">
        <v>1306</v>
      </c>
      <c r="G422" s="4">
        <v>46163</v>
      </c>
      <c r="H422" s="5">
        <v>0.65277777777777779</v>
      </c>
      <c r="I422" s="1" t="s">
        <v>1320</v>
      </c>
      <c r="J422" s="1" t="s">
        <v>1280</v>
      </c>
      <c r="K422" s="4">
        <v>46173</v>
      </c>
      <c r="L422" s="30">
        <v>0.29166666666666669</v>
      </c>
    </row>
    <row r="423" spans="1:12" x14ac:dyDescent="0.3">
      <c r="A423" s="25">
        <v>117078</v>
      </c>
      <c r="B423" s="1" t="s">
        <v>261</v>
      </c>
      <c r="C423" s="1" t="s">
        <v>1437</v>
      </c>
      <c r="D423" s="1" t="s">
        <v>931</v>
      </c>
      <c r="E423" s="1" t="s">
        <v>1400</v>
      </c>
      <c r="F423" s="1" t="s">
        <v>1280</v>
      </c>
      <c r="G423" s="4">
        <v>46163</v>
      </c>
      <c r="H423" s="5">
        <v>0.95486111111111116</v>
      </c>
      <c r="I423" s="1" t="s">
        <v>1359</v>
      </c>
      <c r="J423" s="1" t="s">
        <v>1280</v>
      </c>
      <c r="K423" s="4">
        <v>46175</v>
      </c>
      <c r="L423" s="30">
        <v>0.41666666666666669</v>
      </c>
    </row>
    <row r="424" spans="1:12" x14ac:dyDescent="0.3">
      <c r="A424" s="25">
        <v>845027</v>
      </c>
      <c r="B424" s="1" t="s">
        <v>261</v>
      </c>
      <c r="C424" s="1" t="s">
        <v>1430</v>
      </c>
      <c r="D424" s="1" t="s">
        <v>936</v>
      </c>
      <c r="E424" s="1" t="s">
        <v>1431</v>
      </c>
      <c r="F424" s="1" t="s">
        <v>1280</v>
      </c>
      <c r="G424" s="4">
        <v>46163</v>
      </c>
      <c r="H424" s="5">
        <v>0.61805555555555558</v>
      </c>
      <c r="I424" s="1" t="s">
        <v>1432</v>
      </c>
      <c r="J424" s="1" t="s">
        <v>1280</v>
      </c>
      <c r="K424" s="4">
        <v>46179</v>
      </c>
      <c r="L424" s="30">
        <v>3.8194444444444448E-2</v>
      </c>
    </row>
    <row r="425" spans="1:12" x14ac:dyDescent="0.3">
      <c r="A425" s="25">
        <v>867933</v>
      </c>
      <c r="B425" s="1" t="s">
        <v>261</v>
      </c>
      <c r="C425" s="1" t="s">
        <v>1430</v>
      </c>
      <c r="D425" s="1" t="s">
        <v>936</v>
      </c>
      <c r="E425" s="1" t="s">
        <v>1431</v>
      </c>
      <c r="F425" s="1" t="s">
        <v>1280</v>
      </c>
      <c r="G425" s="4">
        <v>46163</v>
      </c>
      <c r="H425" s="5">
        <v>0.61805555555555558</v>
      </c>
      <c r="I425" s="1" t="s">
        <v>1432</v>
      </c>
      <c r="J425" s="1" t="s">
        <v>1280</v>
      </c>
      <c r="K425" s="4">
        <v>46179</v>
      </c>
      <c r="L425" s="30">
        <v>3.8194444444444448E-2</v>
      </c>
    </row>
    <row r="426" spans="1:12" x14ac:dyDescent="0.3">
      <c r="A426" s="25">
        <v>672178</v>
      </c>
      <c r="B426" s="1" t="s">
        <v>261</v>
      </c>
      <c r="C426" s="1" t="s">
        <v>1415</v>
      </c>
      <c r="D426" s="1" t="s">
        <v>943</v>
      </c>
      <c r="E426" s="1" t="s">
        <v>1416</v>
      </c>
      <c r="F426" s="1" t="s">
        <v>1280</v>
      </c>
      <c r="G426" s="4">
        <v>46160</v>
      </c>
      <c r="H426" s="5">
        <v>0.86458333333333337</v>
      </c>
      <c r="I426" s="1" t="s">
        <v>1417</v>
      </c>
      <c r="J426" s="1" t="s">
        <v>1280</v>
      </c>
      <c r="K426" s="4">
        <v>46173</v>
      </c>
      <c r="L426" s="30">
        <v>8.6805555555555552E-2</v>
      </c>
    </row>
    <row r="427" spans="1:12" x14ac:dyDescent="0.3">
      <c r="A427" s="25">
        <v>818330</v>
      </c>
      <c r="B427" s="1" t="s">
        <v>261</v>
      </c>
      <c r="C427" s="1" t="s">
        <v>1415</v>
      </c>
      <c r="D427" s="1" t="s">
        <v>943</v>
      </c>
      <c r="E427" s="1" t="s">
        <v>1416</v>
      </c>
      <c r="F427" s="1" t="s">
        <v>1280</v>
      </c>
      <c r="G427" s="4">
        <v>46160</v>
      </c>
      <c r="H427" s="5">
        <v>0.86458333333333337</v>
      </c>
      <c r="I427" s="1" t="s">
        <v>1417</v>
      </c>
      <c r="J427" s="1" t="s">
        <v>1280</v>
      </c>
      <c r="K427" s="4">
        <v>46173</v>
      </c>
      <c r="L427" s="30">
        <v>8.6805555555555552E-2</v>
      </c>
    </row>
    <row r="428" spans="1:12" x14ac:dyDescent="0.3">
      <c r="A428" s="25">
        <v>819231</v>
      </c>
      <c r="B428" s="1" t="s">
        <v>261</v>
      </c>
      <c r="C428" s="1" t="s">
        <v>1415</v>
      </c>
      <c r="D428" s="1" t="s">
        <v>943</v>
      </c>
      <c r="E428" s="1" t="s">
        <v>1416</v>
      </c>
      <c r="F428" s="1" t="s">
        <v>1280</v>
      </c>
      <c r="G428" s="4">
        <v>46160</v>
      </c>
      <c r="H428" s="5">
        <v>0.86458333333333337</v>
      </c>
      <c r="I428" s="1" t="s">
        <v>1417</v>
      </c>
      <c r="J428" s="1" t="s">
        <v>1280</v>
      </c>
      <c r="K428" s="4">
        <v>46173</v>
      </c>
      <c r="L428" s="30">
        <v>8.6805555555555552E-2</v>
      </c>
    </row>
    <row r="429" spans="1:12" x14ac:dyDescent="0.3">
      <c r="A429" s="25">
        <v>819236</v>
      </c>
      <c r="B429" s="1" t="s">
        <v>261</v>
      </c>
      <c r="C429" s="1" t="s">
        <v>1415</v>
      </c>
      <c r="D429" s="1" t="s">
        <v>943</v>
      </c>
      <c r="E429" s="1" t="s">
        <v>1416</v>
      </c>
      <c r="F429" s="1" t="s">
        <v>1280</v>
      </c>
      <c r="G429" s="4">
        <v>46160</v>
      </c>
      <c r="H429" s="5">
        <v>0.86458333333333337</v>
      </c>
      <c r="I429" s="1" t="s">
        <v>1417</v>
      </c>
      <c r="J429" s="1" t="s">
        <v>1280</v>
      </c>
      <c r="K429" s="4">
        <v>46173</v>
      </c>
      <c r="L429" s="30">
        <v>8.6805555555555552E-2</v>
      </c>
    </row>
    <row r="430" spans="1:12" x14ac:dyDescent="0.3">
      <c r="A430" s="25">
        <v>819273</v>
      </c>
      <c r="B430" s="1" t="s">
        <v>261</v>
      </c>
      <c r="C430" s="1" t="s">
        <v>1415</v>
      </c>
      <c r="D430" s="1" t="s">
        <v>943</v>
      </c>
      <c r="E430" s="1" t="s">
        <v>1416</v>
      </c>
      <c r="F430" s="1" t="s">
        <v>1280</v>
      </c>
      <c r="G430" s="4">
        <v>46160</v>
      </c>
      <c r="H430" s="5">
        <v>0.86458333333333337</v>
      </c>
      <c r="I430" s="1" t="s">
        <v>1417</v>
      </c>
      <c r="J430" s="1" t="s">
        <v>1280</v>
      </c>
      <c r="K430" s="4">
        <v>46173</v>
      </c>
      <c r="L430" s="30">
        <v>8.6805555555555552E-2</v>
      </c>
    </row>
    <row r="431" spans="1:12" x14ac:dyDescent="0.3">
      <c r="A431" s="25">
        <v>820732</v>
      </c>
      <c r="B431" s="1" t="s">
        <v>261</v>
      </c>
      <c r="C431" s="1" t="s">
        <v>1415</v>
      </c>
      <c r="D431" s="1" t="s">
        <v>943</v>
      </c>
      <c r="E431" s="1" t="s">
        <v>1416</v>
      </c>
      <c r="F431" s="1" t="s">
        <v>1280</v>
      </c>
      <c r="G431" s="4">
        <v>46160</v>
      </c>
      <c r="H431" s="5">
        <v>0.86458333333333337</v>
      </c>
      <c r="I431" s="1" t="s">
        <v>1417</v>
      </c>
      <c r="J431" s="1" t="s">
        <v>1280</v>
      </c>
      <c r="K431" s="4">
        <v>46173</v>
      </c>
      <c r="L431" s="30">
        <v>8.6805555555555552E-2</v>
      </c>
    </row>
    <row r="432" spans="1:12" x14ac:dyDescent="0.3">
      <c r="A432" s="25">
        <v>820739</v>
      </c>
      <c r="B432" s="1" t="s">
        <v>261</v>
      </c>
      <c r="C432" s="1" t="s">
        <v>1415</v>
      </c>
      <c r="D432" s="1" t="s">
        <v>943</v>
      </c>
      <c r="E432" s="1" t="s">
        <v>1416</v>
      </c>
      <c r="F432" s="1" t="s">
        <v>1280</v>
      </c>
      <c r="G432" s="4">
        <v>46160</v>
      </c>
      <c r="H432" s="5">
        <v>0.86458333333333337</v>
      </c>
      <c r="I432" s="1" t="s">
        <v>1417</v>
      </c>
      <c r="J432" s="1" t="s">
        <v>1280</v>
      </c>
      <c r="K432" s="4">
        <v>46173</v>
      </c>
      <c r="L432" s="30">
        <v>8.6805555555555552E-2</v>
      </c>
    </row>
    <row r="433" spans="1:12" x14ac:dyDescent="0.3">
      <c r="A433" s="25">
        <v>630563</v>
      </c>
      <c r="B433" s="1" t="s">
        <v>261</v>
      </c>
      <c r="C433" s="1" t="s">
        <v>1418</v>
      </c>
      <c r="D433" s="1" t="s">
        <v>958</v>
      </c>
      <c r="E433" s="1" t="s">
        <v>1379</v>
      </c>
      <c r="F433" s="1" t="s">
        <v>1280</v>
      </c>
      <c r="G433" s="4">
        <v>46160</v>
      </c>
      <c r="H433" s="5">
        <v>0.79166666666666663</v>
      </c>
      <c r="I433" s="1" t="s">
        <v>1380</v>
      </c>
      <c r="J433" s="1" t="s">
        <v>1280</v>
      </c>
      <c r="K433" s="4">
        <v>46173</v>
      </c>
      <c r="L433" s="30">
        <v>7.9861111111111105E-2</v>
      </c>
    </row>
    <row r="434" spans="1:12" x14ac:dyDescent="0.3">
      <c r="A434" s="25">
        <v>630658</v>
      </c>
      <c r="B434" s="1" t="s">
        <v>261</v>
      </c>
      <c r="C434" s="1" t="s">
        <v>1418</v>
      </c>
      <c r="D434" s="1" t="s">
        <v>958</v>
      </c>
      <c r="E434" s="1" t="s">
        <v>1379</v>
      </c>
      <c r="F434" s="1" t="s">
        <v>1280</v>
      </c>
      <c r="G434" s="4">
        <v>46160</v>
      </c>
      <c r="H434" s="5">
        <v>0.79166666666666663</v>
      </c>
      <c r="I434" s="1" t="s">
        <v>1380</v>
      </c>
      <c r="J434" s="1" t="s">
        <v>1280</v>
      </c>
      <c r="K434" s="4">
        <v>46173</v>
      </c>
      <c r="L434" s="30">
        <v>7.9861111111111105E-2</v>
      </c>
    </row>
    <row r="435" spans="1:12" x14ac:dyDescent="0.3">
      <c r="A435" s="25">
        <v>630669</v>
      </c>
      <c r="B435" s="1" t="s">
        <v>261</v>
      </c>
      <c r="C435" s="1" t="s">
        <v>1418</v>
      </c>
      <c r="D435" s="1" t="s">
        <v>958</v>
      </c>
      <c r="E435" s="1" t="s">
        <v>1379</v>
      </c>
      <c r="F435" s="1" t="s">
        <v>1280</v>
      </c>
      <c r="G435" s="4">
        <v>46160</v>
      </c>
      <c r="H435" s="5">
        <v>0.79166666666666663</v>
      </c>
      <c r="I435" s="1" t="s">
        <v>1380</v>
      </c>
      <c r="J435" s="1" t="s">
        <v>1280</v>
      </c>
      <c r="K435" s="4">
        <v>46173</v>
      </c>
      <c r="L435" s="30">
        <v>7.9861111111111105E-2</v>
      </c>
    </row>
    <row r="436" spans="1:12" x14ac:dyDescent="0.3">
      <c r="A436" s="25">
        <v>846049</v>
      </c>
      <c r="B436" s="1" t="s">
        <v>261</v>
      </c>
      <c r="C436" s="1" t="s">
        <v>1419</v>
      </c>
      <c r="D436" s="1" t="s">
        <v>968</v>
      </c>
      <c r="E436" s="1" t="s">
        <v>1400</v>
      </c>
      <c r="F436" s="1" t="s">
        <v>1280</v>
      </c>
      <c r="G436" s="4">
        <v>46163</v>
      </c>
      <c r="H436" s="5">
        <v>0.95486111111111116</v>
      </c>
      <c r="I436" s="1" t="s">
        <v>1298</v>
      </c>
      <c r="J436" s="1" t="s">
        <v>1281</v>
      </c>
      <c r="K436" s="4">
        <v>46175</v>
      </c>
      <c r="L436" s="30">
        <v>0.21527777777777779</v>
      </c>
    </row>
    <row r="437" spans="1:12" x14ac:dyDescent="0.3">
      <c r="A437" s="25">
        <v>846114</v>
      </c>
      <c r="B437" s="1" t="s">
        <v>261</v>
      </c>
      <c r="C437" s="1" t="s">
        <v>1419</v>
      </c>
      <c r="D437" s="1" t="s">
        <v>968</v>
      </c>
      <c r="E437" s="1" t="s">
        <v>1400</v>
      </c>
      <c r="F437" s="1" t="s">
        <v>1280</v>
      </c>
      <c r="G437" s="4">
        <v>46163</v>
      </c>
      <c r="H437" s="5">
        <v>0.95486111111111116</v>
      </c>
      <c r="I437" s="1" t="s">
        <v>1298</v>
      </c>
      <c r="J437" s="1" t="s">
        <v>1281</v>
      </c>
      <c r="K437" s="4">
        <v>46175</v>
      </c>
      <c r="L437" s="30">
        <v>0.21527777777777779</v>
      </c>
    </row>
    <row r="438" spans="1:12" x14ac:dyDescent="0.3">
      <c r="A438" s="25">
        <v>6511</v>
      </c>
      <c r="B438" s="1" t="s">
        <v>261</v>
      </c>
      <c r="C438" s="1" t="s">
        <v>1438</v>
      </c>
      <c r="D438" s="1" t="s">
        <v>975</v>
      </c>
      <c r="E438" s="1" t="s">
        <v>1328</v>
      </c>
      <c r="F438" s="1" t="s">
        <v>1281</v>
      </c>
      <c r="G438" s="4">
        <v>46163</v>
      </c>
      <c r="H438" s="5">
        <v>1.7361111111111112E-2</v>
      </c>
      <c r="I438" s="1" t="s">
        <v>1354</v>
      </c>
      <c r="J438" s="1" t="s">
        <v>1280</v>
      </c>
      <c r="K438" s="4">
        <v>46179</v>
      </c>
      <c r="L438" s="30">
        <v>0.36805555555555558</v>
      </c>
    </row>
    <row r="439" spans="1:12" x14ac:dyDescent="0.3">
      <c r="A439" s="25">
        <v>535500</v>
      </c>
      <c r="B439" s="1" t="s">
        <v>261</v>
      </c>
      <c r="C439" s="1" t="s">
        <v>1435</v>
      </c>
      <c r="D439" s="1" t="s">
        <v>982</v>
      </c>
      <c r="E439" s="1" t="s">
        <v>1361</v>
      </c>
      <c r="F439" s="1" t="s">
        <v>1280</v>
      </c>
      <c r="G439" s="4">
        <v>46163</v>
      </c>
      <c r="H439" s="5">
        <v>0.76041666666666663</v>
      </c>
      <c r="I439" s="1" t="s">
        <v>1298</v>
      </c>
      <c r="J439" s="1" t="s">
        <v>1281</v>
      </c>
      <c r="K439" s="4">
        <v>46175</v>
      </c>
      <c r="L439" s="30">
        <v>0.21527777777777779</v>
      </c>
    </row>
    <row r="440" spans="1:12" x14ac:dyDescent="0.3">
      <c r="A440" s="25">
        <v>535506</v>
      </c>
      <c r="B440" s="1" t="s">
        <v>261</v>
      </c>
      <c r="C440" s="1" t="s">
        <v>1435</v>
      </c>
      <c r="D440" s="1" t="s">
        <v>982</v>
      </c>
      <c r="E440" s="1" t="s">
        <v>1361</v>
      </c>
      <c r="F440" s="1" t="s">
        <v>1280</v>
      </c>
      <c r="G440" s="4">
        <v>46163</v>
      </c>
      <c r="H440" s="5">
        <v>0.76041666666666663</v>
      </c>
      <c r="I440" s="1" t="s">
        <v>1298</v>
      </c>
      <c r="J440" s="1" t="s">
        <v>1281</v>
      </c>
      <c r="K440" s="4">
        <v>46175</v>
      </c>
      <c r="L440" s="30">
        <v>0.21527777777777779</v>
      </c>
    </row>
    <row r="441" spans="1:12" x14ac:dyDescent="0.3">
      <c r="A441" s="25">
        <v>865446</v>
      </c>
      <c r="B441" s="1" t="s">
        <v>261</v>
      </c>
      <c r="C441" s="1" t="s">
        <v>1424</v>
      </c>
      <c r="D441" s="1" t="s">
        <v>994</v>
      </c>
      <c r="E441" s="1" t="s">
        <v>1425</v>
      </c>
      <c r="F441" s="1" t="s">
        <v>1280</v>
      </c>
      <c r="G441" s="4">
        <v>46160</v>
      </c>
      <c r="H441" s="5">
        <v>0.88541666666666663</v>
      </c>
      <c r="I441" s="1" t="s">
        <v>1426</v>
      </c>
      <c r="J441" s="1" t="s">
        <v>1280</v>
      </c>
      <c r="K441" s="4">
        <v>46173</v>
      </c>
      <c r="L441" s="30">
        <v>0.72916666666666663</v>
      </c>
    </row>
    <row r="442" spans="1:12" x14ac:dyDescent="0.3">
      <c r="A442" s="25">
        <v>550110</v>
      </c>
      <c r="B442" s="1" t="s">
        <v>261</v>
      </c>
      <c r="C442" s="1" t="s">
        <v>1427</v>
      </c>
      <c r="D442" s="1" t="s">
        <v>1002</v>
      </c>
      <c r="E442" s="1" t="s">
        <v>1428</v>
      </c>
      <c r="F442" s="1" t="s">
        <v>1280</v>
      </c>
      <c r="G442" s="4">
        <v>46163</v>
      </c>
      <c r="H442" s="5">
        <v>0.98958333333333337</v>
      </c>
      <c r="I442" s="1" t="s">
        <v>1429</v>
      </c>
      <c r="J442" s="1" t="s">
        <v>1280</v>
      </c>
      <c r="K442" s="4">
        <v>46178</v>
      </c>
      <c r="L442" s="30">
        <v>0.27083333333333331</v>
      </c>
    </row>
    <row r="443" spans="1:12" x14ac:dyDescent="0.3">
      <c r="A443" s="25">
        <v>607353</v>
      </c>
      <c r="B443" s="1" t="s">
        <v>261</v>
      </c>
      <c r="C443" s="1" t="s">
        <v>1427</v>
      </c>
      <c r="D443" s="1" t="s">
        <v>1002</v>
      </c>
      <c r="E443" s="1" t="s">
        <v>1428</v>
      </c>
      <c r="F443" s="1" t="s">
        <v>1280</v>
      </c>
      <c r="G443" s="4">
        <v>46163</v>
      </c>
      <c r="H443" s="5">
        <v>0.98958333333333337</v>
      </c>
      <c r="I443" s="1" t="s">
        <v>1429</v>
      </c>
      <c r="J443" s="1" t="s">
        <v>1280</v>
      </c>
      <c r="K443" s="4">
        <v>46178</v>
      </c>
      <c r="L443" s="30">
        <v>0.27083333333333331</v>
      </c>
    </row>
    <row r="444" spans="1:12" x14ac:dyDescent="0.3">
      <c r="A444" s="25">
        <v>868985</v>
      </c>
      <c r="B444" s="1" t="s">
        <v>261</v>
      </c>
      <c r="C444" s="1" t="s">
        <v>1439</v>
      </c>
      <c r="D444" s="1" t="s">
        <v>1008</v>
      </c>
      <c r="E444" s="1" t="s">
        <v>1440</v>
      </c>
      <c r="F444" s="1" t="s">
        <v>1280</v>
      </c>
      <c r="G444" s="4">
        <v>46160</v>
      </c>
      <c r="H444" s="5">
        <v>0.94791666666666663</v>
      </c>
      <c r="I444" s="1" t="s">
        <v>1441</v>
      </c>
      <c r="J444" s="1" t="s">
        <v>1280</v>
      </c>
      <c r="K444" s="4">
        <v>46173</v>
      </c>
      <c r="L444" s="30">
        <v>0.60763888888888884</v>
      </c>
    </row>
    <row r="445" spans="1:12" x14ac:dyDescent="0.3">
      <c r="A445" s="25">
        <v>869123</v>
      </c>
      <c r="B445" s="1" t="s">
        <v>261</v>
      </c>
      <c r="C445" s="1" t="s">
        <v>1439</v>
      </c>
      <c r="D445" s="1" t="s">
        <v>1008</v>
      </c>
      <c r="E445" s="1" t="s">
        <v>1440</v>
      </c>
      <c r="F445" s="1" t="s">
        <v>1280</v>
      </c>
      <c r="G445" s="4">
        <v>46160</v>
      </c>
      <c r="H445" s="5">
        <v>0.94791666666666663</v>
      </c>
      <c r="I445" s="1" t="s">
        <v>1441</v>
      </c>
      <c r="J445" s="1" t="s">
        <v>1280</v>
      </c>
      <c r="K445" s="4">
        <v>46173</v>
      </c>
      <c r="L445" s="30">
        <v>0.60763888888888884</v>
      </c>
    </row>
    <row r="446" spans="1:12" x14ac:dyDescent="0.3">
      <c r="A446" s="25">
        <v>548952</v>
      </c>
      <c r="B446" s="1" t="s">
        <v>261</v>
      </c>
      <c r="C446" s="1" t="s">
        <v>1433</v>
      </c>
      <c r="D446" s="1" t="s">
        <v>1019</v>
      </c>
      <c r="E446" s="1" t="s">
        <v>1434</v>
      </c>
      <c r="F446" s="1" t="s">
        <v>1280</v>
      </c>
      <c r="G446" s="4">
        <v>46163</v>
      </c>
      <c r="H446" s="5">
        <v>0.97569444444444442</v>
      </c>
      <c r="I446" s="1" t="s">
        <v>1315</v>
      </c>
      <c r="J446" s="1" t="s">
        <v>1280</v>
      </c>
      <c r="K446" s="4">
        <v>46173</v>
      </c>
      <c r="L446" s="30">
        <v>0.13194444444444445</v>
      </c>
    </row>
    <row r="447" spans="1:12" x14ac:dyDescent="0.3">
      <c r="A447" s="25">
        <v>690538</v>
      </c>
      <c r="B447" s="1" t="s">
        <v>261</v>
      </c>
      <c r="C447" s="1" t="s">
        <v>1433</v>
      </c>
      <c r="D447" s="1" t="s">
        <v>1019</v>
      </c>
      <c r="E447" s="1" t="s">
        <v>1434</v>
      </c>
      <c r="F447" s="1" t="s">
        <v>1280</v>
      </c>
      <c r="G447" s="4">
        <v>46163</v>
      </c>
      <c r="H447" s="5">
        <v>0.97569444444444442</v>
      </c>
      <c r="I447" s="1" t="s">
        <v>1315</v>
      </c>
      <c r="J447" s="1" t="s">
        <v>1280</v>
      </c>
      <c r="K447" s="4">
        <v>46173</v>
      </c>
      <c r="L447" s="30">
        <v>0.13194444444444445</v>
      </c>
    </row>
    <row r="448" spans="1:12" x14ac:dyDescent="0.3">
      <c r="A448" s="25">
        <v>690581</v>
      </c>
      <c r="B448" s="1" t="s">
        <v>261</v>
      </c>
      <c r="C448" s="1" t="s">
        <v>1433</v>
      </c>
      <c r="D448" s="1" t="s">
        <v>1019</v>
      </c>
      <c r="E448" s="1" t="s">
        <v>1434</v>
      </c>
      <c r="F448" s="1" t="s">
        <v>1280</v>
      </c>
      <c r="G448" s="4">
        <v>46163</v>
      </c>
      <c r="H448" s="5">
        <v>0.97569444444444442</v>
      </c>
      <c r="I448" s="1" t="s">
        <v>1315</v>
      </c>
      <c r="J448" s="1" t="s">
        <v>1280</v>
      </c>
      <c r="K448" s="4">
        <v>46173</v>
      </c>
      <c r="L448" s="30">
        <v>0.13194444444444445</v>
      </c>
    </row>
    <row r="449" spans="1:12" x14ac:dyDescent="0.3">
      <c r="A449" s="25">
        <v>339090</v>
      </c>
      <c r="B449" s="1" t="s">
        <v>261</v>
      </c>
      <c r="C449" s="1" t="s">
        <v>1442</v>
      </c>
      <c r="D449" s="1" t="s">
        <v>1026</v>
      </c>
      <c r="E449" s="1" t="s">
        <v>1343</v>
      </c>
      <c r="F449" s="1" t="s">
        <v>1281</v>
      </c>
      <c r="G449" s="4">
        <v>46163</v>
      </c>
      <c r="H449" s="5">
        <v>0.88888888888888884</v>
      </c>
      <c r="I449" s="1" t="s">
        <v>1443</v>
      </c>
      <c r="J449" s="1" t="s">
        <v>1280</v>
      </c>
      <c r="K449" s="4">
        <v>46173</v>
      </c>
      <c r="L449" s="30">
        <v>0.33333333333333331</v>
      </c>
    </row>
    <row r="450" spans="1:12" x14ac:dyDescent="0.3">
      <c r="A450" s="25">
        <v>705789</v>
      </c>
      <c r="B450" s="1" t="s">
        <v>261</v>
      </c>
      <c r="C450" s="1" t="s">
        <v>1442</v>
      </c>
      <c r="D450" s="1" t="s">
        <v>1026</v>
      </c>
      <c r="E450" s="1" t="s">
        <v>1343</v>
      </c>
      <c r="F450" s="1" t="s">
        <v>1281</v>
      </c>
      <c r="G450" s="4">
        <v>46163</v>
      </c>
      <c r="H450" s="5">
        <v>0.88888888888888884</v>
      </c>
      <c r="I450" s="1" t="s">
        <v>1443</v>
      </c>
      <c r="J450" s="1" t="s">
        <v>1280</v>
      </c>
      <c r="K450" s="4">
        <v>46173</v>
      </c>
      <c r="L450" s="30">
        <v>0.33333333333333331</v>
      </c>
    </row>
    <row r="451" spans="1:12" x14ac:dyDescent="0.3">
      <c r="A451" s="25">
        <v>615177</v>
      </c>
      <c r="B451" s="1" t="s">
        <v>261</v>
      </c>
      <c r="C451" s="1" t="s">
        <v>1445</v>
      </c>
      <c r="D451" s="1" t="s">
        <v>1039</v>
      </c>
      <c r="E451" s="1" t="s">
        <v>1446</v>
      </c>
      <c r="F451" s="1" t="s">
        <v>1280</v>
      </c>
      <c r="G451" s="4">
        <v>46163</v>
      </c>
      <c r="H451" s="5">
        <v>0.98611111111111116</v>
      </c>
      <c r="I451" s="1" t="s">
        <v>1447</v>
      </c>
      <c r="J451" s="1" t="s">
        <v>1280</v>
      </c>
      <c r="K451" s="4">
        <v>46173</v>
      </c>
      <c r="L451" s="30">
        <v>0.34722222222222221</v>
      </c>
    </row>
    <row r="452" spans="1:12" x14ac:dyDescent="0.3">
      <c r="A452" s="25">
        <v>540566</v>
      </c>
      <c r="B452" s="1" t="s">
        <v>261</v>
      </c>
      <c r="C452" s="1" t="s">
        <v>1444</v>
      </c>
      <c r="D452" s="1" t="s">
        <v>1065</v>
      </c>
      <c r="E452" s="1" t="s">
        <v>1308</v>
      </c>
      <c r="F452" s="1" t="s">
        <v>1281</v>
      </c>
      <c r="G452" s="4">
        <v>46163</v>
      </c>
      <c r="H452" s="5">
        <v>0.78472222222222221</v>
      </c>
      <c r="I452" s="1" t="s">
        <v>1309</v>
      </c>
      <c r="J452" s="1" t="s">
        <v>1280</v>
      </c>
      <c r="K452" s="4">
        <v>46179</v>
      </c>
      <c r="L452" s="30">
        <v>0.30902777777777779</v>
      </c>
    </row>
    <row r="453" spans="1:12" x14ac:dyDescent="0.3">
      <c r="A453" s="25">
        <v>617039</v>
      </c>
      <c r="B453" s="1" t="s">
        <v>261</v>
      </c>
      <c r="C453" s="1" t="s">
        <v>1448</v>
      </c>
      <c r="D453" s="1" t="s">
        <v>1070</v>
      </c>
      <c r="E453" s="1" t="s">
        <v>1412</v>
      </c>
      <c r="F453" s="1" t="s">
        <v>1280</v>
      </c>
      <c r="G453" s="4">
        <v>46160</v>
      </c>
      <c r="H453" s="5">
        <v>0.78125</v>
      </c>
      <c r="I453" s="1" t="s">
        <v>1449</v>
      </c>
      <c r="J453" s="1" t="s">
        <v>1280</v>
      </c>
      <c r="K453" s="4">
        <v>46173</v>
      </c>
      <c r="L453" s="30">
        <v>0.20833333333333334</v>
      </c>
    </row>
    <row r="454" spans="1:12" x14ac:dyDescent="0.3">
      <c r="A454" s="25">
        <v>704843</v>
      </c>
      <c r="B454" s="1" t="s">
        <v>261</v>
      </c>
      <c r="C454" s="1" t="s">
        <v>1448</v>
      </c>
      <c r="D454" s="1" t="s">
        <v>1070</v>
      </c>
      <c r="E454" s="1" t="s">
        <v>1412</v>
      </c>
      <c r="F454" s="1" t="s">
        <v>1280</v>
      </c>
      <c r="G454" s="4">
        <v>46160</v>
      </c>
      <c r="H454" s="5">
        <v>0.78125</v>
      </c>
      <c r="I454" s="1" t="s">
        <v>1449</v>
      </c>
      <c r="J454" s="1" t="s">
        <v>1280</v>
      </c>
      <c r="K454" s="4">
        <v>46173</v>
      </c>
      <c r="L454" s="30">
        <v>0.20833333333333334</v>
      </c>
    </row>
    <row r="455" spans="1:12" x14ac:dyDescent="0.3">
      <c r="A455" s="25">
        <v>798285</v>
      </c>
      <c r="B455" s="1" t="s">
        <v>261</v>
      </c>
      <c r="C455" s="1" t="s">
        <v>1459</v>
      </c>
      <c r="D455" s="1" t="s">
        <v>1089</v>
      </c>
      <c r="E455" s="1" t="s">
        <v>1460</v>
      </c>
      <c r="F455" s="1" t="s">
        <v>1281</v>
      </c>
      <c r="G455" s="4">
        <v>46164</v>
      </c>
      <c r="H455" s="5">
        <v>0.10416666666666667</v>
      </c>
      <c r="I455" s="1" t="s">
        <v>1461</v>
      </c>
      <c r="J455" s="1" t="s">
        <v>1280</v>
      </c>
      <c r="K455" s="4">
        <v>46179</v>
      </c>
      <c r="L455" s="30">
        <v>0.43402777777777779</v>
      </c>
    </row>
    <row r="456" spans="1:12" x14ac:dyDescent="0.3">
      <c r="A456" s="25">
        <v>552800</v>
      </c>
      <c r="B456" s="1" t="s">
        <v>261</v>
      </c>
      <c r="C456" s="1" t="s">
        <v>1450</v>
      </c>
      <c r="D456" s="1" t="s">
        <v>1104</v>
      </c>
      <c r="E456" s="1" t="s">
        <v>1300</v>
      </c>
      <c r="F456" s="1" t="s">
        <v>1281</v>
      </c>
      <c r="G456" s="4">
        <v>46163</v>
      </c>
      <c r="H456" s="5">
        <v>0.35416666666666669</v>
      </c>
      <c r="I456" s="1" t="s">
        <v>1301</v>
      </c>
      <c r="J456" s="1" t="s">
        <v>1280</v>
      </c>
      <c r="K456" s="4">
        <v>46173</v>
      </c>
      <c r="L456" s="30">
        <v>0.31944444444444442</v>
      </c>
    </row>
    <row r="457" spans="1:12" x14ac:dyDescent="0.3">
      <c r="A457" s="25">
        <v>558361</v>
      </c>
      <c r="B457" s="1" t="s">
        <v>261</v>
      </c>
      <c r="C457" s="1" t="s">
        <v>1450</v>
      </c>
      <c r="D457" s="1" t="s">
        <v>1104</v>
      </c>
      <c r="E457" s="1" t="s">
        <v>1300</v>
      </c>
      <c r="F457" s="1" t="s">
        <v>1281</v>
      </c>
      <c r="G457" s="4">
        <v>46163</v>
      </c>
      <c r="H457" s="5">
        <v>0.35416666666666669</v>
      </c>
      <c r="I457" s="1" t="s">
        <v>1301</v>
      </c>
      <c r="J457" s="1" t="s">
        <v>1280</v>
      </c>
      <c r="K457" s="4">
        <v>46173</v>
      </c>
      <c r="L457" s="30">
        <v>0.31944444444444442</v>
      </c>
    </row>
    <row r="458" spans="1:12" x14ac:dyDescent="0.3">
      <c r="A458" s="25">
        <v>48385</v>
      </c>
      <c r="B458" s="1" t="s">
        <v>261</v>
      </c>
      <c r="C458" s="1" t="s">
        <v>1451</v>
      </c>
      <c r="D458" s="1" t="s">
        <v>1110</v>
      </c>
      <c r="E458" s="1" t="s">
        <v>1431</v>
      </c>
      <c r="F458" s="1" t="s">
        <v>1280</v>
      </c>
      <c r="G458" s="4">
        <v>46165</v>
      </c>
      <c r="H458" s="5">
        <v>0.61805555555555558</v>
      </c>
      <c r="I458" s="1" t="s">
        <v>1432</v>
      </c>
      <c r="J458" s="1" t="s">
        <v>1280</v>
      </c>
      <c r="K458" s="4">
        <v>46173</v>
      </c>
      <c r="L458" s="30">
        <v>3.8194444444444448E-2</v>
      </c>
    </row>
    <row r="459" spans="1:12" x14ac:dyDescent="0.3">
      <c r="A459" s="25">
        <v>48424</v>
      </c>
      <c r="B459" s="1" t="s">
        <v>261</v>
      </c>
      <c r="C459" s="1" t="s">
        <v>1451</v>
      </c>
      <c r="D459" s="1" t="s">
        <v>1110</v>
      </c>
      <c r="E459" s="1" t="s">
        <v>1431</v>
      </c>
      <c r="F459" s="1" t="s">
        <v>1280</v>
      </c>
      <c r="G459" s="4">
        <v>46165</v>
      </c>
      <c r="H459" s="5">
        <v>0.61805555555555558</v>
      </c>
      <c r="I459" s="1" t="s">
        <v>1432</v>
      </c>
      <c r="J459" s="1" t="s">
        <v>1280</v>
      </c>
      <c r="K459" s="4">
        <v>46173</v>
      </c>
      <c r="L459" s="30">
        <v>3.8194444444444448E-2</v>
      </c>
    </row>
    <row r="460" spans="1:12" x14ac:dyDescent="0.3">
      <c r="A460" s="25">
        <v>464839</v>
      </c>
      <c r="B460" s="1" t="s">
        <v>261</v>
      </c>
      <c r="C460" s="1" t="s">
        <v>1457</v>
      </c>
      <c r="D460" s="1" t="s">
        <v>1114</v>
      </c>
      <c r="E460" s="1" t="s">
        <v>1431</v>
      </c>
      <c r="F460" s="1" t="s">
        <v>1280</v>
      </c>
      <c r="G460" s="4">
        <v>46165</v>
      </c>
      <c r="H460" s="5">
        <v>0.61805555555555558</v>
      </c>
      <c r="I460" s="1" t="s">
        <v>1432</v>
      </c>
      <c r="J460" s="1" t="s">
        <v>1280</v>
      </c>
      <c r="K460" s="4">
        <v>46173</v>
      </c>
      <c r="L460" s="30">
        <v>3.8194444444444448E-2</v>
      </c>
    </row>
    <row r="461" spans="1:12" x14ac:dyDescent="0.3">
      <c r="A461" s="25">
        <v>781825</v>
      </c>
      <c r="B461" s="1" t="s">
        <v>261</v>
      </c>
      <c r="C461" s="1" t="s">
        <v>1458</v>
      </c>
      <c r="D461" s="1" t="s">
        <v>1119</v>
      </c>
      <c r="E461" s="1" t="s">
        <v>1317</v>
      </c>
      <c r="F461" s="1" t="s">
        <v>1281</v>
      </c>
      <c r="G461" s="4">
        <v>46160</v>
      </c>
      <c r="H461" s="5">
        <v>0.67361111111111116</v>
      </c>
      <c r="I461" s="1" t="s">
        <v>1292</v>
      </c>
      <c r="J461" s="1" t="s">
        <v>1280</v>
      </c>
      <c r="K461" s="4">
        <v>46173</v>
      </c>
      <c r="L461" s="30">
        <v>2.7777777777777776E-2</v>
      </c>
    </row>
    <row r="462" spans="1:12" x14ac:dyDescent="0.3">
      <c r="A462" s="25">
        <v>498937</v>
      </c>
      <c r="B462" s="1" t="s">
        <v>261</v>
      </c>
      <c r="C462" s="1" t="s">
        <v>1452</v>
      </c>
      <c r="D462" s="1" t="s">
        <v>1124</v>
      </c>
      <c r="E462" s="1" t="s">
        <v>1453</v>
      </c>
      <c r="F462" s="1" t="s">
        <v>1280</v>
      </c>
      <c r="G462" s="4">
        <v>46163</v>
      </c>
      <c r="H462" s="5">
        <v>0.1388888888888889</v>
      </c>
      <c r="I462" s="1" t="s">
        <v>1398</v>
      </c>
      <c r="J462" s="1" t="s">
        <v>1281</v>
      </c>
      <c r="K462" s="4">
        <v>46175</v>
      </c>
      <c r="L462" s="30">
        <v>0.19791666666666666</v>
      </c>
    </row>
    <row r="463" spans="1:12" x14ac:dyDescent="0.3">
      <c r="A463" s="25">
        <v>499001</v>
      </c>
      <c r="B463" s="1" t="s">
        <v>261</v>
      </c>
      <c r="C463" s="1" t="s">
        <v>1452</v>
      </c>
      <c r="D463" s="1" t="s">
        <v>1124</v>
      </c>
      <c r="E463" s="1" t="s">
        <v>1453</v>
      </c>
      <c r="F463" s="1" t="s">
        <v>1280</v>
      </c>
      <c r="G463" s="4">
        <v>46163</v>
      </c>
      <c r="H463" s="5">
        <v>0.1388888888888889</v>
      </c>
      <c r="I463" s="1" t="s">
        <v>1398</v>
      </c>
      <c r="J463" s="1" t="s">
        <v>1281</v>
      </c>
      <c r="K463" s="4">
        <v>46175</v>
      </c>
      <c r="L463" s="30">
        <v>0.19791666666666666</v>
      </c>
    </row>
    <row r="464" spans="1:12" x14ac:dyDescent="0.3">
      <c r="A464" s="25">
        <v>499005</v>
      </c>
      <c r="B464" s="1" t="s">
        <v>261</v>
      </c>
      <c r="C464" s="1" t="s">
        <v>1452</v>
      </c>
      <c r="D464" s="1" t="s">
        <v>1124</v>
      </c>
      <c r="E464" s="1" t="s">
        <v>1453</v>
      </c>
      <c r="F464" s="1" t="s">
        <v>1280</v>
      </c>
      <c r="G464" s="4">
        <v>46163</v>
      </c>
      <c r="H464" s="5">
        <v>0.1388888888888889</v>
      </c>
      <c r="I464" s="1" t="s">
        <v>1398</v>
      </c>
      <c r="J464" s="1" t="s">
        <v>1281</v>
      </c>
      <c r="K464" s="4">
        <v>46175</v>
      </c>
      <c r="L464" s="30">
        <v>0.19791666666666666</v>
      </c>
    </row>
    <row r="465" spans="1:12" x14ac:dyDescent="0.3">
      <c r="A465" s="25">
        <v>781897</v>
      </c>
      <c r="B465" s="1" t="s">
        <v>261</v>
      </c>
      <c r="C465" s="1" t="s">
        <v>1452</v>
      </c>
      <c r="D465" s="1" t="s">
        <v>1124</v>
      </c>
      <c r="E465" s="1" t="s">
        <v>1453</v>
      </c>
      <c r="F465" s="1" t="s">
        <v>1280</v>
      </c>
      <c r="G465" s="4">
        <v>46163</v>
      </c>
      <c r="H465" s="5">
        <v>0.1388888888888889</v>
      </c>
      <c r="I465" s="1" t="s">
        <v>1398</v>
      </c>
      <c r="J465" s="1" t="s">
        <v>1281</v>
      </c>
      <c r="K465" s="4">
        <v>46175</v>
      </c>
      <c r="L465" s="30">
        <v>0.19791666666666666</v>
      </c>
    </row>
    <row r="466" spans="1:12" x14ac:dyDescent="0.3">
      <c r="A466" s="25">
        <v>154540</v>
      </c>
      <c r="B466" s="1" t="s">
        <v>261</v>
      </c>
      <c r="C466" s="1" t="s">
        <v>1463</v>
      </c>
      <c r="D466" s="1" t="s">
        <v>1132</v>
      </c>
      <c r="E466" s="1" t="s">
        <v>1371</v>
      </c>
      <c r="F466" s="1" t="s">
        <v>1281</v>
      </c>
      <c r="G466" s="4">
        <v>46163</v>
      </c>
      <c r="H466" s="5">
        <v>0.18402777777777779</v>
      </c>
      <c r="I466" s="1" t="s">
        <v>1329</v>
      </c>
      <c r="J466" s="1" t="s">
        <v>1280</v>
      </c>
      <c r="K466" s="4">
        <v>46179</v>
      </c>
      <c r="L466" s="30">
        <v>0.54166666666666663</v>
      </c>
    </row>
    <row r="467" spans="1:12" x14ac:dyDescent="0.3">
      <c r="A467" s="25">
        <v>499764</v>
      </c>
      <c r="B467" s="1" t="s">
        <v>261</v>
      </c>
      <c r="C467" s="1" t="s">
        <v>1462</v>
      </c>
      <c r="D467" s="1" t="s">
        <v>1138</v>
      </c>
      <c r="E467" s="1" t="s">
        <v>1371</v>
      </c>
      <c r="F467" s="1" t="s">
        <v>1281</v>
      </c>
      <c r="G467" s="4">
        <v>46163</v>
      </c>
      <c r="H467" s="5">
        <v>0.18402777777777779</v>
      </c>
      <c r="I467" s="1" t="s">
        <v>1372</v>
      </c>
      <c r="J467" s="1" t="s">
        <v>1280</v>
      </c>
      <c r="K467" s="4">
        <v>46179</v>
      </c>
      <c r="L467" s="30">
        <v>6.9444444444444448E-2</v>
      </c>
    </row>
    <row r="468" spans="1:12" x14ac:dyDescent="0.3">
      <c r="A468" s="25">
        <v>667783</v>
      </c>
      <c r="B468" s="1" t="s">
        <v>261</v>
      </c>
      <c r="C468" s="1" t="s">
        <v>1462</v>
      </c>
      <c r="D468" s="1" t="s">
        <v>1138</v>
      </c>
      <c r="E468" s="1" t="s">
        <v>1371</v>
      </c>
      <c r="F468" s="1" t="s">
        <v>1281</v>
      </c>
      <c r="G468" s="4">
        <v>46163</v>
      </c>
      <c r="H468" s="5">
        <v>0.18402777777777779</v>
      </c>
      <c r="I468" s="1" t="s">
        <v>1372</v>
      </c>
      <c r="J468" s="1" t="s">
        <v>1280</v>
      </c>
      <c r="K468" s="4">
        <v>46179</v>
      </c>
      <c r="L468" s="30">
        <v>6.9444444444444448E-2</v>
      </c>
    </row>
    <row r="469" spans="1:12" x14ac:dyDescent="0.3">
      <c r="A469" s="25">
        <v>353674</v>
      </c>
      <c r="B469" s="1" t="s">
        <v>261</v>
      </c>
      <c r="C469" s="1" t="s">
        <v>1466</v>
      </c>
      <c r="D469" s="1" t="s">
        <v>1146</v>
      </c>
      <c r="E469" s="1" t="s">
        <v>1446</v>
      </c>
      <c r="F469" s="1" t="s">
        <v>1280</v>
      </c>
      <c r="G469" s="4">
        <v>46165</v>
      </c>
      <c r="H469" s="5">
        <v>0.98611111111111116</v>
      </c>
      <c r="I469" s="1" t="s">
        <v>1447</v>
      </c>
      <c r="J469" s="1" t="s">
        <v>1280</v>
      </c>
      <c r="K469" s="4">
        <v>46175</v>
      </c>
      <c r="L469" s="30">
        <v>0.34722222222222221</v>
      </c>
    </row>
    <row r="470" spans="1:12" x14ac:dyDescent="0.3">
      <c r="A470" s="25">
        <v>840272</v>
      </c>
      <c r="B470" s="1" t="s">
        <v>261</v>
      </c>
      <c r="C470" s="1" t="s">
        <v>1464</v>
      </c>
      <c r="D470" s="1" t="s">
        <v>1151</v>
      </c>
      <c r="E470" s="1" t="s">
        <v>1328</v>
      </c>
      <c r="F470" s="1" t="s">
        <v>1281</v>
      </c>
      <c r="G470" s="4">
        <v>46163</v>
      </c>
      <c r="H470" s="5">
        <v>1.7361111111111112E-2</v>
      </c>
      <c r="I470" s="1" t="s">
        <v>1429</v>
      </c>
      <c r="J470" s="1" t="s">
        <v>1280</v>
      </c>
      <c r="K470" s="4">
        <v>46179</v>
      </c>
      <c r="L470" s="30">
        <v>0.25347222222222221</v>
      </c>
    </row>
    <row r="471" spans="1:12" x14ac:dyDescent="0.3">
      <c r="A471" s="25">
        <v>840463</v>
      </c>
      <c r="B471" s="1" t="s">
        <v>261</v>
      </c>
      <c r="C471" s="1" t="s">
        <v>1464</v>
      </c>
      <c r="D471" s="1" t="s">
        <v>1151</v>
      </c>
      <c r="E471" s="1" t="s">
        <v>1328</v>
      </c>
      <c r="F471" s="1" t="s">
        <v>1281</v>
      </c>
      <c r="G471" s="4">
        <v>46163</v>
      </c>
      <c r="H471" s="5">
        <v>1.7361111111111112E-2</v>
      </c>
      <c r="I471" s="1" t="s">
        <v>1429</v>
      </c>
      <c r="J471" s="1" t="s">
        <v>1280</v>
      </c>
      <c r="K471" s="4">
        <v>46179</v>
      </c>
      <c r="L471" s="30">
        <v>0.25347222222222221</v>
      </c>
    </row>
    <row r="472" spans="1:12" x14ac:dyDescent="0.3">
      <c r="A472" s="25"/>
      <c r="B472" s="1" t="s">
        <v>261</v>
      </c>
      <c r="C472" s="1" t="s">
        <v>1344</v>
      </c>
      <c r="D472" s="1" t="s">
        <v>637</v>
      </c>
      <c r="E472" s="1" t="s">
        <v>1345</v>
      </c>
      <c r="F472" s="1" t="s">
        <v>1281</v>
      </c>
      <c r="G472" s="4">
        <v>46163</v>
      </c>
      <c r="H472" s="5">
        <v>0.99652777777777779</v>
      </c>
      <c r="I472" s="1" t="s">
        <v>1346</v>
      </c>
      <c r="J472" s="1" t="s">
        <v>1280</v>
      </c>
      <c r="K472" s="4">
        <v>46173</v>
      </c>
      <c r="L472" s="30">
        <v>0.20833333333333334</v>
      </c>
    </row>
    <row r="473" spans="1:12" x14ac:dyDescent="0.3">
      <c r="A473" s="25"/>
      <c r="B473" s="1" t="s">
        <v>261</v>
      </c>
      <c r="C473" s="1" t="s">
        <v>1370</v>
      </c>
      <c r="D473" s="1" t="s">
        <v>598</v>
      </c>
      <c r="E473" s="1" t="s">
        <v>1371</v>
      </c>
      <c r="F473" s="1" t="s">
        <v>1281</v>
      </c>
      <c r="G473" s="4">
        <v>46163</v>
      </c>
      <c r="H473" s="5">
        <v>0.18402777777777779</v>
      </c>
      <c r="I473" s="1" t="s">
        <v>1372</v>
      </c>
      <c r="J473" s="1" t="s">
        <v>1280</v>
      </c>
      <c r="K473" s="4">
        <v>46173</v>
      </c>
      <c r="L473" s="30">
        <v>6.25E-2</v>
      </c>
    </row>
    <row r="474" spans="1:12" x14ac:dyDescent="0.3">
      <c r="A474" s="25"/>
      <c r="B474" s="1" t="s">
        <v>261</v>
      </c>
      <c r="C474" s="1" t="s">
        <v>1383</v>
      </c>
      <c r="D474" s="1" t="s">
        <v>782</v>
      </c>
      <c r="E474" s="1" t="s">
        <v>1317</v>
      </c>
      <c r="F474" s="1" t="s">
        <v>1281</v>
      </c>
      <c r="G474" s="4">
        <v>46160</v>
      </c>
      <c r="H474" s="5">
        <v>0.67361111111111116</v>
      </c>
      <c r="I474" s="1" t="s">
        <v>1292</v>
      </c>
      <c r="J474" s="1" t="s">
        <v>1280</v>
      </c>
      <c r="K474" s="4">
        <v>46173</v>
      </c>
      <c r="L474" s="30">
        <v>2.7777777777777776E-2</v>
      </c>
    </row>
    <row r="475" spans="1:12" x14ac:dyDescent="0.3">
      <c r="A475" s="25"/>
      <c r="B475" s="1" t="s">
        <v>261</v>
      </c>
      <c r="C475" s="1" t="s">
        <v>1438</v>
      </c>
      <c r="D475" s="1" t="s">
        <v>975</v>
      </c>
      <c r="E475" s="1" t="s">
        <v>1328</v>
      </c>
      <c r="F475" s="1" t="s">
        <v>1281</v>
      </c>
      <c r="G475" s="4">
        <v>46163</v>
      </c>
      <c r="H475" s="5">
        <v>1.7361111111111112E-2</v>
      </c>
      <c r="I475" s="1" t="s">
        <v>1354</v>
      </c>
      <c r="J475" s="1" t="s">
        <v>1280</v>
      </c>
      <c r="K475" s="4">
        <v>46179</v>
      </c>
      <c r="L475" s="30">
        <v>0.36805555555555558</v>
      </c>
    </row>
    <row r="476" spans="1:12" x14ac:dyDescent="0.3">
      <c r="A476" s="25"/>
      <c r="B476" s="1" t="s">
        <v>261</v>
      </c>
      <c r="C476" s="1" t="s">
        <v>1467</v>
      </c>
      <c r="D476" s="1" t="s">
        <v>390</v>
      </c>
      <c r="E476" s="1" t="s">
        <v>1322</v>
      </c>
      <c r="F476" s="1" t="s">
        <v>1280</v>
      </c>
      <c r="G476" s="4">
        <v>46163</v>
      </c>
      <c r="H476" s="5">
        <v>0.80902777777777779</v>
      </c>
      <c r="I476" s="1" t="s">
        <v>1298</v>
      </c>
      <c r="J476" s="1" t="s">
        <v>1281</v>
      </c>
      <c r="K476" s="4">
        <v>46175</v>
      </c>
      <c r="L476" s="30">
        <v>0.21527777777777779</v>
      </c>
    </row>
    <row r="477" spans="1:12" x14ac:dyDescent="0.3">
      <c r="A477" s="26"/>
      <c r="B477" s="15" t="s">
        <v>261</v>
      </c>
      <c r="C477" s="15" t="s">
        <v>1467</v>
      </c>
      <c r="D477" s="15" t="s">
        <v>390</v>
      </c>
      <c r="E477" s="15" t="s">
        <v>1322</v>
      </c>
      <c r="F477" s="15" t="s">
        <v>1280</v>
      </c>
      <c r="G477" s="22">
        <v>46163</v>
      </c>
      <c r="H477" s="29">
        <v>0.80902777777777779</v>
      </c>
      <c r="I477" s="15" t="s">
        <v>1298</v>
      </c>
      <c r="J477" s="15" t="s">
        <v>1281</v>
      </c>
      <c r="K477" s="22">
        <v>46175</v>
      </c>
      <c r="L477" s="31">
        <v>0.21527777777777779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2B5A-0A2C-40C5-B2E4-7498496E7B48}">
  <sheetPr>
    <tabColor rgb="FF00B050"/>
  </sheetPr>
  <dimension ref="A1:L29"/>
  <sheetViews>
    <sheetView zoomScale="115" zoomScaleNormal="115" workbookViewId="0">
      <selection activeCell="E6" sqref="E6"/>
    </sheetView>
  </sheetViews>
  <sheetFormatPr defaultRowHeight="14.4" x14ac:dyDescent="0.3"/>
  <cols>
    <col min="1" max="1" width="15.77734375" bestFit="1" customWidth="1"/>
    <col min="2" max="2" width="10.6640625" bestFit="1" customWidth="1"/>
    <col min="3" max="3" width="11.6640625" bestFit="1" customWidth="1"/>
    <col min="4" max="4" width="10.88671875" bestFit="1" customWidth="1"/>
    <col min="5" max="5" width="36.77734375" bestFit="1" customWidth="1"/>
    <col min="6" max="6" width="19.33203125" bestFit="1" customWidth="1"/>
    <col min="7" max="7" width="20" bestFit="1" customWidth="1"/>
    <col min="8" max="8" width="21.21875" bestFit="1" customWidth="1"/>
    <col min="9" max="9" width="36.77734375" bestFit="1" customWidth="1"/>
    <col min="10" max="10" width="22.21875" bestFit="1" customWidth="1"/>
    <col min="11" max="11" width="22.77734375" bestFit="1" customWidth="1"/>
    <col min="12" max="12" width="24.109375" customWidth="1"/>
    <col min="13" max="13" width="23.77734375" bestFit="1" customWidth="1"/>
    <col min="14" max="15" width="24.109375" bestFit="1" customWidth="1"/>
    <col min="16" max="16" width="24.77734375" bestFit="1" customWidth="1"/>
    <col min="17" max="17" width="10.21875" bestFit="1" customWidth="1"/>
    <col min="18" max="18" width="12.21875" bestFit="1" customWidth="1"/>
    <col min="19" max="19" width="10.88671875" bestFit="1" customWidth="1"/>
    <col min="20" max="21" width="9" bestFit="1" customWidth="1"/>
    <col min="22" max="22" width="12.88671875" bestFit="1" customWidth="1"/>
    <col min="23" max="23" width="11.109375" bestFit="1" customWidth="1"/>
    <col min="24" max="24" width="40.33203125" bestFit="1" customWidth="1"/>
    <col min="25" max="25" width="16.88671875" bestFit="1" customWidth="1"/>
    <col min="26" max="26" width="18.109375" bestFit="1" customWidth="1"/>
    <col min="27" max="27" width="12.88671875" bestFit="1" customWidth="1"/>
    <col min="28" max="28" width="13.44140625" bestFit="1" customWidth="1"/>
  </cols>
  <sheetData>
    <row r="1" spans="1:12" x14ac:dyDescent="0.3">
      <c r="A1" t="s">
        <v>56</v>
      </c>
      <c r="B1" t="s">
        <v>204</v>
      </c>
      <c r="C1" t="s">
        <v>0</v>
      </c>
      <c r="D1" t="s">
        <v>1</v>
      </c>
      <c r="E1" t="s">
        <v>46</v>
      </c>
      <c r="F1" t="s">
        <v>54</v>
      </c>
      <c r="G1" t="s">
        <v>47</v>
      </c>
      <c r="H1" t="s">
        <v>48</v>
      </c>
      <c r="I1" t="s">
        <v>49</v>
      </c>
      <c r="J1" t="s">
        <v>55</v>
      </c>
      <c r="K1" t="s">
        <v>50</v>
      </c>
      <c r="L1" t="s">
        <v>51</v>
      </c>
    </row>
    <row r="2" spans="1:12" x14ac:dyDescent="0.3">
      <c r="A2" s="1" t="s">
        <v>77</v>
      </c>
      <c r="B2" s="1">
        <v>135</v>
      </c>
      <c r="C2" s="1" t="s">
        <v>19</v>
      </c>
      <c r="D2" s="1" t="s">
        <v>13</v>
      </c>
      <c r="E2" s="1" t="s">
        <v>10</v>
      </c>
      <c r="F2" s="1" t="s">
        <v>52</v>
      </c>
      <c r="G2" s="1" t="s">
        <v>19</v>
      </c>
      <c r="H2" s="1" t="s">
        <v>8</v>
      </c>
      <c r="I2" s="1" t="s">
        <v>12</v>
      </c>
      <c r="J2" s="1" t="s">
        <v>53</v>
      </c>
      <c r="K2" s="1" t="s">
        <v>8</v>
      </c>
      <c r="L2" s="1" t="s">
        <v>11</v>
      </c>
    </row>
    <row r="3" spans="1:12" x14ac:dyDescent="0.3">
      <c r="A3" s="1" t="s">
        <v>81</v>
      </c>
      <c r="B3" s="1">
        <v>30</v>
      </c>
      <c r="C3" s="1" t="s">
        <v>19</v>
      </c>
      <c r="D3" s="1" t="s">
        <v>6</v>
      </c>
      <c r="E3" s="1" t="s">
        <v>10</v>
      </c>
      <c r="F3" s="1" t="s">
        <v>52</v>
      </c>
      <c r="G3" s="1" t="s">
        <v>19</v>
      </c>
      <c r="H3" s="1" t="s">
        <v>8</v>
      </c>
      <c r="I3" s="1" t="s">
        <v>12</v>
      </c>
      <c r="J3" s="1" t="s">
        <v>53</v>
      </c>
      <c r="K3" s="1" t="s">
        <v>8</v>
      </c>
      <c r="L3" s="1" t="s">
        <v>16</v>
      </c>
    </row>
    <row r="4" spans="1:12" x14ac:dyDescent="0.3">
      <c r="A4" s="1" t="s">
        <v>82</v>
      </c>
      <c r="B4" s="1">
        <v>130</v>
      </c>
      <c r="C4" s="1" t="s">
        <v>19</v>
      </c>
      <c r="D4" s="1" t="s">
        <v>13</v>
      </c>
      <c r="E4" s="1" t="s">
        <v>20</v>
      </c>
      <c r="F4" s="1" t="s">
        <v>53</v>
      </c>
      <c r="G4" s="1" t="s">
        <v>19</v>
      </c>
      <c r="H4" s="1" t="s">
        <v>8</v>
      </c>
      <c r="I4" s="1" t="s">
        <v>21</v>
      </c>
      <c r="J4" s="1" t="s">
        <v>53</v>
      </c>
      <c r="K4" s="1" t="s">
        <v>8</v>
      </c>
      <c r="L4" s="1" t="s">
        <v>16</v>
      </c>
    </row>
    <row r="5" spans="1:12" x14ac:dyDescent="0.3">
      <c r="A5" s="1" t="s">
        <v>83</v>
      </c>
      <c r="B5" s="1">
        <v>318</v>
      </c>
      <c r="C5" s="1" t="s">
        <v>19</v>
      </c>
      <c r="D5" s="1" t="s">
        <v>13</v>
      </c>
      <c r="E5" s="1" t="s">
        <v>5</v>
      </c>
      <c r="F5" s="1" t="s">
        <v>53</v>
      </c>
      <c r="G5" s="1" t="s">
        <v>19</v>
      </c>
      <c r="H5" s="1" t="s">
        <v>8</v>
      </c>
      <c r="I5" s="1" t="s">
        <v>15</v>
      </c>
      <c r="J5" s="1" t="s">
        <v>53</v>
      </c>
      <c r="K5" s="1" t="s">
        <v>8</v>
      </c>
      <c r="L5" s="1" t="s">
        <v>16</v>
      </c>
    </row>
    <row r="6" spans="1:12" x14ac:dyDescent="0.3">
      <c r="A6" s="1" t="s">
        <v>84</v>
      </c>
      <c r="B6" s="1">
        <v>41</v>
      </c>
      <c r="C6" s="1" t="s">
        <v>8</v>
      </c>
      <c r="D6" s="1" t="s">
        <v>9</v>
      </c>
      <c r="E6" s="1" t="s">
        <v>20</v>
      </c>
      <c r="F6" s="1" t="s">
        <v>53</v>
      </c>
      <c r="G6" s="1" t="s">
        <v>8</v>
      </c>
      <c r="H6" s="1" t="s">
        <v>11</v>
      </c>
      <c r="I6" s="1" t="s">
        <v>12</v>
      </c>
      <c r="J6" s="1" t="s">
        <v>53</v>
      </c>
      <c r="K6" s="1" t="s">
        <v>13</v>
      </c>
      <c r="L6" s="1" t="s">
        <v>9</v>
      </c>
    </row>
    <row r="7" spans="1:12" x14ac:dyDescent="0.3">
      <c r="A7" s="1" t="s">
        <v>85</v>
      </c>
      <c r="B7" s="1">
        <v>190</v>
      </c>
      <c r="C7" s="1" t="s">
        <v>8</v>
      </c>
      <c r="D7" s="1" t="s">
        <v>9</v>
      </c>
      <c r="E7" s="1" t="s">
        <v>5</v>
      </c>
      <c r="F7" s="1" t="s">
        <v>53</v>
      </c>
      <c r="G7" s="1" t="s">
        <v>8</v>
      </c>
      <c r="H7" s="1" t="s">
        <v>11</v>
      </c>
      <c r="I7" s="1" t="s">
        <v>15</v>
      </c>
      <c r="J7" s="1" t="s">
        <v>53</v>
      </c>
      <c r="K7" s="1" t="s">
        <v>13</v>
      </c>
      <c r="L7" s="1" t="s">
        <v>9</v>
      </c>
    </row>
    <row r="8" spans="1:12" x14ac:dyDescent="0.3">
      <c r="A8" s="1" t="s">
        <v>86</v>
      </c>
      <c r="B8" s="1">
        <v>85</v>
      </c>
      <c r="C8" s="1" t="s">
        <v>8</v>
      </c>
      <c r="D8" s="1" t="s">
        <v>4</v>
      </c>
      <c r="E8" s="1" t="s">
        <v>12</v>
      </c>
      <c r="F8" s="1" t="s">
        <v>53</v>
      </c>
      <c r="G8" s="1" t="s">
        <v>8</v>
      </c>
      <c r="H8" s="1" t="s">
        <v>11</v>
      </c>
      <c r="I8" s="1" t="s">
        <v>20</v>
      </c>
      <c r="J8" s="1" t="s">
        <v>53</v>
      </c>
      <c r="K8" s="1" t="s">
        <v>6</v>
      </c>
      <c r="L8" s="1" t="s">
        <v>4</v>
      </c>
    </row>
    <row r="9" spans="1:12" x14ac:dyDescent="0.3">
      <c r="A9" s="1" t="s">
        <v>87</v>
      </c>
      <c r="B9" s="1">
        <v>140</v>
      </c>
      <c r="C9" s="1" t="s">
        <v>8</v>
      </c>
      <c r="D9" s="1" t="s">
        <v>4</v>
      </c>
      <c r="E9" s="1" t="s">
        <v>21</v>
      </c>
      <c r="F9" s="1" t="s">
        <v>53</v>
      </c>
      <c r="G9" s="1" t="s">
        <v>8</v>
      </c>
      <c r="H9" s="1" t="s">
        <v>16</v>
      </c>
      <c r="I9" s="1" t="s">
        <v>5</v>
      </c>
      <c r="J9" s="1" t="s">
        <v>53</v>
      </c>
      <c r="K9" s="1" t="s">
        <v>6</v>
      </c>
      <c r="L9" s="1" t="s">
        <v>4</v>
      </c>
    </row>
    <row r="10" spans="1:12" x14ac:dyDescent="0.3">
      <c r="A10" s="1" t="s">
        <v>88</v>
      </c>
      <c r="B10" s="1">
        <v>176</v>
      </c>
      <c r="C10" s="1" t="s">
        <v>8</v>
      </c>
      <c r="D10" s="1" t="s">
        <v>4</v>
      </c>
      <c r="E10" s="1" t="s">
        <v>15</v>
      </c>
      <c r="F10" s="1" t="s">
        <v>53</v>
      </c>
      <c r="G10" s="1" t="s">
        <v>8</v>
      </c>
      <c r="H10" s="1" t="s">
        <v>16</v>
      </c>
      <c r="I10" s="1" t="s">
        <v>5</v>
      </c>
      <c r="J10" s="1" t="s">
        <v>53</v>
      </c>
      <c r="K10" s="1" t="s">
        <v>6</v>
      </c>
      <c r="L10" s="1" t="s">
        <v>4</v>
      </c>
    </row>
    <row r="11" spans="1:12" x14ac:dyDescent="0.3">
      <c r="A11" s="1" t="s">
        <v>78</v>
      </c>
      <c r="B11" s="1">
        <v>91</v>
      </c>
      <c r="C11" s="1" t="s">
        <v>8</v>
      </c>
      <c r="D11" s="1" t="s">
        <v>13</v>
      </c>
      <c r="E11" s="1" t="s">
        <v>5</v>
      </c>
      <c r="F11" s="1" t="s">
        <v>53</v>
      </c>
      <c r="G11" s="1" t="s">
        <v>8</v>
      </c>
      <c r="H11" s="1" t="s">
        <v>11</v>
      </c>
      <c r="I11" s="1"/>
      <c r="J11" s="1"/>
      <c r="K11" s="1"/>
      <c r="L11" s="1"/>
    </row>
    <row r="12" spans="1:12" x14ac:dyDescent="0.3">
      <c r="A12" s="1" t="s">
        <v>79</v>
      </c>
      <c r="B12" s="1">
        <v>64</v>
      </c>
      <c r="C12" s="1" t="s">
        <v>3</v>
      </c>
      <c r="D12" s="1" t="s">
        <v>4</v>
      </c>
      <c r="E12" s="1" t="s">
        <v>5</v>
      </c>
      <c r="F12" s="1" t="s">
        <v>53</v>
      </c>
      <c r="G12" s="1" t="s">
        <v>6</v>
      </c>
      <c r="H12" s="1" t="s">
        <v>4</v>
      </c>
      <c r="I12" s="1"/>
      <c r="J12" s="1"/>
      <c r="K12" s="1"/>
      <c r="L12" s="1"/>
    </row>
    <row r="13" spans="1:12" x14ac:dyDescent="0.3">
      <c r="A13" s="1" t="s">
        <v>90</v>
      </c>
      <c r="B13" s="1">
        <v>105</v>
      </c>
      <c r="C13" s="1" t="s">
        <v>19</v>
      </c>
      <c r="D13" s="1" t="s">
        <v>13</v>
      </c>
      <c r="E13" s="1" t="s">
        <v>5</v>
      </c>
      <c r="F13" s="1" t="s">
        <v>53</v>
      </c>
      <c r="G13" s="1" t="s">
        <v>19</v>
      </c>
      <c r="H13" s="1" t="s">
        <v>8</v>
      </c>
      <c r="I13" s="1" t="s">
        <v>21</v>
      </c>
      <c r="J13" s="1" t="s">
        <v>53</v>
      </c>
      <c r="K13" s="1" t="s">
        <v>8</v>
      </c>
      <c r="L13" s="1" t="s">
        <v>11</v>
      </c>
    </row>
    <row r="14" spans="1:12" x14ac:dyDescent="0.3">
      <c r="A14" s="1" t="s">
        <v>91</v>
      </c>
      <c r="B14" s="1">
        <v>160</v>
      </c>
      <c r="C14" s="1" t="s">
        <v>19</v>
      </c>
      <c r="D14" s="1" t="s">
        <v>13</v>
      </c>
      <c r="E14" s="1" t="s">
        <v>5</v>
      </c>
      <c r="F14" s="1" t="s">
        <v>53</v>
      </c>
      <c r="G14" s="1" t="s">
        <v>19</v>
      </c>
      <c r="H14" s="1" t="s">
        <v>8</v>
      </c>
      <c r="I14" s="1" t="s">
        <v>21</v>
      </c>
      <c r="J14" s="1" t="s">
        <v>53</v>
      </c>
      <c r="K14" s="1" t="s">
        <v>8</v>
      </c>
      <c r="L14" s="1" t="s">
        <v>16</v>
      </c>
    </row>
    <row r="15" spans="1:12" x14ac:dyDescent="0.3">
      <c r="A15" s="1" t="s">
        <v>92</v>
      </c>
      <c r="B15" s="1">
        <v>124</v>
      </c>
      <c r="C15" s="1" t="s">
        <v>8</v>
      </c>
      <c r="D15" s="1" t="s">
        <v>9</v>
      </c>
      <c r="E15" s="1" t="s">
        <v>10</v>
      </c>
      <c r="F15" s="1" t="s">
        <v>52</v>
      </c>
      <c r="G15" s="1" t="s">
        <v>8</v>
      </c>
      <c r="H15" s="1" t="s">
        <v>11</v>
      </c>
      <c r="I15" s="1" t="s">
        <v>12</v>
      </c>
      <c r="J15" s="1" t="s">
        <v>53</v>
      </c>
      <c r="K15" s="1" t="s">
        <v>13</v>
      </c>
      <c r="L15" s="1" t="s">
        <v>9</v>
      </c>
    </row>
    <row r="16" spans="1:12" x14ac:dyDescent="0.3">
      <c r="A16" s="1" t="s">
        <v>93</v>
      </c>
      <c r="B16" s="1">
        <v>350</v>
      </c>
      <c r="C16" s="1" t="s">
        <v>8</v>
      </c>
      <c r="D16" s="1" t="s">
        <v>9</v>
      </c>
      <c r="E16" s="1" t="s">
        <v>5</v>
      </c>
      <c r="F16" s="1" t="s">
        <v>53</v>
      </c>
      <c r="G16" s="1" t="s">
        <v>8</v>
      </c>
      <c r="H16" s="1" t="s">
        <v>11</v>
      </c>
      <c r="I16" s="1" t="s">
        <v>21</v>
      </c>
      <c r="J16" s="1" t="s">
        <v>53</v>
      </c>
      <c r="K16" s="1" t="s">
        <v>13</v>
      </c>
      <c r="L16" s="1" t="s">
        <v>9</v>
      </c>
    </row>
    <row r="17" spans="1:12" x14ac:dyDescent="0.3">
      <c r="A17" s="1" t="s">
        <v>103</v>
      </c>
      <c r="B17" s="1">
        <v>130</v>
      </c>
      <c r="C17" s="1" t="s">
        <v>8</v>
      </c>
      <c r="D17" s="1" t="s">
        <v>9</v>
      </c>
      <c r="E17" s="1" t="s">
        <v>10</v>
      </c>
      <c r="F17" s="1" t="s">
        <v>52</v>
      </c>
      <c r="G17" s="1" t="s">
        <v>8</v>
      </c>
      <c r="H17" s="1" t="s">
        <v>11</v>
      </c>
      <c r="I17" s="1" t="s">
        <v>21</v>
      </c>
      <c r="J17" s="1" t="s">
        <v>53</v>
      </c>
      <c r="K17" s="1" t="s">
        <v>13</v>
      </c>
      <c r="L17" s="1" t="s">
        <v>9</v>
      </c>
    </row>
    <row r="18" spans="1:12" x14ac:dyDescent="0.3">
      <c r="A18" s="1" t="s">
        <v>94</v>
      </c>
      <c r="B18" s="1">
        <v>95</v>
      </c>
      <c r="C18" s="1" t="s">
        <v>8</v>
      </c>
      <c r="D18" s="1" t="s">
        <v>9</v>
      </c>
      <c r="E18" s="1" t="s">
        <v>10</v>
      </c>
      <c r="F18" s="1" t="s">
        <v>52</v>
      </c>
      <c r="G18" s="1" t="s">
        <v>8</v>
      </c>
      <c r="H18" s="1" t="s">
        <v>11</v>
      </c>
      <c r="I18" s="1" t="s">
        <v>15</v>
      </c>
      <c r="J18" s="1" t="s">
        <v>53</v>
      </c>
      <c r="K18" s="1" t="s">
        <v>13</v>
      </c>
      <c r="L18" s="1" t="s">
        <v>9</v>
      </c>
    </row>
    <row r="19" spans="1:12" x14ac:dyDescent="0.3">
      <c r="A19" s="1" t="s">
        <v>89</v>
      </c>
      <c r="B19" s="1">
        <v>215</v>
      </c>
      <c r="C19" s="1" t="s">
        <v>8</v>
      </c>
      <c r="D19" s="1" t="s">
        <v>13</v>
      </c>
      <c r="E19" s="1" t="s">
        <v>10</v>
      </c>
      <c r="F19" s="1" t="s">
        <v>52</v>
      </c>
      <c r="G19" s="1" t="s">
        <v>8</v>
      </c>
      <c r="H19" s="1" t="s">
        <v>11</v>
      </c>
      <c r="I19" s="1"/>
      <c r="J19" s="1"/>
      <c r="K19" s="1"/>
      <c r="L19" s="1"/>
    </row>
    <row r="20" spans="1:12" x14ac:dyDescent="0.3">
      <c r="A20" s="1" t="s">
        <v>104</v>
      </c>
      <c r="B20" s="1">
        <v>115</v>
      </c>
      <c r="C20" s="1" t="s">
        <v>3</v>
      </c>
      <c r="D20" s="1" t="s">
        <v>4</v>
      </c>
      <c r="E20" s="1" t="s">
        <v>5</v>
      </c>
      <c r="F20" s="1" t="s">
        <v>53</v>
      </c>
      <c r="G20" s="1" t="s">
        <v>6</v>
      </c>
      <c r="H20" s="1" t="s">
        <v>4</v>
      </c>
      <c r="I20" s="1"/>
      <c r="J20" s="1"/>
      <c r="K20" s="1"/>
      <c r="L20" s="1"/>
    </row>
    <row r="21" spans="1:12" x14ac:dyDescent="0.3">
      <c r="A21" s="1" t="s">
        <v>80</v>
      </c>
      <c r="B21" s="1">
        <v>106</v>
      </c>
      <c r="C21" s="1" t="s">
        <v>8</v>
      </c>
      <c r="D21" s="1" t="s">
        <v>9</v>
      </c>
      <c r="E21" s="1" t="s">
        <v>10</v>
      </c>
      <c r="F21" s="1" t="s">
        <v>52</v>
      </c>
      <c r="G21" s="1" t="s">
        <v>8</v>
      </c>
      <c r="H21" s="1" t="s">
        <v>11</v>
      </c>
      <c r="I21" s="1" t="s">
        <v>12</v>
      </c>
      <c r="J21" s="1" t="s">
        <v>53</v>
      </c>
      <c r="K21" s="1" t="s">
        <v>13</v>
      </c>
      <c r="L21" s="1" t="s">
        <v>9</v>
      </c>
    </row>
    <row r="22" spans="1:12" x14ac:dyDescent="0.3">
      <c r="A22" s="1" t="s">
        <v>95</v>
      </c>
      <c r="B22" s="1">
        <v>142</v>
      </c>
      <c r="C22" s="1" t="s">
        <v>19</v>
      </c>
      <c r="D22" s="1" t="s">
        <v>13</v>
      </c>
      <c r="E22" s="1" t="s">
        <v>10</v>
      </c>
      <c r="F22" s="1" t="s">
        <v>52</v>
      </c>
      <c r="G22" s="1" t="s">
        <v>19</v>
      </c>
      <c r="H22" s="1" t="s">
        <v>8</v>
      </c>
      <c r="I22" s="1" t="s">
        <v>15</v>
      </c>
      <c r="J22" s="1" t="s">
        <v>53</v>
      </c>
      <c r="K22" s="1" t="s">
        <v>8</v>
      </c>
      <c r="L22" s="1" t="s">
        <v>16</v>
      </c>
    </row>
    <row r="23" spans="1:12" x14ac:dyDescent="0.3">
      <c r="A23" s="1" t="s">
        <v>96</v>
      </c>
      <c r="B23" s="1">
        <v>130</v>
      </c>
      <c r="C23" s="1" t="s">
        <v>19</v>
      </c>
      <c r="D23" s="1" t="s">
        <v>13</v>
      </c>
      <c r="E23" s="1" t="s">
        <v>5</v>
      </c>
      <c r="F23" s="1" t="s">
        <v>53</v>
      </c>
      <c r="G23" s="1" t="s">
        <v>19</v>
      </c>
      <c r="H23" s="1" t="s">
        <v>8</v>
      </c>
      <c r="I23" s="1" t="s">
        <v>21</v>
      </c>
      <c r="J23" s="1" t="s">
        <v>53</v>
      </c>
      <c r="K23" s="1" t="s">
        <v>8</v>
      </c>
      <c r="L23" s="1" t="s">
        <v>16</v>
      </c>
    </row>
    <row r="24" spans="1:12" x14ac:dyDescent="0.3">
      <c r="A24" s="1" t="s">
        <v>97</v>
      </c>
      <c r="B24" s="1">
        <v>230</v>
      </c>
      <c r="C24" s="1" t="s">
        <v>8</v>
      </c>
      <c r="D24" s="1" t="s">
        <v>4</v>
      </c>
      <c r="E24" s="1" t="s">
        <v>12</v>
      </c>
      <c r="F24" s="1" t="s">
        <v>53</v>
      </c>
      <c r="G24" s="1" t="s">
        <v>8</v>
      </c>
      <c r="H24" s="1" t="s">
        <v>16</v>
      </c>
      <c r="I24" s="1" t="s">
        <v>28</v>
      </c>
      <c r="J24" s="1" t="s">
        <v>52</v>
      </c>
      <c r="K24" s="1" t="s">
        <v>6</v>
      </c>
      <c r="L24" s="1" t="s">
        <v>4</v>
      </c>
    </row>
    <row r="25" spans="1:12" x14ac:dyDescent="0.3">
      <c r="A25" s="1" t="s">
        <v>98</v>
      </c>
      <c r="B25" s="1">
        <v>248</v>
      </c>
      <c r="C25" s="1" t="s">
        <v>8</v>
      </c>
      <c r="D25" s="1" t="s">
        <v>4</v>
      </c>
      <c r="E25" s="1" t="s">
        <v>21</v>
      </c>
      <c r="F25" s="1" t="s">
        <v>53</v>
      </c>
      <c r="G25" s="1" t="s">
        <v>8</v>
      </c>
      <c r="H25" s="1" t="s">
        <v>16</v>
      </c>
      <c r="I25" s="1" t="s">
        <v>5</v>
      </c>
      <c r="J25" s="1" t="s">
        <v>53</v>
      </c>
      <c r="K25" s="1" t="s">
        <v>6</v>
      </c>
      <c r="L25" s="1" t="s">
        <v>4</v>
      </c>
    </row>
    <row r="26" spans="1:12" x14ac:dyDescent="0.3">
      <c r="A26" s="1" t="s">
        <v>99</v>
      </c>
      <c r="B26" s="1">
        <v>130</v>
      </c>
      <c r="C26" s="1" t="s">
        <v>8</v>
      </c>
      <c r="D26" s="1" t="s">
        <v>4</v>
      </c>
      <c r="E26" s="1" t="s">
        <v>15</v>
      </c>
      <c r="F26" s="1" t="s">
        <v>53</v>
      </c>
      <c r="G26" s="1" t="s">
        <v>8</v>
      </c>
      <c r="H26" s="1" t="s">
        <v>16</v>
      </c>
      <c r="I26" s="1" t="s">
        <v>5</v>
      </c>
      <c r="J26" s="1" t="s">
        <v>53</v>
      </c>
      <c r="K26" s="1" t="s">
        <v>6</v>
      </c>
      <c r="L26" s="1" t="s">
        <v>4</v>
      </c>
    </row>
    <row r="27" spans="1:12" x14ac:dyDescent="0.3">
      <c r="A27" s="1" t="s">
        <v>100</v>
      </c>
      <c r="B27" s="1">
        <v>10</v>
      </c>
      <c r="C27" s="1" t="s">
        <v>8</v>
      </c>
      <c r="D27" s="1" t="s">
        <v>9</v>
      </c>
      <c r="E27" s="1" t="s">
        <v>10</v>
      </c>
      <c r="F27" s="1" t="s">
        <v>52</v>
      </c>
      <c r="G27" s="1" t="s">
        <v>8</v>
      </c>
      <c r="H27" s="1" t="s">
        <v>11</v>
      </c>
      <c r="I27" s="1" t="s">
        <v>21</v>
      </c>
      <c r="J27" s="1" t="s">
        <v>53</v>
      </c>
      <c r="K27" s="1" t="s">
        <v>13</v>
      </c>
      <c r="L27" s="1" t="s">
        <v>9</v>
      </c>
    </row>
    <row r="28" spans="1:12" x14ac:dyDescent="0.3">
      <c r="A28" s="1" t="s">
        <v>101</v>
      </c>
      <c r="B28" s="1">
        <v>190</v>
      </c>
      <c r="C28" s="1" t="s">
        <v>8</v>
      </c>
      <c r="D28" s="1" t="s">
        <v>13</v>
      </c>
      <c r="E28" s="1" t="s">
        <v>10</v>
      </c>
      <c r="F28" s="1" t="s">
        <v>52</v>
      </c>
      <c r="G28" s="1" t="s">
        <v>8</v>
      </c>
      <c r="H28" s="1" t="s">
        <v>11</v>
      </c>
      <c r="I28" s="1"/>
      <c r="J28" s="1"/>
      <c r="K28" s="1"/>
      <c r="L28" s="1"/>
    </row>
    <row r="29" spans="1:12" x14ac:dyDescent="0.3">
      <c r="A29" s="1" t="s">
        <v>102</v>
      </c>
      <c r="B29" s="1">
        <v>140</v>
      </c>
      <c r="C29" s="1" t="s">
        <v>3</v>
      </c>
      <c r="D29" s="1" t="s">
        <v>4</v>
      </c>
      <c r="E29" s="1" t="s">
        <v>5</v>
      </c>
      <c r="F29" s="1" t="s">
        <v>53</v>
      </c>
      <c r="G29" s="1" t="s">
        <v>6</v>
      </c>
      <c r="H29" s="1" t="s">
        <v>4</v>
      </c>
      <c r="I29" s="1"/>
      <c r="J29" s="1"/>
      <c r="K29" s="1"/>
      <c r="L2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163D-7CF9-405F-BC44-391D3662D999}">
  <sheetPr>
    <tabColor rgb="FF00B0F0"/>
  </sheetPr>
  <dimension ref="A1:AM476"/>
  <sheetViews>
    <sheetView tabSelected="1" topLeftCell="A448" workbookViewId="0">
      <selection activeCell="N2" sqref="N2:N476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8.88671875" bestFit="1" customWidth="1"/>
    <col min="4" max="4" width="26.5546875" bestFit="1" customWidth="1"/>
    <col min="5" max="5" width="11.77734375" bestFit="1" customWidth="1"/>
    <col min="6" max="6" width="6.21875" bestFit="1" customWidth="1"/>
    <col min="7" max="7" width="13.21875" bestFit="1" customWidth="1"/>
    <col min="8" max="8" width="18.5546875" bestFit="1" customWidth="1"/>
    <col min="9" max="9" width="12.109375" bestFit="1" customWidth="1"/>
    <col min="10" max="10" width="12.6640625" bestFit="1" customWidth="1"/>
    <col min="11" max="11" width="15.77734375" bestFit="1" customWidth="1"/>
    <col min="12" max="12" width="20.33203125" bestFit="1" customWidth="1"/>
    <col min="13" max="13" width="19.5546875" bestFit="1" customWidth="1"/>
    <col min="14" max="14" width="36.33203125" bestFit="1" customWidth="1"/>
    <col min="15" max="15" width="16.33203125" bestFit="1" customWidth="1"/>
    <col min="16" max="16" width="28" bestFit="1" customWidth="1"/>
    <col min="17" max="17" width="28.5546875" bestFit="1" customWidth="1"/>
    <col min="18" max="18" width="29.6640625" bestFit="1" customWidth="1"/>
    <col min="19" max="19" width="36.33203125" bestFit="1" customWidth="1"/>
    <col min="20" max="20" width="30.6640625" bestFit="1" customWidth="1"/>
    <col min="21" max="21" width="31.21875" bestFit="1" customWidth="1"/>
    <col min="22" max="22" width="36.33203125" bestFit="1" customWidth="1"/>
    <col min="23" max="23" width="19.6640625" bestFit="1" customWidth="1"/>
    <col min="24" max="24" width="20.77734375" bestFit="1" customWidth="1"/>
    <col min="25" max="25" width="32.44140625" bestFit="1" customWidth="1"/>
    <col min="26" max="26" width="22.5546875" bestFit="1" customWidth="1"/>
    <col min="27" max="27" width="23.109375" bestFit="1" customWidth="1"/>
    <col min="28" max="28" width="9" bestFit="1" customWidth="1"/>
    <col min="29" max="29" width="17.33203125" bestFit="1" customWidth="1"/>
    <col min="30" max="30" width="14.21875" bestFit="1" customWidth="1"/>
    <col min="31" max="31" width="19.21875" bestFit="1" customWidth="1"/>
    <col min="32" max="32" width="16.6640625" bestFit="1" customWidth="1"/>
    <col min="33" max="33" width="16.88671875" bestFit="1" customWidth="1"/>
    <col min="34" max="34" width="13.6640625" bestFit="1" customWidth="1"/>
    <col min="35" max="35" width="14" bestFit="1" customWidth="1"/>
    <col min="36" max="36" width="12.88671875" bestFit="1" customWidth="1"/>
    <col min="37" max="37" width="13.109375" bestFit="1" customWidth="1"/>
    <col min="38" max="38" width="14.6640625" bestFit="1" customWidth="1"/>
    <col min="39" max="39" width="18.6640625" bestFit="1" customWidth="1"/>
    <col min="40" max="40" width="14.6640625" bestFit="1" customWidth="1"/>
    <col min="41" max="41" width="18.6640625" customWidth="1"/>
    <col min="42" max="42" width="14.21875" bestFit="1" customWidth="1"/>
    <col min="43" max="43" width="15.33203125" customWidth="1"/>
    <col min="44" max="44" width="14.109375" bestFit="1" customWidth="1"/>
    <col min="45" max="45" width="15.33203125" customWidth="1"/>
    <col min="46" max="46" width="22.6640625" bestFit="1" customWidth="1"/>
    <col min="47" max="47" width="41.109375" bestFit="1" customWidth="1"/>
    <col min="48" max="48" width="37.33203125" bestFit="1" customWidth="1"/>
    <col min="49" max="49" width="35" bestFit="1" customWidth="1"/>
    <col min="50" max="50" width="38" bestFit="1" customWidth="1"/>
    <col min="51" max="51" width="38.109375" bestFit="1" customWidth="1"/>
    <col min="52" max="52" width="35.6640625" bestFit="1" customWidth="1"/>
    <col min="53" max="53" width="35.88671875" bestFit="1" customWidth="1"/>
    <col min="54" max="54" width="41.109375" bestFit="1" customWidth="1"/>
    <col min="55" max="55" width="37.33203125" bestFit="1" customWidth="1"/>
    <col min="56" max="56" width="35" bestFit="1" customWidth="1"/>
    <col min="57" max="57" width="38" bestFit="1" customWidth="1"/>
    <col min="58" max="58" width="38.109375" bestFit="1" customWidth="1"/>
    <col min="59" max="59" width="35.6640625" bestFit="1" customWidth="1"/>
    <col min="60" max="60" width="35.88671875" bestFit="1" customWidth="1"/>
    <col min="61" max="61" width="37.77734375" bestFit="1" customWidth="1"/>
    <col min="62" max="62" width="34" bestFit="1" customWidth="1"/>
    <col min="63" max="63" width="31.77734375" bestFit="1" customWidth="1"/>
    <col min="64" max="64" width="34.6640625" bestFit="1" customWidth="1"/>
    <col min="65" max="65" width="34.77734375" bestFit="1" customWidth="1"/>
    <col min="66" max="66" width="32.44140625" bestFit="1" customWidth="1"/>
    <col min="67" max="67" width="32.5546875" bestFit="1" customWidth="1"/>
    <col min="68" max="68" width="37.77734375" bestFit="1" customWidth="1"/>
    <col min="69" max="69" width="34" bestFit="1" customWidth="1"/>
    <col min="70" max="70" width="31.77734375" bestFit="1" customWidth="1"/>
    <col min="71" max="71" width="34.6640625" bestFit="1" customWidth="1"/>
    <col min="72" max="72" width="34.77734375" bestFit="1" customWidth="1"/>
    <col min="73" max="73" width="32.44140625" bestFit="1" customWidth="1"/>
    <col min="74" max="74" width="32.5546875" bestFit="1" customWidth="1"/>
  </cols>
  <sheetData>
    <row r="1" spans="1:39" x14ac:dyDescent="0.3">
      <c r="A1" s="23" t="s">
        <v>1168</v>
      </c>
      <c r="B1" s="20" t="s">
        <v>1169</v>
      </c>
      <c r="C1" s="20" t="s">
        <v>1170</v>
      </c>
      <c r="D1" t="s">
        <v>1520</v>
      </c>
      <c r="E1" s="20" t="s">
        <v>1173</v>
      </c>
      <c r="F1" s="20" t="s">
        <v>1476</v>
      </c>
      <c r="G1" s="20" t="s">
        <v>1174</v>
      </c>
      <c r="H1" s="20" t="s">
        <v>1175</v>
      </c>
      <c r="I1" s="20" t="s">
        <v>1176</v>
      </c>
      <c r="J1" s="32" t="s">
        <v>1177</v>
      </c>
      <c r="K1" s="32" t="s">
        <v>56</v>
      </c>
      <c r="L1" s="32" t="s">
        <v>1486</v>
      </c>
      <c r="M1" s="32" t="s">
        <v>1487</v>
      </c>
      <c r="N1" s="32" t="s">
        <v>1488</v>
      </c>
      <c r="O1" s="32" t="s">
        <v>1184</v>
      </c>
      <c r="P1" s="32" t="s">
        <v>1489</v>
      </c>
      <c r="Q1" s="32" t="s">
        <v>1490</v>
      </c>
      <c r="R1" s="32" t="s">
        <v>1491</v>
      </c>
      <c r="S1" s="32" t="s">
        <v>1492</v>
      </c>
      <c r="T1" s="32" t="s">
        <v>1493</v>
      </c>
      <c r="U1" s="32" t="s">
        <v>1494</v>
      </c>
      <c r="V1" s="32" t="s">
        <v>1496</v>
      </c>
      <c r="W1" s="32" t="s">
        <v>1497</v>
      </c>
      <c r="X1" s="32" t="s">
        <v>1498</v>
      </c>
      <c r="Y1" s="32" t="s">
        <v>1495</v>
      </c>
      <c r="Z1" s="13" t="s">
        <v>1178</v>
      </c>
      <c r="AA1" s="13" t="s">
        <v>1179</v>
      </c>
      <c r="AB1" s="13" t="s">
        <v>1215</v>
      </c>
      <c r="AC1" s="13" t="s">
        <v>1289</v>
      </c>
      <c r="AD1" s="12" t="s">
        <v>1477</v>
      </c>
      <c r="AE1" s="12" t="s">
        <v>1478</v>
      </c>
      <c r="AF1" s="12" t="s">
        <v>1479</v>
      </c>
      <c r="AG1" s="12" t="s">
        <v>1480</v>
      </c>
      <c r="AH1" s="24" t="s">
        <v>1481</v>
      </c>
      <c r="AI1" s="24" t="s">
        <v>1484</v>
      </c>
      <c r="AJ1" s="24" t="s">
        <v>1482</v>
      </c>
      <c r="AK1" s="24" t="s">
        <v>1483</v>
      </c>
      <c r="AL1" s="13" t="s">
        <v>1180</v>
      </c>
      <c r="AM1" s="13" t="s">
        <v>1181</v>
      </c>
    </row>
    <row r="2" spans="1:39" x14ac:dyDescent="0.3">
      <c r="A2" s="1">
        <v>791333</v>
      </c>
      <c r="B2" s="1">
        <v>640716</v>
      </c>
      <c r="C2" s="1" t="s">
        <v>1188</v>
      </c>
      <c r="D2" s="38" t="s">
        <v>1521</v>
      </c>
      <c r="E2" s="4">
        <v>28309</v>
      </c>
      <c r="F2" s="1">
        <v>48</v>
      </c>
      <c r="G2" s="1" t="s">
        <v>212</v>
      </c>
      <c r="H2" s="1" t="s">
        <v>1501</v>
      </c>
      <c r="I2" s="1" t="s">
        <v>1501</v>
      </c>
      <c r="J2" s="1">
        <v>8528</v>
      </c>
      <c r="K2" s="1" t="s">
        <v>81</v>
      </c>
      <c r="L2" s="1" t="s">
        <v>19</v>
      </c>
      <c r="M2" s="1" t="s">
        <v>6</v>
      </c>
      <c r="N2" s="1" t="s">
        <v>10</v>
      </c>
      <c r="O2" s="1" t="s">
        <v>216</v>
      </c>
      <c r="P2" s="1" t="s">
        <v>52</v>
      </c>
      <c r="Q2" s="1" t="s">
        <v>19</v>
      </c>
      <c r="R2" s="1" t="s">
        <v>8</v>
      </c>
      <c r="S2" s="1" t="s">
        <v>12</v>
      </c>
      <c r="T2" s="1" t="s">
        <v>53</v>
      </c>
      <c r="U2" s="1" t="s">
        <v>8</v>
      </c>
      <c r="V2" s="1" t="str">
        <f>IF(pilgrims[[#This Row],[packages.second_hotel_name]]="",pilgrims[[#This Row],[packages.first_hotel_name]],pilgrims[[#This Row],[packages.second_hotel_name]])</f>
        <v>Makkah Clock Royal Tower A Fairmont Hotel</v>
      </c>
      <c r="W2" s="1" t="str">
        <f>IF(pilgrims[[#This Row],[packages.second_hotel_name]]="",pilgrims[[#This Row],[packages.first_hotel_check_in]],pilgrims[[#This Row],[packages.second_hotel_check_in]])</f>
        <v>2026-05-21</v>
      </c>
      <c r="X2" s="1" t="str">
        <f>IF(pilgrims[[#This Row],[packages.second_hotel_name]]="",pilgrims[[#This Row],[packages.first_hotel_check_out]],pilgrims[[#This Row],[packages.second_hotel_check_out]])</f>
        <v>2026-05-25</v>
      </c>
      <c r="Y2" s="1" t="s">
        <v>16</v>
      </c>
      <c r="Z2" s="1" t="s">
        <v>214</v>
      </c>
      <c r="AA2" s="1" t="s">
        <v>1199</v>
      </c>
      <c r="AB2" s="1" t="s">
        <v>1199</v>
      </c>
      <c r="AC2" s="1" t="s">
        <v>212</v>
      </c>
      <c r="AD2" s="1" t="s">
        <v>61</v>
      </c>
      <c r="AE2" s="1" t="s">
        <v>1280</v>
      </c>
      <c r="AF2" s="4">
        <v>46160</v>
      </c>
      <c r="AG2" s="5">
        <v>0.57986111111111116</v>
      </c>
      <c r="AH2" s="1" t="s">
        <v>63</v>
      </c>
      <c r="AI2" s="1" t="s">
        <v>1280</v>
      </c>
      <c r="AJ2" s="4">
        <v>46172</v>
      </c>
      <c r="AK2" s="5">
        <v>0.3923611111111111</v>
      </c>
      <c r="AL2" s="1" t="s">
        <v>215</v>
      </c>
      <c r="AM2" s="1"/>
    </row>
    <row r="3" spans="1:39" x14ac:dyDescent="0.3">
      <c r="A3" s="1">
        <v>724766</v>
      </c>
      <c r="B3" s="1">
        <v>587344</v>
      </c>
      <c r="C3" s="1" t="s">
        <v>1189</v>
      </c>
      <c r="D3" s="38" t="s">
        <v>1522</v>
      </c>
      <c r="E3" s="4">
        <v>19356</v>
      </c>
      <c r="F3" s="1">
        <v>73</v>
      </c>
      <c r="G3" s="1" t="s">
        <v>212</v>
      </c>
      <c r="H3" s="1" t="s">
        <v>1501</v>
      </c>
      <c r="I3" s="1" t="s">
        <v>1501</v>
      </c>
      <c r="J3" s="1">
        <v>8528</v>
      </c>
      <c r="K3" s="1" t="s">
        <v>81</v>
      </c>
      <c r="L3" s="1" t="s">
        <v>19</v>
      </c>
      <c r="M3" s="1" t="s">
        <v>6</v>
      </c>
      <c r="N3" s="1" t="s">
        <v>10</v>
      </c>
      <c r="O3" s="1" t="s">
        <v>216</v>
      </c>
      <c r="P3" s="1" t="s">
        <v>52</v>
      </c>
      <c r="Q3" s="1" t="s">
        <v>19</v>
      </c>
      <c r="R3" s="1" t="s">
        <v>8</v>
      </c>
      <c r="S3" s="1" t="s">
        <v>12</v>
      </c>
      <c r="T3" s="1" t="s">
        <v>53</v>
      </c>
      <c r="U3" s="1" t="s">
        <v>8</v>
      </c>
      <c r="V3" s="1" t="str">
        <f>IF(pilgrims[[#This Row],[packages.second_hotel_name]]="",pilgrims[[#This Row],[packages.first_hotel_name]],pilgrims[[#This Row],[packages.second_hotel_name]])</f>
        <v>Makkah Clock Royal Tower A Fairmont Hotel</v>
      </c>
      <c r="W3" s="1" t="str">
        <f>IF(pilgrims[[#This Row],[packages.second_hotel_name]]="",pilgrims[[#This Row],[packages.first_hotel_check_in]],pilgrims[[#This Row],[packages.second_hotel_check_in]])</f>
        <v>2026-05-21</v>
      </c>
      <c r="X3" s="1" t="str">
        <f>IF(pilgrims[[#This Row],[packages.second_hotel_name]]="",pilgrims[[#This Row],[packages.first_hotel_check_out]],pilgrims[[#This Row],[packages.second_hotel_check_out]])</f>
        <v>2026-05-25</v>
      </c>
      <c r="Y3" s="1" t="s">
        <v>16</v>
      </c>
      <c r="Z3" s="1" t="s">
        <v>214</v>
      </c>
      <c r="AA3" s="1" t="s">
        <v>1199</v>
      </c>
      <c r="AB3" s="1" t="s">
        <v>1199</v>
      </c>
      <c r="AC3" s="1" t="s">
        <v>212</v>
      </c>
      <c r="AD3" s="1" t="s">
        <v>61</v>
      </c>
      <c r="AE3" s="1" t="s">
        <v>1280</v>
      </c>
      <c r="AF3" s="4">
        <v>46160</v>
      </c>
      <c r="AG3" s="5">
        <v>0.57986111111111116</v>
      </c>
      <c r="AH3" s="1" t="s">
        <v>63</v>
      </c>
      <c r="AI3" s="1" t="s">
        <v>1280</v>
      </c>
      <c r="AJ3" s="4">
        <v>46172</v>
      </c>
      <c r="AK3" s="5">
        <v>0.3923611111111111</v>
      </c>
      <c r="AL3" s="1" t="s">
        <v>215</v>
      </c>
      <c r="AM3" s="1"/>
    </row>
    <row r="4" spans="1:39" x14ac:dyDescent="0.3">
      <c r="A4" s="1">
        <v>435303</v>
      </c>
      <c r="B4" s="1">
        <v>339871</v>
      </c>
      <c r="C4" s="1" t="s">
        <v>1188</v>
      </c>
      <c r="D4" s="38" t="s">
        <v>1523</v>
      </c>
      <c r="E4" s="4">
        <v>21059</v>
      </c>
      <c r="F4" s="1">
        <v>68</v>
      </c>
      <c r="G4" s="1" t="s">
        <v>212</v>
      </c>
      <c r="H4" s="1" t="s">
        <v>1501</v>
      </c>
      <c r="I4" s="1" t="s">
        <v>1501</v>
      </c>
      <c r="J4" s="1">
        <v>8528</v>
      </c>
      <c r="K4" s="1" t="s">
        <v>81</v>
      </c>
      <c r="L4" s="1" t="s">
        <v>19</v>
      </c>
      <c r="M4" s="1" t="s">
        <v>6</v>
      </c>
      <c r="N4" s="1" t="s">
        <v>10</v>
      </c>
      <c r="O4" s="1" t="s">
        <v>216</v>
      </c>
      <c r="P4" s="1" t="s">
        <v>52</v>
      </c>
      <c r="Q4" s="1" t="s">
        <v>19</v>
      </c>
      <c r="R4" s="1" t="s">
        <v>8</v>
      </c>
      <c r="S4" s="1" t="s">
        <v>12</v>
      </c>
      <c r="T4" s="1" t="s">
        <v>53</v>
      </c>
      <c r="U4" s="1" t="s">
        <v>8</v>
      </c>
      <c r="V4" s="1" t="str">
        <f>IF(pilgrims[[#This Row],[packages.second_hotel_name]]="",pilgrims[[#This Row],[packages.first_hotel_name]],pilgrims[[#This Row],[packages.second_hotel_name]])</f>
        <v>Makkah Clock Royal Tower A Fairmont Hotel</v>
      </c>
      <c r="W4" s="1" t="str">
        <f>IF(pilgrims[[#This Row],[packages.second_hotel_name]]="",pilgrims[[#This Row],[packages.first_hotel_check_in]],pilgrims[[#This Row],[packages.second_hotel_check_in]])</f>
        <v>2026-05-21</v>
      </c>
      <c r="X4" s="1" t="str">
        <f>IF(pilgrims[[#This Row],[packages.second_hotel_name]]="",pilgrims[[#This Row],[packages.first_hotel_check_out]],pilgrims[[#This Row],[packages.second_hotel_check_out]])</f>
        <v>2026-05-25</v>
      </c>
      <c r="Y4" s="1" t="s">
        <v>16</v>
      </c>
      <c r="Z4" s="1" t="s">
        <v>214</v>
      </c>
      <c r="AA4" s="1" t="s">
        <v>1193</v>
      </c>
      <c r="AB4" s="1" t="s">
        <v>1193</v>
      </c>
      <c r="AC4" s="1" t="s">
        <v>212</v>
      </c>
      <c r="AD4" s="1" t="s">
        <v>134</v>
      </c>
      <c r="AE4" s="1" t="s">
        <v>1281</v>
      </c>
      <c r="AF4" s="4">
        <v>46160</v>
      </c>
      <c r="AG4" s="5">
        <v>0.73958333333333337</v>
      </c>
      <c r="AH4" s="1" t="s">
        <v>63</v>
      </c>
      <c r="AI4" s="1" t="s">
        <v>1280</v>
      </c>
      <c r="AJ4" s="4">
        <v>46172</v>
      </c>
      <c r="AK4" s="5">
        <v>0.35069444444444442</v>
      </c>
      <c r="AL4" s="1" t="s">
        <v>215</v>
      </c>
      <c r="AM4" s="1"/>
    </row>
    <row r="5" spans="1:39" x14ac:dyDescent="0.3">
      <c r="A5" s="1">
        <v>474964</v>
      </c>
      <c r="B5" s="1">
        <v>372721</v>
      </c>
      <c r="C5" s="1" t="s">
        <v>1188</v>
      </c>
      <c r="D5" s="38" t="s">
        <v>1524</v>
      </c>
      <c r="E5" s="4">
        <v>19735</v>
      </c>
      <c r="F5" s="1">
        <v>72</v>
      </c>
      <c r="G5" s="1" t="s">
        <v>212</v>
      </c>
      <c r="H5" s="1" t="s">
        <v>1501</v>
      </c>
      <c r="I5" s="1" t="s">
        <v>1501</v>
      </c>
      <c r="J5" s="1">
        <v>8528</v>
      </c>
      <c r="K5" s="1" t="s">
        <v>81</v>
      </c>
      <c r="L5" s="1" t="s">
        <v>19</v>
      </c>
      <c r="M5" s="1" t="s">
        <v>6</v>
      </c>
      <c r="N5" s="1" t="s">
        <v>10</v>
      </c>
      <c r="O5" s="1" t="s">
        <v>216</v>
      </c>
      <c r="P5" s="1" t="s">
        <v>52</v>
      </c>
      <c r="Q5" s="1" t="s">
        <v>19</v>
      </c>
      <c r="R5" s="1" t="s">
        <v>8</v>
      </c>
      <c r="S5" s="1" t="s">
        <v>12</v>
      </c>
      <c r="T5" s="1" t="s">
        <v>53</v>
      </c>
      <c r="U5" s="1" t="s">
        <v>8</v>
      </c>
      <c r="V5" s="1" t="str">
        <f>IF(pilgrims[[#This Row],[packages.second_hotel_name]]="",pilgrims[[#This Row],[packages.first_hotel_name]],pilgrims[[#This Row],[packages.second_hotel_name]])</f>
        <v>Makkah Clock Royal Tower A Fairmont Hotel</v>
      </c>
      <c r="W5" s="1" t="str">
        <f>IF(pilgrims[[#This Row],[packages.second_hotel_name]]="",pilgrims[[#This Row],[packages.first_hotel_check_in]],pilgrims[[#This Row],[packages.second_hotel_check_in]])</f>
        <v>2026-05-21</v>
      </c>
      <c r="X5" s="1" t="str">
        <f>IF(pilgrims[[#This Row],[packages.second_hotel_name]]="",pilgrims[[#This Row],[packages.first_hotel_check_out]],pilgrims[[#This Row],[packages.second_hotel_check_out]])</f>
        <v>2026-05-25</v>
      </c>
      <c r="Y5" s="1" t="s">
        <v>16</v>
      </c>
      <c r="Z5" s="1" t="s">
        <v>214</v>
      </c>
      <c r="AA5" s="1" t="s">
        <v>1202</v>
      </c>
      <c r="AB5" s="1" t="s">
        <v>1202</v>
      </c>
      <c r="AC5" s="1" t="s">
        <v>212</v>
      </c>
      <c r="AD5" s="1" t="s">
        <v>136</v>
      </c>
      <c r="AE5" s="1" t="s">
        <v>1281</v>
      </c>
      <c r="AF5" s="4">
        <v>46160</v>
      </c>
      <c r="AG5" s="5">
        <v>0.1076388888888889</v>
      </c>
      <c r="AH5" s="1" t="s">
        <v>71</v>
      </c>
      <c r="AI5" s="1" t="s">
        <v>1280</v>
      </c>
      <c r="AJ5" s="4">
        <v>46172</v>
      </c>
      <c r="AK5" s="5">
        <v>0.40972222222222221</v>
      </c>
      <c r="AL5" s="1" t="s">
        <v>215</v>
      </c>
      <c r="AM5" s="1"/>
    </row>
    <row r="6" spans="1:39" x14ac:dyDescent="0.3">
      <c r="A6" s="1">
        <v>680990</v>
      </c>
      <c r="B6" s="1">
        <v>553573</v>
      </c>
      <c r="C6" s="1" t="s">
        <v>1188</v>
      </c>
      <c r="D6" s="38" t="s">
        <v>1525</v>
      </c>
      <c r="E6" s="4">
        <v>34729</v>
      </c>
      <c r="F6" s="1">
        <v>31</v>
      </c>
      <c r="G6" s="1" t="s">
        <v>212</v>
      </c>
      <c r="H6" s="1" t="s">
        <v>1502</v>
      </c>
      <c r="I6" s="1" t="s">
        <v>1502</v>
      </c>
      <c r="J6" s="1">
        <v>8528</v>
      </c>
      <c r="K6" s="1" t="s">
        <v>81</v>
      </c>
      <c r="L6" s="1" t="s">
        <v>19</v>
      </c>
      <c r="M6" s="1" t="s">
        <v>6</v>
      </c>
      <c r="N6" s="1" t="s">
        <v>10</v>
      </c>
      <c r="O6" s="1" t="s">
        <v>216</v>
      </c>
      <c r="P6" s="1" t="s">
        <v>52</v>
      </c>
      <c r="Q6" s="1" t="s">
        <v>19</v>
      </c>
      <c r="R6" s="1" t="s">
        <v>8</v>
      </c>
      <c r="S6" s="1" t="s">
        <v>12</v>
      </c>
      <c r="T6" s="1" t="s">
        <v>53</v>
      </c>
      <c r="U6" s="1" t="s">
        <v>8</v>
      </c>
      <c r="V6" s="1" t="str">
        <f>IF(pilgrims[[#This Row],[packages.second_hotel_name]]="",pilgrims[[#This Row],[packages.first_hotel_name]],pilgrims[[#This Row],[packages.second_hotel_name]])</f>
        <v>Makkah Clock Royal Tower A Fairmont Hotel</v>
      </c>
      <c r="W6" s="1" t="str">
        <f>IF(pilgrims[[#This Row],[packages.second_hotel_name]]="",pilgrims[[#This Row],[packages.first_hotel_check_in]],pilgrims[[#This Row],[packages.second_hotel_check_in]])</f>
        <v>2026-05-21</v>
      </c>
      <c r="X6" s="1" t="str">
        <f>IF(pilgrims[[#This Row],[packages.second_hotel_name]]="",pilgrims[[#This Row],[packages.first_hotel_check_out]],pilgrims[[#This Row],[packages.second_hotel_check_out]])</f>
        <v>2026-05-25</v>
      </c>
      <c r="Y6" s="1" t="s">
        <v>16</v>
      </c>
      <c r="Z6" s="1" t="s">
        <v>214</v>
      </c>
      <c r="AA6" s="1" t="s">
        <v>1209</v>
      </c>
      <c r="AB6" s="1" t="s">
        <v>1209</v>
      </c>
      <c r="AC6" s="1" t="s">
        <v>212</v>
      </c>
      <c r="AD6" s="1" t="s">
        <v>134</v>
      </c>
      <c r="AE6" s="1" t="s">
        <v>1281</v>
      </c>
      <c r="AF6" s="4">
        <v>46160</v>
      </c>
      <c r="AG6" s="5">
        <v>0.73958333333333337</v>
      </c>
      <c r="AH6" s="1" t="s">
        <v>68</v>
      </c>
      <c r="AI6" s="1" t="s">
        <v>1280</v>
      </c>
      <c r="AJ6" s="4">
        <v>46172</v>
      </c>
      <c r="AK6" s="5">
        <v>0.38541666666666669</v>
      </c>
      <c r="AL6" s="1" t="s">
        <v>215</v>
      </c>
      <c r="AM6" s="1"/>
    </row>
    <row r="7" spans="1:39" x14ac:dyDescent="0.3">
      <c r="A7" s="1">
        <v>696957</v>
      </c>
      <c r="B7" s="1">
        <v>553573</v>
      </c>
      <c r="C7" s="1" t="s">
        <v>1188</v>
      </c>
      <c r="D7" s="38" t="s">
        <v>1526</v>
      </c>
      <c r="E7" s="4">
        <v>24025</v>
      </c>
      <c r="F7" s="1">
        <v>60</v>
      </c>
      <c r="G7" s="1" t="s">
        <v>212</v>
      </c>
      <c r="H7" s="1" t="s">
        <v>1502</v>
      </c>
      <c r="I7" s="1" t="s">
        <v>1502</v>
      </c>
      <c r="J7" s="1">
        <v>8528</v>
      </c>
      <c r="K7" s="1" t="s">
        <v>81</v>
      </c>
      <c r="L7" s="1" t="s">
        <v>19</v>
      </c>
      <c r="M7" s="1" t="s">
        <v>6</v>
      </c>
      <c r="N7" s="1" t="s">
        <v>10</v>
      </c>
      <c r="O7" s="1" t="s">
        <v>216</v>
      </c>
      <c r="P7" s="1" t="s">
        <v>52</v>
      </c>
      <c r="Q7" s="1" t="s">
        <v>19</v>
      </c>
      <c r="R7" s="1" t="s">
        <v>8</v>
      </c>
      <c r="S7" s="1" t="s">
        <v>12</v>
      </c>
      <c r="T7" s="1" t="s">
        <v>53</v>
      </c>
      <c r="U7" s="1" t="s">
        <v>8</v>
      </c>
      <c r="V7" s="1" t="str">
        <f>IF(pilgrims[[#This Row],[packages.second_hotel_name]]="",pilgrims[[#This Row],[packages.first_hotel_name]],pilgrims[[#This Row],[packages.second_hotel_name]])</f>
        <v>Makkah Clock Royal Tower A Fairmont Hotel</v>
      </c>
      <c r="W7" s="1" t="str">
        <f>IF(pilgrims[[#This Row],[packages.second_hotel_name]]="",pilgrims[[#This Row],[packages.first_hotel_check_in]],pilgrims[[#This Row],[packages.second_hotel_check_in]])</f>
        <v>2026-05-21</v>
      </c>
      <c r="X7" s="1" t="str">
        <f>IF(pilgrims[[#This Row],[packages.second_hotel_name]]="",pilgrims[[#This Row],[packages.first_hotel_check_out]],pilgrims[[#This Row],[packages.second_hotel_check_out]])</f>
        <v>2026-05-25</v>
      </c>
      <c r="Y7" s="1" t="s">
        <v>16</v>
      </c>
      <c r="Z7" s="1" t="s">
        <v>214</v>
      </c>
      <c r="AA7" s="1" t="s">
        <v>1209</v>
      </c>
      <c r="AB7" s="1" t="s">
        <v>1209</v>
      </c>
      <c r="AC7" s="1" t="s">
        <v>212</v>
      </c>
      <c r="AD7" s="1" t="s">
        <v>134</v>
      </c>
      <c r="AE7" s="1" t="s">
        <v>1281</v>
      </c>
      <c r="AF7" s="4">
        <v>46160</v>
      </c>
      <c r="AG7" s="5">
        <v>0.73958333333333337</v>
      </c>
      <c r="AH7" s="1" t="s">
        <v>68</v>
      </c>
      <c r="AI7" s="1" t="s">
        <v>1280</v>
      </c>
      <c r="AJ7" s="4">
        <v>46172</v>
      </c>
      <c r="AK7" s="5">
        <v>0.38541666666666669</v>
      </c>
      <c r="AL7" s="1" t="s">
        <v>215</v>
      </c>
      <c r="AM7" s="1"/>
    </row>
    <row r="8" spans="1:39" x14ac:dyDescent="0.3">
      <c r="A8" s="1">
        <v>614787</v>
      </c>
      <c r="B8" s="1">
        <v>496137</v>
      </c>
      <c r="C8" s="1" t="s">
        <v>1189</v>
      </c>
      <c r="D8" s="38" t="s">
        <v>1527</v>
      </c>
      <c r="E8" s="4">
        <v>31237</v>
      </c>
      <c r="F8" s="1">
        <v>40</v>
      </c>
      <c r="G8" s="1" t="s">
        <v>212</v>
      </c>
      <c r="H8" s="1" t="s">
        <v>1501</v>
      </c>
      <c r="I8" s="1" t="s">
        <v>1501</v>
      </c>
      <c r="J8" s="1">
        <v>8529</v>
      </c>
      <c r="K8" s="1" t="s">
        <v>82</v>
      </c>
      <c r="L8" s="1" t="s">
        <v>19</v>
      </c>
      <c r="M8" s="1" t="s">
        <v>13</v>
      </c>
      <c r="N8" s="1" t="s">
        <v>20</v>
      </c>
      <c r="O8" s="1" t="s">
        <v>216</v>
      </c>
      <c r="P8" s="1" t="s">
        <v>53</v>
      </c>
      <c r="Q8" s="1" t="s">
        <v>19</v>
      </c>
      <c r="R8" s="1" t="s">
        <v>8</v>
      </c>
      <c r="S8" s="1" t="s">
        <v>21</v>
      </c>
      <c r="T8" s="1" t="s">
        <v>53</v>
      </c>
      <c r="U8" s="1" t="s">
        <v>8</v>
      </c>
      <c r="V8" s="1" t="str">
        <f>IF(pilgrims[[#This Row],[packages.second_hotel_name]]="",pilgrims[[#This Row],[packages.first_hotel_name]],pilgrims[[#This Row],[packages.second_hotel_name]])</f>
        <v>Swissotel Makkah Hotel</v>
      </c>
      <c r="W8" s="1" t="str">
        <f>IF(pilgrims[[#This Row],[packages.second_hotel_name]]="",pilgrims[[#This Row],[packages.first_hotel_check_in]],pilgrims[[#This Row],[packages.second_hotel_check_in]])</f>
        <v>2026-05-21</v>
      </c>
      <c r="X8" s="1" t="str">
        <f>IF(pilgrims[[#This Row],[packages.second_hotel_name]]="",pilgrims[[#This Row],[packages.first_hotel_check_out]],pilgrims[[#This Row],[packages.second_hotel_check_out]])</f>
        <v>2026-05-25</v>
      </c>
      <c r="Y8" s="1" t="s">
        <v>16</v>
      </c>
      <c r="Z8" s="1" t="s">
        <v>214</v>
      </c>
      <c r="AA8" s="1" t="s">
        <v>1193</v>
      </c>
      <c r="AB8" s="1" t="s">
        <v>1193</v>
      </c>
      <c r="AC8" s="1" t="s">
        <v>212</v>
      </c>
      <c r="AD8" s="1" t="s">
        <v>134</v>
      </c>
      <c r="AE8" s="1" t="s">
        <v>1281</v>
      </c>
      <c r="AF8" s="4">
        <v>46160</v>
      </c>
      <c r="AG8" s="5">
        <v>0.73958333333333337</v>
      </c>
      <c r="AH8" s="1" t="s">
        <v>63</v>
      </c>
      <c r="AI8" s="1" t="s">
        <v>1280</v>
      </c>
      <c r="AJ8" s="4">
        <v>46172</v>
      </c>
      <c r="AK8" s="5">
        <v>0.35069444444444442</v>
      </c>
      <c r="AL8" s="1" t="s">
        <v>215</v>
      </c>
      <c r="AM8" s="1"/>
    </row>
    <row r="9" spans="1:39" x14ac:dyDescent="0.3">
      <c r="A9" s="1">
        <v>616066</v>
      </c>
      <c r="B9" s="1">
        <v>496137</v>
      </c>
      <c r="C9" s="1" t="s">
        <v>1188</v>
      </c>
      <c r="D9" s="38" t="s">
        <v>1528</v>
      </c>
      <c r="E9" s="4">
        <v>32646</v>
      </c>
      <c r="F9" s="1">
        <v>36</v>
      </c>
      <c r="G9" s="1" t="s">
        <v>212</v>
      </c>
      <c r="H9" s="1" t="s">
        <v>1501</v>
      </c>
      <c r="I9" s="1" t="s">
        <v>1501</v>
      </c>
      <c r="J9" s="1">
        <v>8529</v>
      </c>
      <c r="K9" s="1" t="s">
        <v>82</v>
      </c>
      <c r="L9" s="1" t="s">
        <v>19</v>
      </c>
      <c r="M9" s="1" t="s">
        <v>13</v>
      </c>
      <c r="N9" s="1" t="s">
        <v>20</v>
      </c>
      <c r="O9" s="1" t="s">
        <v>216</v>
      </c>
      <c r="P9" s="1" t="s">
        <v>53</v>
      </c>
      <c r="Q9" s="1" t="s">
        <v>19</v>
      </c>
      <c r="R9" s="1" t="s">
        <v>8</v>
      </c>
      <c r="S9" s="1" t="s">
        <v>21</v>
      </c>
      <c r="T9" s="1" t="s">
        <v>53</v>
      </c>
      <c r="U9" s="1" t="s">
        <v>8</v>
      </c>
      <c r="V9" s="1" t="str">
        <f>IF(pilgrims[[#This Row],[packages.second_hotel_name]]="",pilgrims[[#This Row],[packages.first_hotel_name]],pilgrims[[#This Row],[packages.second_hotel_name]])</f>
        <v>Swissotel Makkah Hotel</v>
      </c>
      <c r="W9" s="1" t="str">
        <f>IF(pilgrims[[#This Row],[packages.second_hotel_name]]="",pilgrims[[#This Row],[packages.first_hotel_check_in]],pilgrims[[#This Row],[packages.second_hotel_check_in]])</f>
        <v>2026-05-21</v>
      </c>
      <c r="X9" s="1" t="str">
        <f>IF(pilgrims[[#This Row],[packages.second_hotel_name]]="",pilgrims[[#This Row],[packages.first_hotel_check_out]],pilgrims[[#This Row],[packages.second_hotel_check_out]])</f>
        <v>2026-05-25</v>
      </c>
      <c r="Y9" s="1" t="s">
        <v>16</v>
      </c>
      <c r="Z9" s="1" t="s">
        <v>214</v>
      </c>
      <c r="AA9" s="1" t="s">
        <v>1193</v>
      </c>
      <c r="AB9" s="1" t="s">
        <v>1193</v>
      </c>
      <c r="AC9" s="1" t="s">
        <v>212</v>
      </c>
      <c r="AD9" s="1" t="s">
        <v>134</v>
      </c>
      <c r="AE9" s="1" t="s">
        <v>1281</v>
      </c>
      <c r="AF9" s="4">
        <v>46160</v>
      </c>
      <c r="AG9" s="5">
        <v>0.73958333333333337</v>
      </c>
      <c r="AH9" s="1" t="s">
        <v>63</v>
      </c>
      <c r="AI9" s="1" t="s">
        <v>1280</v>
      </c>
      <c r="AJ9" s="4">
        <v>46172</v>
      </c>
      <c r="AK9" s="5">
        <v>0.35069444444444442</v>
      </c>
      <c r="AL9" s="1" t="s">
        <v>215</v>
      </c>
      <c r="AM9" s="1"/>
    </row>
    <row r="10" spans="1:39" x14ac:dyDescent="0.3">
      <c r="A10" s="1">
        <v>616178</v>
      </c>
      <c r="B10" s="1">
        <v>496137</v>
      </c>
      <c r="C10" s="1" t="s">
        <v>1189</v>
      </c>
      <c r="D10" s="38" t="s">
        <v>1529</v>
      </c>
      <c r="E10" s="4">
        <v>33222</v>
      </c>
      <c r="F10" s="1">
        <v>35</v>
      </c>
      <c r="G10" s="1" t="s">
        <v>212</v>
      </c>
      <c r="H10" s="1" t="s">
        <v>1501</v>
      </c>
      <c r="I10" s="1" t="s">
        <v>1501</v>
      </c>
      <c r="J10" s="1">
        <v>8529</v>
      </c>
      <c r="K10" s="1" t="s">
        <v>82</v>
      </c>
      <c r="L10" s="1" t="s">
        <v>19</v>
      </c>
      <c r="M10" s="1" t="s">
        <v>13</v>
      </c>
      <c r="N10" s="1" t="s">
        <v>20</v>
      </c>
      <c r="O10" s="1" t="s">
        <v>216</v>
      </c>
      <c r="P10" s="1" t="s">
        <v>53</v>
      </c>
      <c r="Q10" s="1" t="s">
        <v>19</v>
      </c>
      <c r="R10" s="1" t="s">
        <v>8</v>
      </c>
      <c r="S10" s="1" t="s">
        <v>21</v>
      </c>
      <c r="T10" s="1" t="s">
        <v>53</v>
      </c>
      <c r="U10" s="1" t="s">
        <v>8</v>
      </c>
      <c r="V10" s="1" t="str">
        <f>IF(pilgrims[[#This Row],[packages.second_hotel_name]]="",pilgrims[[#This Row],[packages.first_hotel_name]],pilgrims[[#This Row],[packages.second_hotel_name]])</f>
        <v>Swissotel Makkah Hotel</v>
      </c>
      <c r="W10" s="1" t="str">
        <f>IF(pilgrims[[#This Row],[packages.second_hotel_name]]="",pilgrims[[#This Row],[packages.first_hotel_check_in]],pilgrims[[#This Row],[packages.second_hotel_check_in]])</f>
        <v>2026-05-21</v>
      </c>
      <c r="X10" s="1" t="str">
        <f>IF(pilgrims[[#This Row],[packages.second_hotel_name]]="",pilgrims[[#This Row],[packages.first_hotel_check_out]],pilgrims[[#This Row],[packages.second_hotel_check_out]])</f>
        <v>2026-05-25</v>
      </c>
      <c r="Y10" s="1" t="s">
        <v>16</v>
      </c>
      <c r="Z10" s="1" t="s">
        <v>214</v>
      </c>
      <c r="AA10" s="1" t="s">
        <v>1193</v>
      </c>
      <c r="AB10" s="1" t="s">
        <v>1193</v>
      </c>
      <c r="AC10" s="1" t="s">
        <v>212</v>
      </c>
      <c r="AD10" s="1" t="s">
        <v>134</v>
      </c>
      <c r="AE10" s="1" t="s">
        <v>1281</v>
      </c>
      <c r="AF10" s="4">
        <v>46160</v>
      </c>
      <c r="AG10" s="5">
        <v>0.73958333333333337</v>
      </c>
      <c r="AH10" s="1" t="s">
        <v>63</v>
      </c>
      <c r="AI10" s="1" t="s">
        <v>1280</v>
      </c>
      <c r="AJ10" s="4">
        <v>46172</v>
      </c>
      <c r="AK10" s="5">
        <v>0.35069444444444442</v>
      </c>
      <c r="AL10" s="1" t="s">
        <v>215</v>
      </c>
      <c r="AM10" s="1"/>
    </row>
    <row r="11" spans="1:39" x14ac:dyDescent="0.3">
      <c r="A11" s="1">
        <v>641142</v>
      </c>
      <c r="B11" s="1">
        <v>496137</v>
      </c>
      <c r="C11" s="1" t="s">
        <v>1188</v>
      </c>
      <c r="D11" s="38" t="s">
        <v>1530</v>
      </c>
      <c r="E11" s="4">
        <v>29913</v>
      </c>
      <c r="F11" s="1">
        <v>44</v>
      </c>
      <c r="G11" s="1" t="s">
        <v>212</v>
      </c>
      <c r="H11" s="1" t="s">
        <v>1501</v>
      </c>
      <c r="I11" s="1" t="s">
        <v>1501</v>
      </c>
      <c r="J11" s="1">
        <v>8529</v>
      </c>
      <c r="K11" s="1" t="s">
        <v>82</v>
      </c>
      <c r="L11" s="1" t="s">
        <v>19</v>
      </c>
      <c r="M11" s="1" t="s">
        <v>13</v>
      </c>
      <c r="N11" s="1" t="s">
        <v>20</v>
      </c>
      <c r="O11" s="1" t="s">
        <v>216</v>
      </c>
      <c r="P11" s="1" t="s">
        <v>53</v>
      </c>
      <c r="Q11" s="1" t="s">
        <v>19</v>
      </c>
      <c r="R11" s="1" t="s">
        <v>8</v>
      </c>
      <c r="S11" s="1" t="s">
        <v>21</v>
      </c>
      <c r="T11" s="1" t="s">
        <v>53</v>
      </c>
      <c r="U11" s="1" t="s">
        <v>8</v>
      </c>
      <c r="V11" s="1" t="str">
        <f>IF(pilgrims[[#This Row],[packages.second_hotel_name]]="",pilgrims[[#This Row],[packages.first_hotel_name]],pilgrims[[#This Row],[packages.second_hotel_name]])</f>
        <v>Swissotel Makkah Hotel</v>
      </c>
      <c r="W11" s="1" t="str">
        <f>IF(pilgrims[[#This Row],[packages.second_hotel_name]]="",pilgrims[[#This Row],[packages.first_hotel_check_in]],pilgrims[[#This Row],[packages.second_hotel_check_in]])</f>
        <v>2026-05-21</v>
      </c>
      <c r="X11" s="1" t="str">
        <f>IF(pilgrims[[#This Row],[packages.second_hotel_name]]="",pilgrims[[#This Row],[packages.first_hotel_check_out]],pilgrims[[#This Row],[packages.second_hotel_check_out]])</f>
        <v>2026-05-25</v>
      </c>
      <c r="Y11" s="1" t="s">
        <v>16</v>
      </c>
      <c r="Z11" s="1" t="s">
        <v>214</v>
      </c>
      <c r="AA11" s="1" t="s">
        <v>1193</v>
      </c>
      <c r="AB11" s="1" t="s">
        <v>1193</v>
      </c>
      <c r="AC11" s="1" t="s">
        <v>212</v>
      </c>
      <c r="AD11" s="1" t="s">
        <v>134</v>
      </c>
      <c r="AE11" s="1" t="s">
        <v>1281</v>
      </c>
      <c r="AF11" s="4">
        <v>46160</v>
      </c>
      <c r="AG11" s="5">
        <v>0.73958333333333337</v>
      </c>
      <c r="AH11" s="1" t="s">
        <v>63</v>
      </c>
      <c r="AI11" s="1" t="s">
        <v>1280</v>
      </c>
      <c r="AJ11" s="4">
        <v>46172</v>
      </c>
      <c r="AK11" s="5">
        <v>0.35069444444444442</v>
      </c>
      <c r="AL11" s="1" t="s">
        <v>215</v>
      </c>
      <c r="AM11" s="1"/>
    </row>
    <row r="12" spans="1:39" x14ac:dyDescent="0.3">
      <c r="A12" s="1">
        <v>641024</v>
      </c>
      <c r="B12" s="1">
        <v>519803</v>
      </c>
      <c r="C12" s="1" t="s">
        <v>1189</v>
      </c>
      <c r="D12" s="38" t="s">
        <v>1531</v>
      </c>
      <c r="E12" s="4">
        <v>33177</v>
      </c>
      <c r="F12" s="1">
        <v>35</v>
      </c>
      <c r="G12" s="1" t="s">
        <v>212</v>
      </c>
      <c r="H12" s="1" t="s">
        <v>1501</v>
      </c>
      <c r="I12" s="1" t="s">
        <v>1501</v>
      </c>
      <c r="J12" s="1">
        <v>8529</v>
      </c>
      <c r="K12" s="1" t="s">
        <v>82</v>
      </c>
      <c r="L12" s="1" t="s">
        <v>19</v>
      </c>
      <c r="M12" s="1" t="s">
        <v>13</v>
      </c>
      <c r="N12" s="1" t="s">
        <v>20</v>
      </c>
      <c r="O12" s="1" t="s">
        <v>216</v>
      </c>
      <c r="P12" s="1" t="s">
        <v>53</v>
      </c>
      <c r="Q12" s="1" t="s">
        <v>19</v>
      </c>
      <c r="R12" s="1" t="s">
        <v>8</v>
      </c>
      <c r="S12" s="1" t="s">
        <v>21</v>
      </c>
      <c r="T12" s="1" t="s">
        <v>53</v>
      </c>
      <c r="U12" s="1" t="s">
        <v>8</v>
      </c>
      <c r="V12" s="1" t="str">
        <f>IF(pilgrims[[#This Row],[packages.second_hotel_name]]="",pilgrims[[#This Row],[packages.first_hotel_name]],pilgrims[[#This Row],[packages.second_hotel_name]])</f>
        <v>Swissotel Makkah Hotel</v>
      </c>
      <c r="W12" s="1" t="str">
        <f>IF(pilgrims[[#This Row],[packages.second_hotel_name]]="",pilgrims[[#This Row],[packages.first_hotel_check_in]],pilgrims[[#This Row],[packages.second_hotel_check_in]])</f>
        <v>2026-05-21</v>
      </c>
      <c r="X12" s="1" t="str">
        <f>IF(pilgrims[[#This Row],[packages.second_hotel_name]]="",pilgrims[[#This Row],[packages.first_hotel_check_out]],pilgrims[[#This Row],[packages.second_hotel_check_out]])</f>
        <v>2026-05-25</v>
      </c>
      <c r="Y12" s="1" t="s">
        <v>16</v>
      </c>
      <c r="Z12" s="1" t="s">
        <v>214</v>
      </c>
      <c r="AA12" s="1" t="s">
        <v>1193</v>
      </c>
      <c r="AB12" s="1" t="s">
        <v>1193</v>
      </c>
      <c r="AC12" s="1" t="s">
        <v>212</v>
      </c>
      <c r="AD12" s="1" t="s">
        <v>134</v>
      </c>
      <c r="AE12" s="1" t="s">
        <v>1281</v>
      </c>
      <c r="AF12" s="4">
        <v>46160</v>
      </c>
      <c r="AG12" s="5">
        <v>0.73958333333333337</v>
      </c>
      <c r="AH12" s="1" t="s">
        <v>63</v>
      </c>
      <c r="AI12" s="1" t="s">
        <v>1280</v>
      </c>
      <c r="AJ12" s="4">
        <v>46172</v>
      </c>
      <c r="AK12" s="5">
        <v>0.35069444444444442</v>
      </c>
      <c r="AL12" s="1" t="s">
        <v>215</v>
      </c>
      <c r="AM12" s="1"/>
    </row>
    <row r="13" spans="1:39" x14ac:dyDescent="0.3">
      <c r="A13" s="1">
        <v>596729</v>
      </c>
      <c r="B13" s="1">
        <v>480379</v>
      </c>
      <c r="C13" s="1" t="s">
        <v>1189</v>
      </c>
      <c r="D13" s="38" t="s">
        <v>1532</v>
      </c>
      <c r="E13" s="4">
        <v>32534</v>
      </c>
      <c r="F13" s="1">
        <v>37</v>
      </c>
      <c r="G13" s="1" t="s">
        <v>212</v>
      </c>
      <c r="H13" s="1" t="s">
        <v>1501</v>
      </c>
      <c r="I13" s="1" t="s">
        <v>1501</v>
      </c>
      <c r="J13" s="1">
        <v>8529</v>
      </c>
      <c r="K13" s="1" t="s">
        <v>82</v>
      </c>
      <c r="L13" s="1" t="s">
        <v>19</v>
      </c>
      <c r="M13" s="1" t="s">
        <v>13</v>
      </c>
      <c r="N13" s="1" t="s">
        <v>20</v>
      </c>
      <c r="O13" s="1" t="s">
        <v>216</v>
      </c>
      <c r="P13" s="1" t="s">
        <v>53</v>
      </c>
      <c r="Q13" s="1" t="s">
        <v>19</v>
      </c>
      <c r="R13" s="1" t="s">
        <v>8</v>
      </c>
      <c r="S13" s="1" t="s">
        <v>21</v>
      </c>
      <c r="T13" s="1" t="s">
        <v>53</v>
      </c>
      <c r="U13" s="1" t="s">
        <v>8</v>
      </c>
      <c r="V13" s="1" t="str">
        <f>IF(pilgrims[[#This Row],[packages.second_hotel_name]]="",pilgrims[[#This Row],[packages.first_hotel_name]],pilgrims[[#This Row],[packages.second_hotel_name]])</f>
        <v>Swissotel Makkah Hotel</v>
      </c>
      <c r="W13" s="1" t="str">
        <f>IF(pilgrims[[#This Row],[packages.second_hotel_name]]="",pilgrims[[#This Row],[packages.first_hotel_check_in]],pilgrims[[#This Row],[packages.second_hotel_check_in]])</f>
        <v>2026-05-21</v>
      </c>
      <c r="X13" s="1" t="str">
        <f>IF(pilgrims[[#This Row],[packages.second_hotel_name]]="",pilgrims[[#This Row],[packages.first_hotel_check_out]],pilgrims[[#This Row],[packages.second_hotel_check_out]])</f>
        <v>2026-05-25</v>
      </c>
      <c r="Y13" s="1" t="s">
        <v>16</v>
      </c>
      <c r="Z13" s="1" t="s">
        <v>214</v>
      </c>
      <c r="AA13" s="1" t="s">
        <v>1202</v>
      </c>
      <c r="AB13" s="1" t="s">
        <v>1202</v>
      </c>
      <c r="AC13" s="1" t="s">
        <v>212</v>
      </c>
      <c r="AD13" s="1" t="s">
        <v>136</v>
      </c>
      <c r="AE13" s="1" t="s">
        <v>1281</v>
      </c>
      <c r="AF13" s="4">
        <v>46160</v>
      </c>
      <c r="AG13" s="5">
        <v>0.1076388888888889</v>
      </c>
      <c r="AH13" s="1" t="s">
        <v>71</v>
      </c>
      <c r="AI13" s="1" t="s">
        <v>1280</v>
      </c>
      <c r="AJ13" s="4">
        <v>46172</v>
      </c>
      <c r="AK13" s="5">
        <v>0.40972222222222221</v>
      </c>
      <c r="AL13" s="1" t="s">
        <v>215</v>
      </c>
      <c r="AM13" s="1"/>
    </row>
    <row r="14" spans="1:39" x14ac:dyDescent="0.3">
      <c r="A14" s="1">
        <v>642401</v>
      </c>
      <c r="B14" s="1">
        <v>519803</v>
      </c>
      <c r="C14" s="1" t="s">
        <v>1189</v>
      </c>
      <c r="D14" s="38" t="s">
        <v>1533</v>
      </c>
      <c r="E14" s="4">
        <v>34238</v>
      </c>
      <c r="F14" s="1">
        <v>32</v>
      </c>
      <c r="G14" s="1" t="s">
        <v>212</v>
      </c>
      <c r="H14" s="1" t="s">
        <v>1501</v>
      </c>
      <c r="I14" s="1" t="s">
        <v>1501</v>
      </c>
      <c r="J14" s="1">
        <v>8529</v>
      </c>
      <c r="K14" s="1" t="s">
        <v>82</v>
      </c>
      <c r="L14" s="1" t="s">
        <v>19</v>
      </c>
      <c r="M14" s="1" t="s">
        <v>13</v>
      </c>
      <c r="N14" s="1" t="s">
        <v>20</v>
      </c>
      <c r="O14" s="1" t="s">
        <v>216</v>
      </c>
      <c r="P14" s="1" t="s">
        <v>53</v>
      </c>
      <c r="Q14" s="1" t="s">
        <v>19</v>
      </c>
      <c r="R14" s="1" t="s">
        <v>8</v>
      </c>
      <c r="S14" s="1" t="s">
        <v>21</v>
      </c>
      <c r="T14" s="1" t="s">
        <v>53</v>
      </c>
      <c r="U14" s="1" t="s">
        <v>8</v>
      </c>
      <c r="V14" s="1" t="str">
        <f>IF(pilgrims[[#This Row],[packages.second_hotel_name]]="",pilgrims[[#This Row],[packages.first_hotel_name]],pilgrims[[#This Row],[packages.second_hotel_name]])</f>
        <v>Swissotel Makkah Hotel</v>
      </c>
      <c r="W14" s="1" t="str">
        <f>IF(pilgrims[[#This Row],[packages.second_hotel_name]]="",pilgrims[[#This Row],[packages.first_hotel_check_in]],pilgrims[[#This Row],[packages.second_hotel_check_in]])</f>
        <v>2026-05-21</v>
      </c>
      <c r="X14" s="1" t="str">
        <f>IF(pilgrims[[#This Row],[packages.second_hotel_name]]="",pilgrims[[#This Row],[packages.first_hotel_check_out]],pilgrims[[#This Row],[packages.second_hotel_check_out]])</f>
        <v>2026-05-25</v>
      </c>
      <c r="Y14" s="1" t="s">
        <v>16</v>
      </c>
      <c r="Z14" s="1" t="s">
        <v>214</v>
      </c>
      <c r="AA14" s="1" t="s">
        <v>1193</v>
      </c>
      <c r="AB14" s="1" t="s">
        <v>1193</v>
      </c>
      <c r="AC14" s="1" t="s">
        <v>212</v>
      </c>
      <c r="AD14" s="1" t="s">
        <v>134</v>
      </c>
      <c r="AE14" s="1" t="s">
        <v>1281</v>
      </c>
      <c r="AF14" s="4">
        <v>46160</v>
      </c>
      <c r="AG14" s="5">
        <v>0.73958333333333337</v>
      </c>
      <c r="AH14" s="1" t="s">
        <v>63</v>
      </c>
      <c r="AI14" s="1" t="s">
        <v>1280</v>
      </c>
      <c r="AJ14" s="4">
        <v>46172</v>
      </c>
      <c r="AK14" s="5">
        <v>0.35069444444444442</v>
      </c>
      <c r="AL14" s="1" t="s">
        <v>215</v>
      </c>
      <c r="AM14" s="1"/>
    </row>
    <row r="15" spans="1:39" x14ac:dyDescent="0.3">
      <c r="A15" s="1">
        <v>642425</v>
      </c>
      <c r="B15" s="1">
        <v>519803</v>
      </c>
      <c r="C15" s="1" t="s">
        <v>1189</v>
      </c>
      <c r="D15" s="38" t="s">
        <v>1534</v>
      </c>
      <c r="E15" s="4">
        <v>36343</v>
      </c>
      <c r="F15" s="1">
        <v>26</v>
      </c>
      <c r="G15" s="1" t="s">
        <v>212</v>
      </c>
      <c r="H15" s="1" t="s">
        <v>1501</v>
      </c>
      <c r="I15" s="1" t="s">
        <v>1501</v>
      </c>
      <c r="J15" s="1">
        <v>8529</v>
      </c>
      <c r="K15" s="1" t="s">
        <v>82</v>
      </c>
      <c r="L15" s="1" t="s">
        <v>19</v>
      </c>
      <c r="M15" s="1" t="s">
        <v>13</v>
      </c>
      <c r="N15" s="1" t="s">
        <v>20</v>
      </c>
      <c r="O15" s="1" t="s">
        <v>216</v>
      </c>
      <c r="P15" s="1" t="s">
        <v>53</v>
      </c>
      <c r="Q15" s="1" t="s">
        <v>19</v>
      </c>
      <c r="R15" s="1" t="s">
        <v>8</v>
      </c>
      <c r="S15" s="1" t="s">
        <v>21</v>
      </c>
      <c r="T15" s="1" t="s">
        <v>53</v>
      </c>
      <c r="U15" s="1" t="s">
        <v>8</v>
      </c>
      <c r="V15" s="1" t="str">
        <f>IF(pilgrims[[#This Row],[packages.second_hotel_name]]="",pilgrims[[#This Row],[packages.first_hotel_name]],pilgrims[[#This Row],[packages.second_hotel_name]])</f>
        <v>Swissotel Makkah Hotel</v>
      </c>
      <c r="W15" s="1" t="str">
        <f>IF(pilgrims[[#This Row],[packages.second_hotel_name]]="",pilgrims[[#This Row],[packages.first_hotel_check_in]],pilgrims[[#This Row],[packages.second_hotel_check_in]])</f>
        <v>2026-05-21</v>
      </c>
      <c r="X15" s="1" t="str">
        <f>IF(pilgrims[[#This Row],[packages.second_hotel_name]]="",pilgrims[[#This Row],[packages.first_hotel_check_out]],pilgrims[[#This Row],[packages.second_hotel_check_out]])</f>
        <v>2026-05-25</v>
      </c>
      <c r="Y15" s="1" t="s">
        <v>16</v>
      </c>
      <c r="Z15" s="1" t="s">
        <v>214</v>
      </c>
      <c r="AA15" s="1" t="s">
        <v>1193</v>
      </c>
      <c r="AB15" s="1" t="s">
        <v>1193</v>
      </c>
      <c r="AC15" s="1" t="s">
        <v>212</v>
      </c>
      <c r="AD15" s="1" t="s">
        <v>134</v>
      </c>
      <c r="AE15" s="1" t="s">
        <v>1281</v>
      </c>
      <c r="AF15" s="4">
        <v>46160</v>
      </c>
      <c r="AG15" s="5">
        <v>0.73958333333333337</v>
      </c>
      <c r="AH15" s="1" t="s">
        <v>63</v>
      </c>
      <c r="AI15" s="1" t="s">
        <v>1280</v>
      </c>
      <c r="AJ15" s="4">
        <v>46172</v>
      </c>
      <c r="AK15" s="5">
        <v>0.35069444444444442</v>
      </c>
      <c r="AL15" s="1" t="s">
        <v>215</v>
      </c>
      <c r="AM15" s="1"/>
    </row>
    <row r="16" spans="1:39" x14ac:dyDescent="0.3">
      <c r="A16" s="1">
        <v>642436</v>
      </c>
      <c r="B16" s="1">
        <v>519803</v>
      </c>
      <c r="C16" s="1" t="s">
        <v>1188</v>
      </c>
      <c r="D16" s="38" t="s">
        <v>1535</v>
      </c>
      <c r="E16" s="4">
        <v>34982</v>
      </c>
      <c r="F16" s="1">
        <v>30</v>
      </c>
      <c r="G16" s="1" t="s">
        <v>212</v>
      </c>
      <c r="H16" s="1" t="s">
        <v>1501</v>
      </c>
      <c r="I16" s="1" t="s">
        <v>1501</v>
      </c>
      <c r="J16" s="1">
        <v>8529</v>
      </c>
      <c r="K16" s="1" t="s">
        <v>82</v>
      </c>
      <c r="L16" s="1" t="s">
        <v>19</v>
      </c>
      <c r="M16" s="1" t="s">
        <v>13</v>
      </c>
      <c r="N16" s="1" t="s">
        <v>20</v>
      </c>
      <c r="O16" s="1" t="s">
        <v>216</v>
      </c>
      <c r="P16" s="1" t="s">
        <v>53</v>
      </c>
      <c r="Q16" s="1" t="s">
        <v>19</v>
      </c>
      <c r="R16" s="1" t="s">
        <v>8</v>
      </c>
      <c r="S16" s="1" t="s">
        <v>21</v>
      </c>
      <c r="T16" s="1" t="s">
        <v>53</v>
      </c>
      <c r="U16" s="1" t="s">
        <v>8</v>
      </c>
      <c r="V16" s="1" t="str">
        <f>IF(pilgrims[[#This Row],[packages.second_hotel_name]]="",pilgrims[[#This Row],[packages.first_hotel_name]],pilgrims[[#This Row],[packages.second_hotel_name]])</f>
        <v>Swissotel Makkah Hotel</v>
      </c>
      <c r="W16" s="1" t="str">
        <f>IF(pilgrims[[#This Row],[packages.second_hotel_name]]="",pilgrims[[#This Row],[packages.first_hotel_check_in]],pilgrims[[#This Row],[packages.second_hotel_check_in]])</f>
        <v>2026-05-21</v>
      </c>
      <c r="X16" s="1" t="str">
        <f>IF(pilgrims[[#This Row],[packages.second_hotel_name]]="",pilgrims[[#This Row],[packages.first_hotel_check_out]],pilgrims[[#This Row],[packages.second_hotel_check_out]])</f>
        <v>2026-05-25</v>
      </c>
      <c r="Y16" s="1" t="s">
        <v>16</v>
      </c>
      <c r="Z16" s="1" t="s">
        <v>214</v>
      </c>
      <c r="AA16" s="1" t="s">
        <v>1193</v>
      </c>
      <c r="AB16" s="1" t="s">
        <v>1193</v>
      </c>
      <c r="AC16" s="1" t="s">
        <v>212</v>
      </c>
      <c r="AD16" s="1" t="s">
        <v>134</v>
      </c>
      <c r="AE16" s="1" t="s">
        <v>1281</v>
      </c>
      <c r="AF16" s="4">
        <v>46160</v>
      </c>
      <c r="AG16" s="5">
        <v>0.73958333333333337</v>
      </c>
      <c r="AH16" s="1" t="s">
        <v>63</v>
      </c>
      <c r="AI16" s="1" t="s">
        <v>1280</v>
      </c>
      <c r="AJ16" s="4">
        <v>46172</v>
      </c>
      <c r="AK16" s="5">
        <v>0.35069444444444442</v>
      </c>
      <c r="AL16" s="1" t="s">
        <v>215</v>
      </c>
      <c r="AM16" s="1"/>
    </row>
    <row r="17" spans="1:39" x14ac:dyDescent="0.3">
      <c r="A17" s="1">
        <v>758859</v>
      </c>
      <c r="B17" s="1">
        <v>614845</v>
      </c>
      <c r="C17" s="1" t="s">
        <v>1189</v>
      </c>
      <c r="D17" s="38" t="s">
        <v>1536</v>
      </c>
      <c r="E17" s="4">
        <v>27438</v>
      </c>
      <c r="F17" s="1">
        <v>51</v>
      </c>
      <c r="G17" s="1" t="s">
        <v>212</v>
      </c>
      <c r="H17" s="1" t="s">
        <v>1501</v>
      </c>
      <c r="I17" s="1" t="s">
        <v>1501</v>
      </c>
      <c r="J17" s="1">
        <v>8529</v>
      </c>
      <c r="K17" s="1" t="s">
        <v>82</v>
      </c>
      <c r="L17" s="1" t="s">
        <v>19</v>
      </c>
      <c r="M17" s="1" t="s">
        <v>13</v>
      </c>
      <c r="N17" s="1" t="s">
        <v>20</v>
      </c>
      <c r="O17" s="1" t="s">
        <v>216</v>
      </c>
      <c r="P17" s="1" t="s">
        <v>53</v>
      </c>
      <c r="Q17" s="1" t="s">
        <v>19</v>
      </c>
      <c r="R17" s="1" t="s">
        <v>8</v>
      </c>
      <c r="S17" s="1" t="s">
        <v>21</v>
      </c>
      <c r="T17" s="1" t="s">
        <v>53</v>
      </c>
      <c r="U17" s="1" t="s">
        <v>8</v>
      </c>
      <c r="V17" s="1" t="str">
        <f>IF(pilgrims[[#This Row],[packages.second_hotel_name]]="",pilgrims[[#This Row],[packages.first_hotel_name]],pilgrims[[#This Row],[packages.second_hotel_name]])</f>
        <v>Swissotel Makkah Hotel</v>
      </c>
      <c r="W17" s="1" t="str">
        <f>IF(pilgrims[[#This Row],[packages.second_hotel_name]]="",pilgrims[[#This Row],[packages.first_hotel_check_in]],pilgrims[[#This Row],[packages.second_hotel_check_in]])</f>
        <v>2026-05-21</v>
      </c>
      <c r="X17" s="1" t="str">
        <f>IF(pilgrims[[#This Row],[packages.second_hotel_name]]="",pilgrims[[#This Row],[packages.first_hotel_check_out]],pilgrims[[#This Row],[packages.second_hotel_check_out]])</f>
        <v>2026-05-25</v>
      </c>
      <c r="Y17" s="1" t="s">
        <v>16</v>
      </c>
      <c r="Z17" s="1" t="s">
        <v>214</v>
      </c>
      <c r="AA17" s="1" t="s">
        <v>1202</v>
      </c>
      <c r="AB17" s="1" t="s">
        <v>1202</v>
      </c>
      <c r="AC17" s="1" t="s">
        <v>212</v>
      </c>
      <c r="AD17" s="1" t="s">
        <v>136</v>
      </c>
      <c r="AE17" s="1" t="s">
        <v>1281</v>
      </c>
      <c r="AF17" s="4">
        <v>46160</v>
      </c>
      <c r="AG17" s="5">
        <v>0.1076388888888889</v>
      </c>
      <c r="AH17" s="1" t="s">
        <v>71</v>
      </c>
      <c r="AI17" s="1" t="s">
        <v>1280</v>
      </c>
      <c r="AJ17" s="4">
        <v>46172</v>
      </c>
      <c r="AK17" s="5">
        <v>0.40972222222222221</v>
      </c>
      <c r="AL17" s="1" t="s">
        <v>215</v>
      </c>
      <c r="AM17" s="1"/>
    </row>
    <row r="18" spans="1:39" x14ac:dyDescent="0.3">
      <c r="A18" s="1">
        <v>741593</v>
      </c>
      <c r="B18" s="1">
        <v>601396</v>
      </c>
      <c r="C18" s="1" t="s">
        <v>1188</v>
      </c>
      <c r="D18" s="38" t="s">
        <v>1537</v>
      </c>
      <c r="E18" s="4">
        <v>33039</v>
      </c>
      <c r="F18" s="1">
        <v>35</v>
      </c>
      <c r="G18" s="1" t="s">
        <v>212</v>
      </c>
      <c r="H18" s="1" t="s">
        <v>1501</v>
      </c>
      <c r="I18" s="1" t="s">
        <v>1501</v>
      </c>
      <c r="J18" s="1">
        <v>8530</v>
      </c>
      <c r="K18" s="1" t="s">
        <v>83</v>
      </c>
      <c r="L18" s="1" t="s">
        <v>19</v>
      </c>
      <c r="M18" s="1" t="s">
        <v>13</v>
      </c>
      <c r="N18" s="1" t="s">
        <v>5</v>
      </c>
      <c r="O18" s="1" t="s">
        <v>216</v>
      </c>
      <c r="P18" s="1" t="s">
        <v>53</v>
      </c>
      <c r="Q18" s="1" t="s">
        <v>19</v>
      </c>
      <c r="R18" s="1" t="s">
        <v>8</v>
      </c>
      <c r="S18" s="1" t="s">
        <v>15</v>
      </c>
      <c r="T18" s="1" t="s">
        <v>53</v>
      </c>
      <c r="U18" s="1" t="s">
        <v>8</v>
      </c>
      <c r="V18" s="1" t="str">
        <f>IF(pilgrims[[#This Row],[packages.second_hotel_name]]="",pilgrims[[#This Row],[packages.first_hotel_name]],pilgrims[[#This Row],[packages.second_hotel_name]])</f>
        <v>Swissotel Al Maqam Makkah</v>
      </c>
      <c r="W18" s="1" t="str">
        <f>IF(pilgrims[[#This Row],[packages.second_hotel_name]]="",pilgrims[[#This Row],[packages.first_hotel_check_in]],pilgrims[[#This Row],[packages.second_hotel_check_in]])</f>
        <v>2026-05-21</v>
      </c>
      <c r="X18" s="1" t="str">
        <f>IF(pilgrims[[#This Row],[packages.second_hotel_name]]="",pilgrims[[#This Row],[packages.first_hotel_check_out]],pilgrims[[#This Row],[packages.second_hotel_check_out]])</f>
        <v>2026-05-25</v>
      </c>
      <c r="Y18" s="1" t="s">
        <v>16</v>
      </c>
      <c r="Z18" s="1" t="s">
        <v>261</v>
      </c>
      <c r="AA18" s="1" t="s">
        <v>262</v>
      </c>
      <c r="AB18" s="1" t="s">
        <v>1305</v>
      </c>
      <c r="AC18" s="1" t="s">
        <v>263</v>
      </c>
      <c r="AD18" s="1" t="s">
        <v>1308</v>
      </c>
      <c r="AE18" s="1" t="s">
        <v>1281</v>
      </c>
      <c r="AF18" s="4">
        <v>46160</v>
      </c>
      <c r="AG18" s="5">
        <v>0.78472222222222221</v>
      </c>
      <c r="AH18" s="1" t="s">
        <v>1309</v>
      </c>
      <c r="AI18" s="1" t="s">
        <v>1280</v>
      </c>
      <c r="AJ18" s="4">
        <v>46173</v>
      </c>
      <c r="AK18" s="5">
        <v>0.3125</v>
      </c>
      <c r="AL18" s="1" t="s">
        <v>215</v>
      </c>
      <c r="AM18" s="1"/>
    </row>
    <row r="19" spans="1:39" x14ac:dyDescent="0.3">
      <c r="A19" s="1">
        <v>608944</v>
      </c>
      <c r="B19" s="1">
        <v>491059</v>
      </c>
      <c r="C19" s="1" t="s">
        <v>1188</v>
      </c>
      <c r="D19" s="38" t="s">
        <v>1538</v>
      </c>
      <c r="E19" s="4">
        <v>27892</v>
      </c>
      <c r="F19" s="1">
        <v>49</v>
      </c>
      <c r="G19" s="1" t="s">
        <v>212</v>
      </c>
      <c r="H19" s="1" t="s">
        <v>1501</v>
      </c>
      <c r="I19" s="1" t="s">
        <v>1501</v>
      </c>
      <c r="J19" s="1">
        <v>8530</v>
      </c>
      <c r="K19" s="1" t="s">
        <v>83</v>
      </c>
      <c r="L19" s="1" t="s">
        <v>19</v>
      </c>
      <c r="M19" s="1" t="s">
        <v>13</v>
      </c>
      <c r="N19" s="1" t="s">
        <v>5</v>
      </c>
      <c r="O19" s="1" t="s">
        <v>216</v>
      </c>
      <c r="P19" s="1" t="s">
        <v>53</v>
      </c>
      <c r="Q19" s="1" t="s">
        <v>19</v>
      </c>
      <c r="R19" s="1" t="s">
        <v>8</v>
      </c>
      <c r="S19" s="1" t="s">
        <v>15</v>
      </c>
      <c r="T19" s="1" t="s">
        <v>53</v>
      </c>
      <c r="U19" s="1" t="s">
        <v>8</v>
      </c>
      <c r="V19" s="1" t="str">
        <f>IF(pilgrims[[#This Row],[packages.second_hotel_name]]="",pilgrims[[#This Row],[packages.first_hotel_name]],pilgrims[[#This Row],[packages.second_hotel_name]])</f>
        <v>Swissotel Al Maqam Makkah</v>
      </c>
      <c r="W19" s="1" t="str">
        <f>IF(pilgrims[[#This Row],[packages.second_hotel_name]]="",pilgrims[[#This Row],[packages.first_hotel_check_in]],pilgrims[[#This Row],[packages.second_hotel_check_in]])</f>
        <v>2026-05-21</v>
      </c>
      <c r="X19" s="1" t="str">
        <f>IF(pilgrims[[#This Row],[packages.second_hotel_name]]="",pilgrims[[#This Row],[packages.first_hotel_check_out]],pilgrims[[#This Row],[packages.second_hotel_check_out]])</f>
        <v>2026-05-25</v>
      </c>
      <c r="Y19" s="1" t="s">
        <v>16</v>
      </c>
      <c r="Z19" s="1" t="s">
        <v>214</v>
      </c>
      <c r="AA19" s="1" t="s">
        <v>1202</v>
      </c>
      <c r="AB19" s="1" t="s">
        <v>1202</v>
      </c>
      <c r="AC19" s="1" t="s">
        <v>212</v>
      </c>
      <c r="AD19" s="1" t="s">
        <v>136</v>
      </c>
      <c r="AE19" s="1" t="s">
        <v>1281</v>
      </c>
      <c r="AF19" s="4">
        <v>46160</v>
      </c>
      <c r="AG19" s="5">
        <v>0.1076388888888889</v>
      </c>
      <c r="AH19" s="1" t="s">
        <v>71</v>
      </c>
      <c r="AI19" s="1" t="s">
        <v>1280</v>
      </c>
      <c r="AJ19" s="4">
        <v>46172</v>
      </c>
      <c r="AK19" s="5">
        <v>0.40972222222222221</v>
      </c>
      <c r="AL19" s="1" t="s">
        <v>215</v>
      </c>
      <c r="AM19" s="1"/>
    </row>
    <row r="20" spans="1:39" x14ac:dyDescent="0.3">
      <c r="A20" s="1">
        <v>741671</v>
      </c>
      <c r="B20" s="1">
        <v>601396</v>
      </c>
      <c r="C20" s="1" t="s">
        <v>1189</v>
      </c>
      <c r="D20" s="38" t="s">
        <v>1539</v>
      </c>
      <c r="E20" s="4">
        <v>33515</v>
      </c>
      <c r="F20" s="1">
        <v>34</v>
      </c>
      <c r="G20" s="1" t="s">
        <v>212</v>
      </c>
      <c r="H20" s="1" t="s">
        <v>1501</v>
      </c>
      <c r="I20" s="1" t="s">
        <v>1501</v>
      </c>
      <c r="J20" s="1">
        <v>8530</v>
      </c>
      <c r="K20" s="1" t="s">
        <v>83</v>
      </c>
      <c r="L20" s="1" t="s">
        <v>19</v>
      </c>
      <c r="M20" s="1" t="s">
        <v>13</v>
      </c>
      <c r="N20" s="1" t="s">
        <v>5</v>
      </c>
      <c r="O20" s="1" t="s">
        <v>216</v>
      </c>
      <c r="P20" s="1" t="s">
        <v>53</v>
      </c>
      <c r="Q20" s="1" t="s">
        <v>19</v>
      </c>
      <c r="R20" s="1" t="s">
        <v>8</v>
      </c>
      <c r="S20" s="1" t="s">
        <v>15</v>
      </c>
      <c r="T20" s="1" t="s">
        <v>53</v>
      </c>
      <c r="U20" s="1" t="s">
        <v>8</v>
      </c>
      <c r="V20" s="1" t="str">
        <f>IF(pilgrims[[#This Row],[packages.second_hotel_name]]="",pilgrims[[#This Row],[packages.first_hotel_name]],pilgrims[[#This Row],[packages.second_hotel_name]])</f>
        <v>Swissotel Al Maqam Makkah</v>
      </c>
      <c r="W20" s="1" t="str">
        <f>IF(pilgrims[[#This Row],[packages.second_hotel_name]]="",pilgrims[[#This Row],[packages.first_hotel_check_in]],pilgrims[[#This Row],[packages.second_hotel_check_in]])</f>
        <v>2026-05-21</v>
      </c>
      <c r="X20" s="1" t="str">
        <f>IF(pilgrims[[#This Row],[packages.second_hotel_name]]="",pilgrims[[#This Row],[packages.first_hotel_check_out]],pilgrims[[#This Row],[packages.second_hotel_check_out]])</f>
        <v>2026-05-25</v>
      </c>
      <c r="Y20" s="1" t="s">
        <v>16</v>
      </c>
      <c r="Z20" s="1" t="s">
        <v>261</v>
      </c>
      <c r="AA20" s="1" t="s">
        <v>262</v>
      </c>
      <c r="AB20" s="1" t="s">
        <v>1305</v>
      </c>
      <c r="AC20" s="1" t="s">
        <v>263</v>
      </c>
      <c r="AD20" s="1" t="s">
        <v>1308</v>
      </c>
      <c r="AE20" s="1" t="s">
        <v>1281</v>
      </c>
      <c r="AF20" s="4">
        <v>46160</v>
      </c>
      <c r="AG20" s="5">
        <v>0.78472222222222221</v>
      </c>
      <c r="AH20" s="1" t="s">
        <v>1309</v>
      </c>
      <c r="AI20" s="1" t="s">
        <v>1280</v>
      </c>
      <c r="AJ20" s="4">
        <v>46173</v>
      </c>
      <c r="AK20" s="5">
        <v>0.3125</v>
      </c>
      <c r="AL20" s="1" t="s">
        <v>215</v>
      </c>
      <c r="AM20" s="1"/>
    </row>
    <row r="21" spans="1:39" x14ac:dyDescent="0.3">
      <c r="A21" s="1">
        <v>762647</v>
      </c>
      <c r="B21" s="1">
        <v>491059</v>
      </c>
      <c r="C21" s="1" t="s">
        <v>1189</v>
      </c>
      <c r="D21" s="38" t="s">
        <v>1540</v>
      </c>
      <c r="E21" s="4">
        <v>29096</v>
      </c>
      <c r="F21" s="1">
        <v>46</v>
      </c>
      <c r="G21" s="1" t="s">
        <v>212</v>
      </c>
      <c r="H21" s="1" t="s">
        <v>1501</v>
      </c>
      <c r="I21" s="1" t="s">
        <v>1501</v>
      </c>
      <c r="J21" s="1">
        <v>8530</v>
      </c>
      <c r="K21" s="1" t="s">
        <v>83</v>
      </c>
      <c r="L21" s="1" t="s">
        <v>19</v>
      </c>
      <c r="M21" s="1" t="s">
        <v>13</v>
      </c>
      <c r="N21" s="1" t="s">
        <v>5</v>
      </c>
      <c r="O21" s="1" t="s">
        <v>216</v>
      </c>
      <c r="P21" s="1" t="s">
        <v>53</v>
      </c>
      <c r="Q21" s="1" t="s">
        <v>19</v>
      </c>
      <c r="R21" s="1" t="s">
        <v>8</v>
      </c>
      <c r="S21" s="1" t="s">
        <v>15</v>
      </c>
      <c r="T21" s="1" t="s">
        <v>53</v>
      </c>
      <c r="U21" s="1" t="s">
        <v>8</v>
      </c>
      <c r="V21" s="1" t="str">
        <f>IF(pilgrims[[#This Row],[packages.second_hotel_name]]="",pilgrims[[#This Row],[packages.first_hotel_name]],pilgrims[[#This Row],[packages.second_hotel_name]])</f>
        <v>Swissotel Al Maqam Makkah</v>
      </c>
      <c r="W21" s="1" t="str">
        <f>IF(pilgrims[[#This Row],[packages.second_hotel_name]]="",pilgrims[[#This Row],[packages.first_hotel_check_in]],pilgrims[[#This Row],[packages.second_hotel_check_in]])</f>
        <v>2026-05-21</v>
      </c>
      <c r="X21" s="1" t="str">
        <f>IF(pilgrims[[#This Row],[packages.second_hotel_name]]="",pilgrims[[#This Row],[packages.first_hotel_check_out]],pilgrims[[#This Row],[packages.second_hotel_check_out]])</f>
        <v>2026-05-25</v>
      </c>
      <c r="Y21" s="1" t="s">
        <v>16</v>
      </c>
      <c r="Z21" s="1" t="s">
        <v>214</v>
      </c>
      <c r="AA21" s="1" t="s">
        <v>1202</v>
      </c>
      <c r="AB21" s="1" t="s">
        <v>1202</v>
      </c>
      <c r="AC21" s="1" t="s">
        <v>212</v>
      </c>
      <c r="AD21" s="1" t="s">
        <v>136</v>
      </c>
      <c r="AE21" s="1" t="s">
        <v>1281</v>
      </c>
      <c r="AF21" s="4">
        <v>46160</v>
      </c>
      <c r="AG21" s="5">
        <v>0.1076388888888889</v>
      </c>
      <c r="AH21" s="1" t="s">
        <v>71</v>
      </c>
      <c r="AI21" s="1" t="s">
        <v>1280</v>
      </c>
      <c r="AJ21" s="4">
        <v>46172</v>
      </c>
      <c r="AK21" s="5">
        <v>0.40972222222222221</v>
      </c>
      <c r="AL21" s="1" t="s">
        <v>215</v>
      </c>
      <c r="AM21" s="1"/>
    </row>
    <row r="22" spans="1:39" x14ac:dyDescent="0.3">
      <c r="A22" s="1">
        <v>351804</v>
      </c>
      <c r="B22" s="1">
        <v>488001</v>
      </c>
      <c r="C22" s="1" t="s">
        <v>1188</v>
      </c>
      <c r="D22" s="38" t="s">
        <v>1541</v>
      </c>
      <c r="E22" s="4">
        <v>24300</v>
      </c>
      <c r="F22" s="1">
        <v>59</v>
      </c>
      <c r="G22" s="1" t="s">
        <v>212</v>
      </c>
      <c r="H22" s="1" t="s">
        <v>1501</v>
      </c>
      <c r="I22" s="1" t="s">
        <v>1501</v>
      </c>
      <c r="J22" s="1">
        <v>8535</v>
      </c>
      <c r="K22" s="1" t="s">
        <v>86</v>
      </c>
      <c r="L22" s="1" t="s">
        <v>8</v>
      </c>
      <c r="M22" s="1" t="s">
        <v>4</v>
      </c>
      <c r="N22" s="1" t="s">
        <v>12</v>
      </c>
      <c r="O22" s="1" t="s">
        <v>216</v>
      </c>
      <c r="P22" s="1" t="s">
        <v>53</v>
      </c>
      <c r="Q22" s="1" t="s">
        <v>8</v>
      </c>
      <c r="R22" s="1" t="s">
        <v>11</v>
      </c>
      <c r="S22" s="1" t="s">
        <v>20</v>
      </c>
      <c r="T22" s="1" t="s">
        <v>53</v>
      </c>
      <c r="U22" s="1" t="s">
        <v>6</v>
      </c>
      <c r="V22" s="1" t="str">
        <f>IF(pilgrims[[#This Row],[packages.second_hotel_name]]="",pilgrims[[#This Row],[packages.first_hotel_name]],pilgrims[[#This Row],[packages.second_hotel_name]])</f>
        <v>Daral Taqwa Hotel</v>
      </c>
      <c r="W22" s="1" t="str">
        <f>IF(pilgrims[[#This Row],[packages.second_hotel_name]]="",pilgrims[[#This Row],[packages.first_hotel_check_in]],pilgrims[[#This Row],[packages.second_hotel_check_in]])</f>
        <v>2026-05-30</v>
      </c>
      <c r="X22" s="1" t="str">
        <f>IF(pilgrims[[#This Row],[packages.second_hotel_name]]="",pilgrims[[#This Row],[packages.first_hotel_check_out]],pilgrims[[#This Row],[packages.second_hotel_check_out]])</f>
        <v>2026-06-02</v>
      </c>
      <c r="Y22" s="1" t="s">
        <v>4</v>
      </c>
      <c r="Z22" s="1" t="s">
        <v>214</v>
      </c>
      <c r="AA22" s="1" t="s">
        <v>1196</v>
      </c>
      <c r="AB22" s="1" t="s">
        <v>1196</v>
      </c>
      <c r="AC22" s="1" t="s">
        <v>212</v>
      </c>
      <c r="AD22" s="1" t="s">
        <v>61</v>
      </c>
      <c r="AE22" s="1" t="s">
        <v>1280</v>
      </c>
      <c r="AF22" s="4">
        <v>46164</v>
      </c>
      <c r="AG22" s="5">
        <v>0.57986111111111116</v>
      </c>
      <c r="AH22" s="1" t="s">
        <v>72</v>
      </c>
      <c r="AI22" s="1" t="s">
        <v>1281</v>
      </c>
      <c r="AJ22" s="4">
        <v>46172</v>
      </c>
      <c r="AK22" s="5">
        <v>0.25347222222222221</v>
      </c>
      <c r="AL22" s="1" t="s">
        <v>215</v>
      </c>
      <c r="AM22" s="1"/>
    </row>
    <row r="23" spans="1:39" x14ac:dyDescent="0.3">
      <c r="A23" s="1">
        <v>605378</v>
      </c>
      <c r="B23" s="1">
        <v>488001</v>
      </c>
      <c r="C23" s="1" t="s">
        <v>1188</v>
      </c>
      <c r="D23" s="38" t="s">
        <v>1542</v>
      </c>
      <c r="E23" s="4">
        <v>24355</v>
      </c>
      <c r="F23" s="1">
        <v>59</v>
      </c>
      <c r="G23" s="1" t="s">
        <v>212</v>
      </c>
      <c r="H23" s="1" t="s">
        <v>1501</v>
      </c>
      <c r="I23" s="1" t="s">
        <v>1501</v>
      </c>
      <c r="J23" s="1">
        <v>8535</v>
      </c>
      <c r="K23" s="1" t="s">
        <v>86</v>
      </c>
      <c r="L23" s="1" t="s">
        <v>8</v>
      </c>
      <c r="M23" s="1" t="s">
        <v>4</v>
      </c>
      <c r="N23" s="1" t="s">
        <v>12</v>
      </c>
      <c r="O23" s="1" t="s">
        <v>216</v>
      </c>
      <c r="P23" s="1" t="s">
        <v>53</v>
      </c>
      <c r="Q23" s="1" t="s">
        <v>8</v>
      </c>
      <c r="R23" s="1" t="s">
        <v>11</v>
      </c>
      <c r="S23" s="1" t="s">
        <v>20</v>
      </c>
      <c r="T23" s="1" t="s">
        <v>53</v>
      </c>
      <c r="U23" s="1" t="s">
        <v>6</v>
      </c>
      <c r="V23" s="1" t="str">
        <f>IF(pilgrims[[#This Row],[packages.second_hotel_name]]="",pilgrims[[#This Row],[packages.first_hotel_name]],pilgrims[[#This Row],[packages.second_hotel_name]])</f>
        <v>Daral Taqwa Hotel</v>
      </c>
      <c r="W23" s="1" t="str">
        <f>IF(pilgrims[[#This Row],[packages.second_hotel_name]]="",pilgrims[[#This Row],[packages.first_hotel_check_in]],pilgrims[[#This Row],[packages.second_hotel_check_in]])</f>
        <v>2026-05-30</v>
      </c>
      <c r="X23" s="1" t="str">
        <f>IF(pilgrims[[#This Row],[packages.second_hotel_name]]="",pilgrims[[#This Row],[packages.first_hotel_check_out]],pilgrims[[#This Row],[packages.second_hotel_check_out]])</f>
        <v>2026-06-02</v>
      </c>
      <c r="Y23" s="1" t="s">
        <v>4</v>
      </c>
      <c r="Z23" s="1" t="s">
        <v>214</v>
      </c>
      <c r="AA23" s="1" t="s">
        <v>1196</v>
      </c>
      <c r="AB23" s="1" t="s">
        <v>1196</v>
      </c>
      <c r="AC23" s="1" t="s">
        <v>212</v>
      </c>
      <c r="AD23" s="1" t="s">
        <v>61</v>
      </c>
      <c r="AE23" s="1" t="s">
        <v>1280</v>
      </c>
      <c r="AF23" s="4">
        <v>46164</v>
      </c>
      <c r="AG23" s="5">
        <v>0.57986111111111116</v>
      </c>
      <c r="AH23" s="1" t="s">
        <v>72</v>
      </c>
      <c r="AI23" s="1" t="s">
        <v>1281</v>
      </c>
      <c r="AJ23" s="4">
        <v>46172</v>
      </c>
      <c r="AK23" s="5">
        <v>0.25347222222222221</v>
      </c>
      <c r="AL23" s="1" t="s">
        <v>215</v>
      </c>
      <c r="AM23" s="1"/>
    </row>
    <row r="24" spans="1:39" x14ac:dyDescent="0.3">
      <c r="A24" s="1">
        <v>640706</v>
      </c>
      <c r="B24" s="1">
        <v>488001</v>
      </c>
      <c r="C24" s="1" t="s">
        <v>1189</v>
      </c>
      <c r="D24" s="38" t="s">
        <v>1543</v>
      </c>
      <c r="E24" s="4">
        <v>27961</v>
      </c>
      <c r="F24" s="1">
        <v>49</v>
      </c>
      <c r="G24" s="1" t="s">
        <v>212</v>
      </c>
      <c r="H24" s="1" t="s">
        <v>1501</v>
      </c>
      <c r="I24" s="1" t="s">
        <v>1501</v>
      </c>
      <c r="J24" s="1">
        <v>8535</v>
      </c>
      <c r="K24" s="1" t="s">
        <v>86</v>
      </c>
      <c r="L24" s="1" t="s">
        <v>8</v>
      </c>
      <c r="M24" s="1" t="s">
        <v>4</v>
      </c>
      <c r="N24" s="1" t="s">
        <v>12</v>
      </c>
      <c r="O24" s="1" t="s">
        <v>216</v>
      </c>
      <c r="P24" s="1" t="s">
        <v>53</v>
      </c>
      <c r="Q24" s="1" t="s">
        <v>8</v>
      </c>
      <c r="R24" s="1" t="s">
        <v>11</v>
      </c>
      <c r="S24" s="1" t="s">
        <v>20</v>
      </c>
      <c r="T24" s="1" t="s">
        <v>53</v>
      </c>
      <c r="U24" s="1" t="s">
        <v>6</v>
      </c>
      <c r="V24" s="1" t="str">
        <f>IF(pilgrims[[#This Row],[packages.second_hotel_name]]="",pilgrims[[#This Row],[packages.first_hotel_name]],pilgrims[[#This Row],[packages.second_hotel_name]])</f>
        <v>Daral Taqwa Hotel</v>
      </c>
      <c r="W24" s="1" t="str">
        <f>IF(pilgrims[[#This Row],[packages.second_hotel_name]]="",pilgrims[[#This Row],[packages.first_hotel_check_in]],pilgrims[[#This Row],[packages.second_hotel_check_in]])</f>
        <v>2026-05-30</v>
      </c>
      <c r="X24" s="1" t="str">
        <f>IF(pilgrims[[#This Row],[packages.second_hotel_name]]="",pilgrims[[#This Row],[packages.first_hotel_check_out]],pilgrims[[#This Row],[packages.second_hotel_check_out]])</f>
        <v>2026-06-02</v>
      </c>
      <c r="Y24" s="1" t="s">
        <v>4</v>
      </c>
      <c r="Z24" s="1" t="s">
        <v>214</v>
      </c>
      <c r="AA24" s="1" t="s">
        <v>1196</v>
      </c>
      <c r="AB24" s="1" t="s">
        <v>1196</v>
      </c>
      <c r="AC24" s="1" t="s">
        <v>212</v>
      </c>
      <c r="AD24" s="1" t="s">
        <v>61</v>
      </c>
      <c r="AE24" s="1" t="s">
        <v>1280</v>
      </c>
      <c r="AF24" s="4">
        <v>46164</v>
      </c>
      <c r="AG24" s="5">
        <v>0.57986111111111116</v>
      </c>
      <c r="AH24" s="1" t="s">
        <v>72</v>
      </c>
      <c r="AI24" s="1" t="s">
        <v>1281</v>
      </c>
      <c r="AJ24" s="4">
        <v>46172</v>
      </c>
      <c r="AK24" s="5">
        <v>0.25347222222222221</v>
      </c>
      <c r="AL24" s="1" t="s">
        <v>215</v>
      </c>
      <c r="AM24" s="1"/>
    </row>
    <row r="25" spans="1:39" x14ac:dyDescent="0.3">
      <c r="A25" s="1">
        <v>697067</v>
      </c>
      <c r="B25" s="1">
        <v>488001</v>
      </c>
      <c r="C25" s="1" t="s">
        <v>1188</v>
      </c>
      <c r="D25" s="38" t="s">
        <v>1544</v>
      </c>
      <c r="E25" s="4">
        <v>25540</v>
      </c>
      <c r="F25" s="1">
        <v>56</v>
      </c>
      <c r="G25" s="1" t="s">
        <v>212</v>
      </c>
      <c r="H25" s="1" t="s">
        <v>1501</v>
      </c>
      <c r="I25" s="1" t="s">
        <v>1501</v>
      </c>
      <c r="J25" s="1">
        <v>8535</v>
      </c>
      <c r="K25" s="1" t="s">
        <v>86</v>
      </c>
      <c r="L25" s="1" t="s">
        <v>8</v>
      </c>
      <c r="M25" s="1" t="s">
        <v>4</v>
      </c>
      <c r="N25" s="1" t="s">
        <v>12</v>
      </c>
      <c r="O25" s="1" t="s">
        <v>216</v>
      </c>
      <c r="P25" s="1" t="s">
        <v>53</v>
      </c>
      <c r="Q25" s="1" t="s">
        <v>8</v>
      </c>
      <c r="R25" s="1" t="s">
        <v>11</v>
      </c>
      <c r="S25" s="1" t="s">
        <v>20</v>
      </c>
      <c r="T25" s="1" t="s">
        <v>53</v>
      </c>
      <c r="U25" s="1" t="s">
        <v>6</v>
      </c>
      <c r="V25" s="1" t="str">
        <f>IF(pilgrims[[#This Row],[packages.second_hotel_name]]="",pilgrims[[#This Row],[packages.first_hotel_name]],pilgrims[[#This Row],[packages.second_hotel_name]])</f>
        <v>Daral Taqwa Hotel</v>
      </c>
      <c r="W25" s="1" t="str">
        <f>IF(pilgrims[[#This Row],[packages.second_hotel_name]]="",pilgrims[[#This Row],[packages.first_hotel_check_in]],pilgrims[[#This Row],[packages.second_hotel_check_in]])</f>
        <v>2026-05-30</v>
      </c>
      <c r="X25" s="1" t="str">
        <f>IF(pilgrims[[#This Row],[packages.second_hotel_name]]="",pilgrims[[#This Row],[packages.first_hotel_check_out]],pilgrims[[#This Row],[packages.second_hotel_check_out]])</f>
        <v>2026-06-02</v>
      </c>
      <c r="Y25" s="1" t="s">
        <v>4</v>
      </c>
      <c r="Z25" s="1" t="s">
        <v>214</v>
      </c>
      <c r="AA25" s="1" t="s">
        <v>1196</v>
      </c>
      <c r="AB25" s="1" t="s">
        <v>1196</v>
      </c>
      <c r="AC25" s="1" t="s">
        <v>212</v>
      </c>
      <c r="AD25" s="1" t="s">
        <v>61</v>
      </c>
      <c r="AE25" s="1" t="s">
        <v>1280</v>
      </c>
      <c r="AF25" s="4">
        <v>46164</v>
      </c>
      <c r="AG25" s="5">
        <v>0.57986111111111116</v>
      </c>
      <c r="AH25" s="1" t="s">
        <v>72</v>
      </c>
      <c r="AI25" s="1" t="s">
        <v>1281</v>
      </c>
      <c r="AJ25" s="4">
        <v>46172</v>
      </c>
      <c r="AK25" s="5">
        <v>0.25347222222222221</v>
      </c>
      <c r="AL25" s="1" t="s">
        <v>215</v>
      </c>
      <c r="AM25" s="1"/>
    </row>
    <row r="26" spans="1:39" x14ac:dyDescent="0.3">
      <c r="A26" s="1">
        <v>741912</v>
      </c>
      <c r="B26" s="1">
        <v>488001</v>
      </c>
      <c r="C26" s="1" t="s">
        <v>1189</v>
      </c>
      <c r="D26" s="38" t="s">
        <v>1545</v>
      </c>
      <c r="E26" s="4">
        <v>26651</v>
      </c>
      <c r="F26" s="1">
        <v>53</v>
      </c>
      <c r="G26" s="1" t="s">
        <v>212</v>
      </c>
      <c r="H26" s="1" t="s">
        <v>1501</v>
      </c>
      <c r="I26" s="1" t="s">
        <v>1501</v>
      </c>
      <c r="J26" s="1">
        <v>8535</v>
      </c>
      <c r="K26" s="1" t="s">
        <v>86</v>
      </c>
      <c r="L26" s="1" t="s">
        <v>8</v>
      </c>
      <c r="M26" s="1" t="s">
        <v>4</v>
      </c>
      <c r="N26" s="1" t="s">
        <v>12</v>
      </c>
      <c r="O26" s="1" t="s">
        <v>216</v>
      </c>
      <c r="P26" s="1" t="s">
        <v>53</v>
      </c>
      <c r="Q26" s="1" t="s">
        <v>8</v>
      </c>
      <c r="R26" s="1" t="s">
        <v>11</v>
      </c>
      <c r="S26" s="1" t="s">
        <v>20</v>
      </c>
      <c r="T26" s="1" t="s">
        <v>53</v>
      </c>
      <c r="U26" s="1" t="s">
        <v>6</v>
      </c>
      <c r="V26" s="1" t="str">
        <f>IF(pilgrims[[#This Row],[packages.second_hotel_name]]="",pilgrims[[#This Row],[packages.first_hotel_name]],pilgrims[[#This Row],[packages.second_hotel_name]])</f>
        <v>Daral Taqwa Hotel</v>
      </c>
      <c r="W26" s="1" t="str">
        <f>IF(pilgrims[[#This Row],[packages.second_hotel_name]]="",pilgrims[[#This Row],[packages.first_hotel_check_in]],pilgrims[[#This Row],[packages.second_hotel_check_in]])</f>
        <v>2026-05-30</v>
      </c>
      <c r="X26" s="1" t="str">
        <f>IF(pilgrims[[#This Row],[packages.second_hotel_name]]="",pilgrims[[#This Row],[packages.first_hotel_check_out]],pilgrims[[#This Row],[packages.second_hotel_check_out]])</f>
        <v>2026-06-02</v>
      </c>
      <c r="Y26" s="1" t="s">
        <v>4</v>
      </c>
      <c r="Z26" s="1" t="s">
        <v>214</v>
      </c>
      <c r="AA26" s="1" t="s">
        <v>1196</v>
      </c>
      <c r="AB26" s="1" t="s">
        <v>1196</v>
      </c>
      <c r="AC26" s="1" t="s">
        <v>212</v>
      </c>
      <c r="AD26" s="1" t="s">
        <v>61</v>
      </c>
      <c r="AE26" s="1" t="s">
        <v>1280</v>
      </c>
      <c r="AF26" s="4">
        <v>46164</v>
      </c>
      <c r="AG26" s="5">
        <v>0.57986111111111116</v>
      </c>
      <c r="AH26" s="1" t="s">
        <v>72</v>
      </c>
      <c r="AI26" s="1" t="s">
        <v>1281</v>
      </c>
      <c r="AJ26" s="4">
        <v>46172</v>
      </c>
      <c r="AK26" s="5">
        <v>0.25347222222222221</v>
      </c>
      <c r="AL26" s="1" t="s">
        <v>215</v>
      </c>
      <c r="AM26" s="1"/>
    </row>
    <row r="27" spans="1:39" x14ac:dyDescent="0.3">
      <c r="A27" s="1">
        <v>605555</v>
      </c>
      <c r="B27" s="1">
        <v>488152</v>
      </c>
      <c r="C27" s="1" t="s">
        <v>1188</v>
      </c>
      <c r="D27" s="38" t="s">
        <v>1546</v>
      </c>
      <c r="E27" s="4">
        <v>37806</v>
      </c>
      <c r="F27" s="1">
        <v>22</v>
      </c>
      <c r="G27" s="1" t="s">
        <v>212</v>
      </c>
      <c r="H27" s="1" t="s">
        <v>1502</v>
      </c>
      <c r="I27" s="1" t="s">
        <v>1502</v>
      </c>
      <c r="J27" s="1">
        <v>8531</v>
      </c>
      <c r="K27" s="1" t="s">
        <v>84</v>
      </c>
      <c r="L27" s="1" t="s">
        <v>8</v>
      </c>
      <c r="M27" s="1" t="s">
        <v>9</v>
      </c>
      <c r="N27" s="1" t="s">
        <v>20</v>
      </c>
      <c r="O27" s="1" t="s">
        <v>216</v>
      </c>
      <c r="P27" s="1" t="s">
        <v>53</v>
      </c>
      <c r="Q27" s="1" t="s">
        <v>8</v>
      </c>
      <c r="R27" s="1" t="s">
        <v>11</v>
      </c>
      <c r="S27" s="1" t="s">
        <v>12</v>
      </c>
      <c r="T27" s="1" t="s">
        <v>53</v>
      </c>
      <c r="U27" s="1" t="s">
        <v>13</v>
      </c>
      <c r="V27" s="1" t="str">
        <f>IF(pilgrims[[#This Row],[packages.second_hotel_name]]="",pilgrims[[#This Row],[packages.first_hotel_name]],pilgrims[[#This Row],[packages.second_hotel_name]])</f>
        <v>Makkah Clock Royal Tower A Fairmont Hotel</v>
      </c>
      <c r="W27" s="1" t="str">
        <f>IF(pilgrims[[#This Row],[packages.second_hotel_name]]="",pilgrims[[#This Row],[packages.first_hotel_check_in]],pilgrims[[#This Row],[packages.second_hotel_check_in]])</f>
        <v>2026-05-31</v>
      </c>
      <c r="X27" s="1" t="str">
        <f>IF(pilgrims[[#This Row],[packages.second_hotel_name]]="",pilgrims[[#This Row],[packages.first_hotel_check_out]],pilgrims[[#This Row],[packages.second_hotel_check_out]])</f>
        <v>2026-06-06</v>
      </c>
      <c r="Y27" s="1" t="s">
        <v>9</v>
      </c>
      <c r="Z27" s="1" t="s">
        <v>214</v>
      </c>
      <c r="AA27" s="1" t="s">
        <v>1212</v>
      </c>
      <c r="AB27" s="1" t="s">
        <v>1212</v>
      </c>
      <c r="AC27" s="1" t="s">
        <v>212</v>
      </c>
      <c r="AD27" s="1" t="s">
        <v>66</v>
      </c>
      <c r="AE27" s="1" t="s">
        <v>1280</v>
      </c>
      <c r="AF27" s="4">
        <v>46164</v>
      </c>
      <c r="AG27" s="5">
        <v>0.57986111111111116</v>
      </c>
      <c r="AH27" s="1" t="s">
        <v>73</v>
      </c>
      <c r="AI27" s="1" t="s">
        <v>1281</v>
      </c>
      <c r="AJ27" s="4">
        <v>46177</v>
      </c>
      <c r="AK27" s="5">
        <v>0.14930555555555555</v>
      </c>
      <c r="AL27" s="1" t="s">
        <v>215</v>
      </c>
      <c r="AM27" s="1"/>
    </row>
    <row r="28" spans="1:39" x14ac:dyDescent="0.3">
      <c r="A28" s="1">
        <v>611063</v>
      </c>
      <c r="B28" s="1">
        <v>488152</v>
      </c>
      <c r="C28" s="1" t="s">
        <v>1188</v>
      </c>
      <c r="D28" s="38" t="s">
        <v>1547</v>
      </c>
      <c r="E28" s="4">
        <v>25479</v>
      </c>
      <c r="F28" s="1">
        <v>56</v>
      </c>
      <c r="G28" s="1" t="s">
        <v>212</v>
      </c>
      <c r="H28" s="1" t="s">
        <v>1502</v>
      </c>
      <c r="I28" s="1" t="s">
        <v>1502</v>
      </c>
      <c r="J28" s="1">
        <v>8531</v>
      </c>
      <c r="K28" s="1" t="s">
        <v>84</v>
      </c>
      <c r="L28" s="1" t="s">
        <v>8</v>
      </c>
      <c r="M28" s="1" t="s">
        <v>9</v>
      </c>
      <c r="N28" s="1" t="s">
        <v>20</v>
      </c>
      <c r="O28" s="1" t="s">
        <v>216</v>
      </c>
      <c r="P28" s="1" t="s">
        <v>53</v>
      </c>
      <c r="Q28" s="1" t="s">
        <v>8</v>
      </c>
      <c r="R28" s="1" t="s">
        <v>11</v>
      </c>
      <c r="S28" s="1" t="s">
        <v>12</v>
      </c>
      <c r="T28" s="1" t="s">
        <v>53</v>
      </c>
      <c r="U28" s="1" t="s">
        <v>13</v>
      </c>
      <c r="V28" s="1" t="str">
        <f>IF(pilgrims[[#This Row],[packages.second_hotel_name]]="",pilgrims[[#This Row],[packages.first_hotel_name]],pilgrims[[#This Row],[packages.second_hotel_name]])</f>
        <v>Makkah Clock Royal Tower A Fairmont Hotel</v>
      </c>
      <c r="W28" s="1" t="str">
        <f>IF(pilgrims[[#This Row],[packages.second_hotel_name]]="",pilgrims[[#This Row],[packages.first_hotel_check_in]],pilgrims[[#This Row],[packages.second_hotel_check_in]])</f>
        <v>2026-05-31</v>
      </c>
      <c r="X28" s="1" t="str">
        <f>IF(pilgrims[[#This Row],[packages.second_hotel_name]]="",pilgrims[[#This Row],[packages.first_hotel_check_out]],pilgrims[[#This Row],[packages.second_hotel_check_out]])</f>
        <v>2026-06-06</v>
      </c>
      <c r="Y28" s="1" t="s">
        <v>9</v>
      </c>
      <c r="Z28" s="1" t="s">
        <v>214</v>
      </c>
      <c r="AA28" s="1" t="s">
        <v>1212</v>
      </c>
      <c r="AB28" s="1" t="s">
        <v>1212</v>
      </c>
      <c r="AC28" s="1" t="s">
        <v>212</v>
      </c>
      <c r="AD28" s="1" t="s">
        <v>66</v>
      </c>
      <c r="AE28" s="1" t="s">
        <v>1280</v>
      </c>
      <c r="AF28" s="4">
        <v>46164</v>
      </c>
      <c r="AG28" s="5">
        <v>0.57986111111111116</v>
      </c>
      <c r="AH28" s="1" t="s">
        <v>73</v>
      </c>
      <c r="AI28" s="1" t="s">
        <v>1281</v>
      </c>
      <c r="AJ28" s="4">
        <v>46177</v>
      </c>
      <c r="AK28" s="5">
        <v>0.14930555555555555</v>
      </c>
      <c r="AL28" s="1" t="s">
        <v>215</v>
      </c>
      <c r="AM28" s="1"/>
    </row>
    <row r="29" spans="1:39" x14ac:dyDescent="0.3">
      <c r="A29" s="1">
        <v>698751</v>
      </c>
      <c r="B29" s="1">
        <v>488152</v>
      </c>
      <c r="C29" s="1" t="s">
        <v>1188</v>
      </c>
      <c r="D29" s="38" t="s">
        <v>1548</v>
      </c>
      <c r="E29" s="4">
        <v>39331</v>
      </c>
      <c r="F29" s="1">
        <v>18</v>
      </c>
      <c r="G29" s="1" t="s">
        <v>212</v>
      </c>
      <c r="H29" s="1" t="s">
        <v>1502</v>
      </c>
      <c r="I29" s="1" t="s">
        <v>1502</v>
      </c>
      <c r="J29" s="1">
        <v>8531</v>
      </c>
      <c r="K29" s="1" t="s">
        <v>84</v>
      </c>
      <c r="L29" s="1" t="s">
        <v>8</v>
      </c>
      <c r="M29" s="1" t="s">
        <v>9</v>
      </c>
      <c r="N29" s="1" t="s">
        <v>20</v>
      </c>
      <c r="O29" s="1" t="s">
        <v>216</v>
      </c>
      <c r="P29" s="1" t="s">
        <v>53</v>
      </c>
      <c r="Q29" s="1" t="s">
        <v>8</v>
      </c>
      <c r="R29" s="1" t="s">
        <v>11</v>
      </c>
      <c r="S29" s="1" t="s">
        <v>12</v>
      </c>
      <c r="T29" s="1" t="s">
        <v>53</v>
      </c>
      <c r="U29" s="1" t="s">
        <v>13</v>
      </c>
      <c r="V29" s="1" t="str">
        <f>IF(pilgrims[[#This Row],[packages.second_hotel_name]]="",pilgrims[[#This Row],[packages.first_hotel_name]],pilgrims[[#This Row],[packages.second_hotel_name]])</f>
        <v>Makkah Clock Royal Tower A Fairmont Hotel</v>
      </c>
      <c r="W29" s="1" t="str">
        <f>IF(pilgrims[[#This Row],[packages.second_hotel_name]]="",pilgrims[[#This Row],[packages.first_hotel_check_in]],pilgrims[[#This Row],[packages.second_hotel_check_in]])</f>
        <v>2026-05-31</v>
      </c>
      <c r="X29" s="1" t="str">
        <f>IF(pilgrims[[#This Row],[packages.second_hotel_name]]="",pilgrims[[#This Row],[packages.first_hotel_check_out]],pilgrims[[#This Row],[packages.second_hotel_check_out]])</f>
        <v>2026-06-06</v>
      </c>
      <c r="Y29" s="1" t="s">
        <v>9</v>
      </c>
      <c r="Z29" s="1" t="s">
        <v>214</v>
      </c>
      <c r="AA29" s="1" t="s">
        <v>1212</v>
      </c>
      <c r="AB29" s="1" t="s">
        <v>1212</v>
      </c>
      <c r="AC29" s="1" t="s">
        <v>212</v>
      </c>
      <c r="AD29" s="1" t="s">
        <v>66</v>
      </c>
      <c r="AE29" s="1" t="s">
        <v>1280</v>
      </c>
      <c r="AF29" s="4">
        <v>46164</v>
      </c>
      <c r="AG29" s="5">
        <v>0.57986111111111116</v>
      </c>
      <c r="AH29" s="1" t="s">
        <v>73</v>
      </c>
      <c r="AI29" s="1" t="s">
        <v>1281</v>
      </c>
      <c r="AJ29" s="4">
        <v>46177</v>
      </c>
      <c r="AK29" s="5">
        <v>0.14930555555555555</v>
      </c>
      <c r="AL29" s="1" t="s">
        <v>215</v>
      </c>
      <c r="AM29" s="1"/>
    </row>
    <row r="30" spans="1:39" x14ac:dyDescent="0.3">
      <c r="A30" s="1">
        <v>698767</v>
      </c>
      <c r="B30" s="1">
        <v>488152</v>
      </c>
      <c r="C30" s="1" t="s">
        <v>1189</v>
      </c>
      <c r="D30" s="38" t="s">
        <v>1549</v>
      </c>
      <c r="E30" s="4">
        <v>28308</v>
      </c>
      <c r="F30" s="1">
        <v>48</v>
      </c>
      <c r="G30" s="1" t="s">
        <v>212</v>
      </c>
      <c r="H30" s="1" t="s">
        <v>1502</v>
      </c>
      <c r="I30" s="1" t="s">
        <v>1502</v>
      </c>
      <c r="J30" s="1">
        <v>8531</v>
      </c>
      <c r="K30" s="1" t="s">
        <v>84</v>
      </c>
      <c r="L30" s="1" t="s">
        <v>8</v>
      </c>
      <c r="M30" s="1" t="s">
        <v>9</v>
      </c>
      <c r="N30" s="1" t="s">
        <v>20</v>
      </c>
      <c r="O30" s="1" t="s">
        <v>216</v>
      </c>
      <c r="P30" s="1" t="s">
        <v>53</v>
      </c>
      <c r="Q30" s="1" t="s">
        <v>8</v>
      </c>
      <c r="R30" s="1" t="s">
        <v>11</v>
      </c>
      <c r="S30" s="1" t="s">
        <v>12</v>
      </c>
      <c r="T30" s="1" t="s">
        <v>53</v>
      </c>
      <c r="U30" s="1" t="s">
        <v>13</v>
      </c>
      <c r="V30" s="1" t="str">
        <f>IF(pilgrims[[#This Row],[packages.second_hotel_name]]="",pilgrims[[#This Row],[packages.first_hotel_name]],pilgrims[[#This Row],[packages.second_hotel_name]])</f>
        <v>Makkah Clock Royal Tower A Fairmont Hotel</v>
      </c>
      <c r="W30" s="1" t="str">
        <f>IF(pilgrims[[#This Row],[packages.second_hotel_name]]="",pilgrims[[#This Row],[packages.first_hotel_check_in]],pilgrims[[#This Row],[packages.second_hotel_check_in]])</f>
        <v>2026-05-31</v>
      </c>
      <c r="X30" s="1" t="str">
        <f>IF(pilgrims[[#This Row],[packages.second_hotel_name]]="",pilgrims[[#This Row],[packages.first_hotel_check_out]],pilgrims[[#This Row],[packages.second_hotel_check_out]])</f>
        <v>2026-06-06</v>
      </c>
      <c r="Y30" s="1" t="s">
        <v>9</v>
      </c>
      <c r="Z30" s="1" t="s">
        <v>214</v>
      </c>
      <c r="AA30" s="1" t="s">
        <v>1212</v>
      </c>
      <c r="AB30" s="1" t="s">
        <v>1212</v>
      </c>
      <c r="AC30" s="1" t="s">
        <v>212</v>
      </c>
      <c r="AD30" s="1" t="s">
        <v>66</v>
      </c>
      <c r="AE30" s="1" t="s">
        <v>1280</v>
      </c>
      <c r="AF30" s="4">
        <v>46164</v>
      </c>
      <c r="AG30" s="5">
        <v>0.57986111111111116</v>
      </c>
      <c r="AH30" s="1" t="s">
        <v>73</v>
      </c>
      <c r="AI30" s="1" t="s">
        <v>1281</v>
      </c>
      <c r="AJ30" s="4">
        <v>46177</v>
      </c>
      <c r="AK30" s="5">
        <v>0.14930555555555555</v>
      </c>
      <c r="AL30" s="1" t="s">
        <v>215</v>
      </c>
      <c r="AM30" s="1"/>
    </row>
    <row r="31" spans="1:39" x14ac:dyDescent="0.3">
      <c r="A31" s="1">
        <v>687565</v>
      </c>
      <c r="B31" s="1">
        <v>558811</v>
      </c>
      <c r="C31" s="1" t="s">
        <v>1189</v>
      </c>
      <c r="D31" s="38" t="s">
        <v>1550</v>
      </c>
      <c r="E31" s="4">
        <v>29527</v>
      </c>
      <c r="F31" s="1">
        <v>45</v>
      </c>
      <c r="G31" s="1" t="s">
        <v>212</v>
      </c>
      <c r="H31" s="1" t="s">
        <v>1501</v>
      </c>
      <c r="I31" s="1" t="s">
        <v>1501</v>
      </c>
      <c r="J31" s="1">
        <v>8540</v>
      </c>
      <c r="K31" s="1" t="s">
        <v>78</v>
      </c>
      <c r="L31" s="1" t="s">
        <v>8</v>
      </c>
      <c r="M31" s="1" t="s">
        <v>13</v>
      </c>
      <c r="N31" s="1" t="s">
        <v>5</v>
      </c>
      <c r="O31" s="1" t="s">
        <v>216</v>
      </c>
      <c r="P31" s="1" t="s">
        <v>53</v>
      </c>
      <c r="Q31" s="1" t="s">
        <v>8</v>
      </c>
      <c r="R31" s="1" t="s">
        <v>11</v>
      </c>
      <c r="S31" s="1"/>
      <c r="T31" s="1"/>
      <c r="U31" s="1"/>
      <c r="V31" s="1" t="str">
        <f>IF(pilgrims[[#This Row],[packages.second_hotel_name]]="",pilgrims[[#This Row],[packages.first_hotel_name]],pilgrims[[#This Row],[packages.second_hotel_name]])</f>
        <v>Movenpick Anwar Almadinah Hotel</v>
      </c>
      <c r="W31" s="1" t="str">
        <f>IF(pilgrims[[#This Row],[packages.second_hotel_name]]="",pilgrims[[#This Row],[packages.first_hotel_check_in]],pilgrims[[#This Row],[packages.second_hotel_check_in]])</f>
        <v>2026-05-21</v>
      </c>
      <c r="X31" s="1" t="str">
        <f>IF(pilgrims[[#This Row],[packages.second_hotel_name]]="",pilgrims[[#This Row],[packages.first_hotel_check_out]],pilgrims[[#This Row],[packages.second_hotel_check_out]])</f>
        <v>2026-05-24</v>
      </c>
      <c r="Y31" s="1"/>
      <c r="Z31" s="1" t="s">
        <v>261</v>
      </c>
      <c r="AA31" s="1" t="s">
        <v>267</v>
      </c>
      <c r="AB31" s="1" t="s">
        <v>1290</v>
      </c>
      <c r="AC31" s="1" t="s">
        <v>268</v>
      </c>
      <c r="AD31" s="1" t="s">
        <v>1291</v>
      </c>
      <c r="AE31" s="1" t="s">
        <v>1281</v>
      </c>
      <c r="AF31" s="4">
        <v>46164</v>
      </c>
      <c r="AG31" s="5">
        <v>0.95833333333333337</v>
      </c>
      <c r="AH31" s="1" t="s">
        <v>1292</v>
      </c>
      <c r="AI31" s="1" t="s">
        <v>1280</v>
      </c>
      <c r="AJ31" s="4">
        <v>46173</v>
      </c>
      <c r="AK31" s="5">
        <v>2.7777777777777776E-2</v>
      </c>
      <c r="AL31" s="1" t="s">
        <v>215</v>
      </c>
      <c r="AM31" s="1"/>
    </row>
    <row r="32" spans="1:39" x14ac:dyDescent="0.3">
      <c r="A32" s="1">
        <v>671891</v>
      </c>
      <c r="B32" s="1">
        <v>546228</v>
      </c>
      <c r="C32" s="1" t="s">
        <v>1188</v>
      </c>
      <c r="D32" s="38" t="s">
        <v>1551</v>
      </c>
      <c r="E32" s="4">
        <v>32126</v>
      </c>
      <c r="F32" s="1">
        <v>38</v>
      </c>
      <c r="G32" s="1" t="s">
        <v>212</v>
      </c>
      <c r="H32" s="1" t="s">
        <v>1501</v>
      </c>
      <c r="I32" s="1" t="s">
        <v>1501</v>
      </c>
      <c r="J32" s="1">
        <v>8530</v>
      </c>
      <c r="K32" s="1" t="s">
        <v>83</v>
      </c>
      <c r="L32" s="1" t="s">
        <v>19</v>
      </c>
      <c r="M32" s="1" t="s">
        <v>13</v>
      </c>
      <c r="N32" s="1" t="s">
        <v>5</v>
      </c>
      <c r="O32" s="1" t="s">
        <v>216</v>
      </c>
      <c r="P32" s="1" t="s">
        <v>53</v>
      </c>
      <c r="Q32" s="1" t="s">
        <v>19</v>
      </c>
      <c r="R32" s="1" t="s">
        <v>8</v>
      </c>
      <c r="S32" s="1" t="s">
        <v>15</v>
      </c>
      <c r="T32" s="1" t="s">
        <v>53</v>
      </c>
      <c r="U32" s="1" t="s">
        <v>8</v>
      </c>
      <c r="V32" s="1" t="str">
        <f>IF(pilgrims[[#This Row],[packages.second_hotel_name]]="",pilgrims[[#This Row],[packages.first_hotel_name]],pilgrims[[#This Row],[packages.second_hotel_name]])</f>
        <v>Swissotel Al Maqam Makkah</v>
      </c>
      <c r="W32" s="1" t="str">
        <f>IF(pilgrims[[#This Row],[packages.second_hotel_name]]="",pilgrims[[#This Row],[packages.first_hotel_check_in]],pilgrims[[#This Row],[packages.second_hotel_check_in]])</f>
        <v>2026-05-21</v>
      </c>
      <c r="X32" s="1" t="str">
        <f>IF(pilgrims[[#This Row],[packages.second_hotel_name]]="",pilgrims[[#This Row],[packages.first_hotel_check_out]],pilgrims[[#This Row],[packages.second_hotel_check_out]])</f>
        <v>2026-05-25</v>
      </c>
      <c r="Y32" s="1" t="s">
        <v>16</v>
      </c>
      <c r="Z32" s="1" t="s">
        <v>214</v>
      </c>
      <c r="AA32" s="1" t="s">
        <v>1193</v>
      </c>
      <c r="AB32" s="1" t="s">
        <v>1193</v>
      </c>
      <c r="AC32" s="1" t="s">
        <v>212</v>
      </c>
      <c r="AD32" s="1" t="s">
        <v>134</v>
      </c>
      <c r="AE32" s="1" t="s">
        <v>1281</v>
      </c>
      <c r="AF32" s="4">
        <v>46160</v>
      </c>
      <c r="AG32" s="5">
        <v>0.73958333333333337</v>
      </c>
      <c r="AH32" s="1" t="s">
        <v>63</v>
      </c>
      <c r="AI32" s="1" t="s">
        <v>1280</v>
      </c>
      <c r="AJ32" s="4">
        <v>46172</v>
      </c>
      <c r="AK32" s="5">
        <v>0.35069444444444442</v>
      </c>
      <c r="AL32" s="1" t="s">
        <v>215</v>
      </c>
      <c r="AM32" s="1"/>
    </row>
    <row r="33" spans="1:39" x14ac:dyDescent="0.3">
      <c r="A33" s="1">
        <v>724252</v>
      </c>
      <c r="B33" s="1">
        <v>558811</v>
      </c>
      <c r="C33" s="1" t="s">
        <v>1188</v>
      </c>
      <c r="D33" s="38" t="s">
        <v>1552</v>
      </c>
      <c r="E33" s="4">
        <v>27793</v>
      </c>
      <c r="F33" s="1">
        <v>50</v>
      </c>
      <c r="G33" s="1" t="s">
        <v>212</v>
      </c>
      <c r="H33" s="1" t="s">
        <v>1501</v>
      </c>
      <c r="I33" s="1" t="s">
        <v>1501</v>
      </c>
      <c r="J33" s="1">
        <v>8540</v>
      </c>
      <c r="K33" s="1" t="s">
        <v>78</v>
      </c>
      <c r="L33" s="1" t="s">
        <v>8</v>
      </c>
      <c r="M33" s="1" t="s">
        <v>13</v>
      </c>
      <c r="N33" s="1" t="s">
        <v>5</v>
      </c>
      <c r="O33" s="1" t="s">
        <v>216</v>
      </c>
      <c r="P33" s="1" t="s">
        <v>53</v>
      </c>
      <c r="Q33" s="1" t="s">
        <v>8</v>
      </c>
      <c r="R33" s="1" t="s">
        <v>11</v>
      </c>
      <c r="S33" s="1"/>
      <c r="T33" s="1"/>
      <c r="U33" s="1"/>
      <c r="V33" s="1" t="str">
        <f>IF(pilgrims[[#This Row],[packages.second_hotel_name]]="",pilgrims[[#This Row],[packages.first_hotel_name]],pilgrims[[#This Row],[packages.second_hotel_name]])</f>
        <v>Movenpick Anwar Almadinah Hotel</v>
      </c>
      <c r="W33" s="1" t="str">
        <f>IF(pilgrims[[#This Row],[packages.second_hotel_name]]="",pilgrims[[#This Row],[packages.first_hotel_check_in]],pilgrims[[#This Row],[packages.second_hotel_check_in]])</f>
        <v>2026-05-21</v>
      </c>
      <c r="X33" s="1" t="str">
        <f>IF(pilgrims[[#This Row],[packages.second_hotel_name]]="",pilgrims[[#This Row],[packages.first_hotel_check_out]],pilgrims[[#This Row],[packages.second_hotel_check_out]])</f>
        <v>2026-05-24</v>
      </c>
      <c r="Y33" s="1"/>
      <c r="Z33" s="1" t="s">
        <v>261</v>
      </c>
      <c r="AA33" s="1" t="s">
        <v>267</v>
      </c>
      <c r="AB33" s="1" t="s">
        <v>1290</v>
      </c>
      <c r="AC33" s="1" t="s">
        <v>268</v>
      </c>
      <c r="AD33" s="1" t="s">
        <v>1291</v>
      </c>
      <c r="AE33" s="1" t="s">
        <v>1281</v>
      </c>
      <c r="AF33" s="4">
        <v>46164</v>
      </c>
      <c r="AG33" s="5">
        <v>0.95833333333333337</v>
      </c>
      <c r="AH33" s="1" t="s">
        <v>1292</v>
      </c>
      <c r="AI33" s="1" t="s">
        <v>1280</v>
      </c>
      <c r="AJ33" s="4">
        <v>46173</v>
      </c>
      <c r="AK33" s="5">
        <v>2.7777777777777776E-2</v>
      </c>
      <c r="AL33" s="1" t="s">
        <v>215</v>
      </c>
      <c r="AM33" s="1"/>
    </row>
    <row r="34" spans="1:39" x14ac:dyDescent="0.3">
      <c r="A34" s="1">
        <v>692522</v>
      </c>
      <c r="B34" s="1">
        <v>546228</v>
      </c>
      <c r="C34" s="1" t="s">
        <v>1189</v>
      </c>
      <c r="D34" s="38" t="s">
        <v>1553</v>
      </c>
      <c r="E34" s="4">
        <v>32092</v>
      </c>
      <c r="F34" s="1">
        <v>38</v>
      </c>
      <c r="G34" s="1" t="s">
        <v>212</v>
      </c>
      <c r="H34" s="1" t="s">
        <v>1501</v>
      </c>
      <c r="I34" s="1" t="s">
        <v>1501</v>
      </c>
      <c r="J34" s="1">
        <v>8530</v>
      </c>
      <c r="K34" s="1" t="s">
        <v>83</v>
      </c>
      <c r="L34" s="1" t="s">
        <v>19</v>
      </c>
      <c r="M34" s="1" t="s">
        <v>13</v>
      </c>
      <c r="N34" s="1" t="s">
        <v>5</v>
      </c>
      <c r="O34" s="1" t="s">
        <v>216</v>
      </c>
      <c r="P34" s="1" t="s">
        <v>53</v>
      </c>
      <c r="Q34" s="1" t="s">
        <v>19</v>
      </c>
      <c r="R34" s="1" t="s">
        <v>8</v>
      </c>
      <c r="S34" s="1" t="s">
        <v>15</v>
      </c>
      <c r="T34" s="1" t="s">
        <v>53</v>
      </c>
      <c r="U34" s="1" t="s">
        <v>8</v>
      </c>
      <c r="V34" s="1" t="str">
        <f>IF(pilgrims[[#This Row],[packages.second_hotel_name]]="",pilgrims[[#This Row],[packages.first_hotel_name]],pilgrims[[#This Row],[packages.second_hotel_name]])</f>
        <v>Swissotel Al Maqam Makkah</v>
      </c>
      <c r="W34" s="1" t="str">
        <f>IF(pilgrims[[#This Row],[packages.second_hotel_name]]="",pilgrims[[#This Row],[packages.first_hotel_check_in]],pilgrims[[#This Row],[packages.second_hotel_check_in]])</f>
        <v>2026-05-21</v>
      </c>
      <c r="X34" s="1" t="str">
        <f>IF(pilgrims[[#This Row],[packages.second_hotel_name]]="",pilgrims[[#This Row],[packages.first_hotel_check_out]],pilgrims[[#This Row],[packages.second_hotel_check_out]])</f>
        <v>2026-05-25</v>
      </c>
      <c r="Y34" s="1" t="s">
        <v>16</v>
      </c>
      <c r="Z34" s="1" t="s">
        <v>214</v>
      </c>
      <c r="AA34" s="1" t="s">
        <v>1193</v>
      </c>
      <c r="AB34" s="1" t="s">
        <v>1193</v>
      </c>
      <c r="AC34" s="1" t="s">
        <v>212</v>
      </c>
      <c r="AD34" s="1" t="s">
        <v>134</v>
      </c>
      <c r="AE34" s="1" t="s">
        <v>1281</v>
      </c>
      <c r="AF34" s="4">
        <v>46160</v>
      </c>
      <c r="AG34" s="5">
        <v>0.73958333333333337</v>
      </c>
      <c r="AH34" s="1" t="s">
        <v>63</v>
      </c>
      <c r="AI34" s="1" t="s">
        <v>1280</v>
      </c>
      <c r="AJ34" s="4">
        <v>46172</v>
      </c>
      <c r="AK34" s="5">
        <v>0.35069444444444442</v>
      </c>
      <c r="AL34" s="1" t="s">
        <v>215</v>
      </c>
      <c r="AM34" s="1"/>
    </row>
    <row r="35" spans="1:39" x14ac:dyDescent="0.3">
      <c r="A35" s="1">
        <v>725686</v>
      </c>
      <c r="B35" s="1">
        <v>558811</v>
      </c>
      <c r="C35" s="1" t="s">
        <v>1189</v>
      </c>
      <c r="D35" s="38" t="s">
        <v>1554</v>
      </c>
      <c r="E35" s="4">
        <v>39204</v>
      </c>
      <c r="F35" s="1">
        <v>18</v>
      </c>
      <c r="G35" s="1" t="s">
        <v>212</v>
      </c>
      <c r="H35" s="1" t="s">
        <v>1501</v>
      </c>
      <c r="I35" s="1" t="s">
        <v>1501</v>
      </c>
      <c r="J35" s="1">
        <v>8540</v>
      </c>
      <c r="K35" s="1" t="s">
        <v>78</v>
      </c>
      <c r="L35" s="1" t="s">
        <v>8</v>
      </c>
      <c r="M35" s="1" t="s">
        <v>13</v>
      </c>
      <c r="N35" s="1" t="s">
        <v>5</v>
      </c>
      <c r="O35" s="1" t="s">
        <v>216</v>
      </c>
      <c r="P35" s="1" t="s">
        <v>53</v>
      </c>
      <c r="Q35" s="1" t="s">
        <v>8</v>
      </c>
      <c r="R35" s="1" t="s">
        <v>11</v>
      </c>
      <c r="S35" s="1"/>
      <c r="T35" s="1"/>
      <c r="U35" s="1"/>
      <c r="V35" s="1" t="str">
        <f>IF(pilgrims[[#This Row],[packages.second_hotel_name]]="",pilgrims[[#This Row],[packages.first_hotel_name]],pilgrims[[#This Row],[packages.second_hotel_name]])</f>
        <v>Movenpick Anwar Almadinah Hotel</v>
      </c>
      <c r="W35" s="1" t="str">
        <f>IF(pilgrims[[#This Row],[packages.second_hotel_name]]="",pilgrims[[#This Row],[packages.first_hotel_check_in]],pilgrims[[#This Row],[packages.second_hotel_check_in]])</f>
        <v>2026-05-21</v>
      </c>
      <c r="X35" s="1" t="str">
        <f>IF(pilgrims[[#This Row],[packages.second_hotel_name]]="",pilgrims[[#This Row],[packages.first_hotel_check_out]],pilgrims[[#This Row],[packages.second_hotel_check_out]])</f>
        <v>2026-05-24</v>
      </c>
      <c r="Y35" s="1"/>
      <c r="Z35" s="1" t="s">
        <v>261</v>
      </c>
      <c r="AA35" s="1" t="s">
        <v>267</v>
      </c>
      <c r="AB35" s="1" t="s">
        <v>1290</v>
      </c>
      <c r="AC35" s="1" t="s">
        <v>268</v>
      </c>
      <c r="AD35" s="1" t="s">
        <v>1291</v>
      </c>
      <c r="AE35" s="1" t="s">
        <v>1281</v>
      </c>
      <c r="AF35" s="4">
        <v>46164</v>
      </c>
      <c r="AG35" s="5">
        <v>0.95833333333333337</v>
      </c>
      <c r="AH35" s="1" t="s">
        <v>1292</v>
      </c>
      <c r="AI35" s="1" t="s">
        <v>1280</v>
      </c>
      <c r="AJ35" s="4">
        <v>46173</v>
      </c>
      <c r="AK35" s="5">
        <v>2.7777777777777776E-2</v>
      </c>
      <c r="AL35" s="1" t="s">
        <v>215</v>
      </c>
      <c r="AM35" s="1"/>
    </row>
    <row r="36" spans="1:39" x14ac:dyDescent="0.3">
      <c r="A36" s="1">
        <v>445601</v>
      </c>
      <c r="B36" s="1">
        <v>348046</v>
      </c>
      <c r="C36" s="1" t="s">
        <v>1188</v>
      </c>
      <c r="D36" s="38" t="s">
        <v>1555</v>
      </c>
      <c r="E36" s="4">
        <v>27563</v>
      </c>
      <c r="F36" s="1">
        <v>50</v>
      </c>
      <c r="G36" s="1" t="s">
        <v>212</v>
      </c>
      <c r="H36" s="1" t="s">
        <v>1501</v>
      </c>
      <c r="I36" s="1" t="s">
        <v>1501</v>
      </c>
      <c r="J36" s="1">
        <v>8524</v>
      </c>
      <c r="K36" s="1" t="s">
        <v>85</v>
      </c>
      <c r="L36" s="1" t="s">
        <v>8</v>
      </c>
      <c r="M36" s="1" t="s">
        <v>9</v>
      </c>
      <c r="N36" s="1" t="s">
        <v>5</v>
      </c>
      <c r="O36" s="1" t="s">
        <v>216</v>
      </c>
      <c r="P36" s="1" t="s">
        <v>53</v>
      </c>
      <c r="Q36" s="1" t="s">
        <v>8</v>
      </c>
      <c r="R36" s="1" t="s">
        <v>11</v>
      </c>
      <c r="S36" s="1" t="s">
        <v>15</v>
      </c>
      <c r="T36" s="1" t="s">
        <v>53</v>
      </c>
      <c r="U36" s="1" t="s">
        <v>13</v>
      </c>
      <c r="V36" s="1" t="str">
        <f>IF(pilgrims[[#This Row],[packages.second_hotel_name]]="",pilgrims[[#This Row],[packages.first_hotel_name]],pilgrims[[#This Row],[packages.second_hotel_name]])</f>
        <v>Swissotel Al Maqam Makkah</v>
      </c>
      <c r="W36" s="1" t="str">
        <f>IF(pilgrims[[#This Row],[packages.second_hotel_name]]="",pilgrims[[#This Row],[packages.first_hotel_check_in]],pilgrims[[#This Row],[packages.second_hotel_check_in]])</f>
        <v>2026-05-31</v>
      </c>
      <c r="X36" s="1" t="str">
        <f>IF(pilgrims[[#This Row],[packages.second_hotel_name]]="",pilgrims[[#This Row],[packages.first_hotel_check_out]],pilgrims[[#This Row],[packages.second_hotel_check_out]])</f>
        <v>2026-06-06</v>
      </c>
      <c r="Y36" s="1" t="s">
        <v>9</v>
      </c>
      <c r="Z36" s="1" t="s">
        <v>214</v>
      </c>
      <c r="AA36" s="1" t="s">
        <v>1213</v>
      </c>
      <c r="AB36" s="1" t="s">
        <v>1213</v>
      </c>
      <c r="AC36" s="1" t="s">
        <v>212</v>
      </c>
      <c r="AD36" s="1" t="s">
        <v>66</v>
      </c>
      <c r="AE36" s="1" t="s">
        <v>1280</v>
      </c>
      <c r="AF36" s="4">
        <v>46164</v>
      </c>
      <c r="AG36" s="5">
        <v>0.57986111111111116</v>
      </c>
      <c r="AH36" s="1" t="s">
        <v>73</v>
      </c>
      <c r="AI36" s="1" t="s">
        <v>1281</v>
      </c>
      <c r="AJ36" s="4">
        <v>46177</v>
      </c>
      <c r="AK36" s="5">
        <v>0.14930555555555555</v>
      </c>
      <c r="AL36" s="1" t="s">
        <v>215</v>
      </c>
      <c r="AM36" s="1"/>
    </row>
    <row r="37" spans="1:39" x14ac:dyDescent="0.3">
      <c r="A37" s="1">
        <v>469645</v>
      </c>
      <c r="B37" s="1">
        <v>348046</v>
      </c>
      <c r="C37" s="1" t="s">
        <v>1189</v>
      </c>
      <c r="D37" s="38" t="s">
        <v>1556</v>
      </c>
      <c r="E37" s="4">
        <v>27870</v>
      </c>
      <c r="F37" s="1">
        <v>49</v>
      </c>
      <c r="G37" s="1" t="s">
        <v>212</v>
      </c>
      <c r="H37" s="1" t="s">
        <v>1501</v>
      </c>
      <c r="I37" s="1" t="s">
        <v>1501</v>
      </c>
      <c r="J37" s="1">
        <v>8524</v>
      </c>
      <c r="K37" s="1" t="s">
        <v>85</v>
      </c>
      <c r="L37" s="1" t="s">
        <v>8</v>
      </c>
      <c r="M37" s="1" t="s">
        <v>9</v>
      </c>
      <c r="N37" s="1" t="s">
        <v>5</v>
      </c>
      <c r="O37" s="1" t="s">
        <v>216</v>
      </c>
      <c r="P37" s="1" t="s">
        <v>53</v>
      </c>
      <c r="Q37" s="1" t="s">
        <v>8</v>
      </c>
      <c r="R37" s="1" t="s">
        <v>11</v>
      </c>
      <c r="S37" s="1" t="s">
        <v>15</v>
      </c>
      <c r="T37" s="1" t="s">
        <v>53</v>
      </c>
      <c r="U37" s="1" t="s">
        <v>13</v>
      </c>
      <c r="V37" s="1" t="str">
        <f>IF(pilgrims[[#This Row],[packages.second_hotel_name]]="",pilgrims[[#This Row],[packages.first_hotel_name]],pilgrims[[#This Row],[packages.second_hotel_name]])</f>
        <v>Swissotel Al Maqam Makkah</v>
      </c>
      <c r="W37" s="1" t="str">
        <f>IF(pilgrims[[#This Row],[packages.second_hotel_name]]="",pilgrims[[#This Row],[packages.first_hotel_check_in]],pilgrims[[#This Row],[packages.second_hotel_check_in]])</f>
        <v>2026-05-31</v>
      </c>
      <c r="X37" s="1" t="str">
        <f>IF(pilgrims[[#This Row],[packages.second_hotel_name]]="",pilgrims[[#This Row],[packages.first_hotel_check_out]],pilgrims[[#This Row],[packages.second_hotel_check_out]])</f>
        <v>2026-06-06</v>
      </c>
      <c r="Y37" s="1" t="s">
        <v>9</v>
      </c>
      <c r="Z37" s="1" t="s">
        <v>214</v>
      </c>
      <c r="AA37" s="1" t="s">
        <v>1213</v>
      </c>
      <c r="AB37" s="1" t="s">
        <v>1213</v>
      </c>
      <c r="AC37" s="1" t="s">
        <v>212</v>
      </c>
      <c r="AD37" s="1" t="s">
        <v>66</v>
      </c>
      <c r="AE37" s="1" t="s">
        <v>1280</v>
      </c>
      <c r="AF37" s="4">
        <v>46164</v>
      </c>
      <c r="AG37" s="5">
        <v>0.57986111111111116</v>
      </c>
      <c r="AH37" s="1" t="s">
        <v>73</v>
      </c>
      <c r="AI37" s="1" t="s">
        <v>1281</v>
      </c>
      <c r="AJ37" s="4">
        <v>46177</v>
      </c>
      <c r="AK37" s="5">
        <v>0.14930555555555555</v>
      </c>
      <c r="AL37" s="1" t="s">
        <v>215</v>
      </c>
      <c r="AM37" s="1"/>
    </row>
    <row r="38" spans="1:39" x14ac:dyDescent="0.3">
      <c r="A38" s="1">
        <v>605159</v>
      </c>
      <c r="B38" s="1">
        <v>487813</v>
      </c>
      <c r="C38" s="1" t="s">
        <v>1188</v>
      </c>
      <c r="D38" s="38" t="s">
        <v>1557</v>
      </c>
      <c r="E38" s="4">
        <v>24288</v>
      </c>
      <c r="F38" s="1">
        <v>59</v>
      </c>
      <c r="G38" s="1" t="s">
        <v>212</v>
      </c>
      <c r="H38" s="1" t="s">
        <v>1501</v>
      </c>
      <c r="I38" s="1" t="s">
        <v>1501</v>
      </c>
      <c r="J38" s="1">
        <v>8529</v>
      </c>
      <c r="K38" s="1" t="s">
        <v>82</v>
      </c>
      <c r="L38" s="1" t="s">
        <v>19</v>
      </c>
      <c r="M38" s="1" t="s">
        <v>13</v>
      </c>
      <c r="N38" s="1" t="s">
        <v>20</v>
      </c>
      <c r="O38" s="1" t="s">
        <v>216</v>
      </c>
      <c r="P38" s="1" t="s">
        <v>53</v>
      </c>
      <c r="Q38" s="1" t="s">
        <v>19</v>
      </c>
      <c r="R38" s="1" t="s">
        <v>8</v>
      </c>
      <c r="S38" s="1" t="s">
        <v>21</v>
      </c>
      <c r="T38" s="1" t="s">
        <v>53</v>
      </c>
      <c r="U38" s="1" t="s">
        <v>8</v>
      </c>
      <c r="V38" s="1" t="str">
        <f>IF(pilgrims[[#This Row],[packages.second_hotel_name]]="",pilgrims[[#This Row],[packages.first_hotel_name]],pilgrims[[#This Row],[packages.second_hotel_name]])</f>
        <v>Swissotel Makkah Hotel</v>
      </c>
      <c r="W38" s="1" t="str">
        <f>IF(pilgrims[[#This Row],[packages.second_hotel_name]]="",pilgrims[[#This Row],[packages.first_hotel_check_in]],pilgrims[[#This Row],[packages.second_hotel_check_in]])</f>
        <v>2026-05-21</v>
      </c>
      <c r="X38" s="1" t="str">
        <f>IF(pilgrims[[#This Row],[packages.second_hotel_name]]="",pilgrims[[#This Row],[packages.first_hotel_check_out]],pilgrims[[#This Row],[packages.second_hotel_check_out]])</f>
        <v>2026-05-25</v>
      </c>
      <c r="Y38" s="1" t="s">
        <v>16</v>
      </c>
      <c r="Z38" s="1" t="s">
        <v>214</v>
      </c>
      <c r="AA38" s="1" t="s">
        <v>1190</v>
      </c>
      <c r="AB38" s="1" t="s">
        <v>1190</v>
      </c>
      <c r="AC38" s="1" t="s">
        <v>212</v>
      </c>
      <c r="AD38" s="1" t="s">
        <v>133</v>
      </c>
      <c r="AE38" s="1" t="s">
        <v>1281</v>
      </c>
      <c r="AF38" s="4">
        <v>46160</v>
      </c>
      <c r="AG38" s="5">
        <v>0.3923611111111111</v>
      </c>
      <c r="AH38" s="1" t="s">
        <v>60</v>
      </c>
      <c r="AI38" s="1" t="s">
        <v>1280</v>
      </c>
      <c r="AJ38" s="4">
        <v>46173</v>
      </c>
      <c r="AK38" s="5">
        <v>0.12847222222222221</v>
      </c>
      <c r="AL38" s="1" t="s">
        <v>215</v>
      </c>
      <c r="AM38" s="1"/>
    </row>
    <row r="39" spans="1:39" x14ac:dyDescent="0.3">
      <c r="A39" s="1">
        <v>633115</v>
      </c>
      <c r="B39" s="1">
        <v>487813</v>
      </c>
      <c r="C39" s="1" t="s">
        <v>1189</v>
      </c>
      <c r="D39" s="38" t="s">
        <v>1558</v>
      </c>
      <c r="E39" s="4">
        <v>28117</v>
      </c>
      <c r="F39" s="1">
        <v>49</v>
      </c>
      <c r="G39" s="1" t="s">
        <v>212</v>
      </c>
      <c r="H39" s="1" t="s">
        <v>1501</v>
      </c>
      <c r="I39" s="1" t="s">
        <v>1501</v>
      </c>
      <c r="J39" s="1">
        <v>8529</v>
      </c>
      <c r="K39" s="1" t="s">
        <v>82</v>
      </c>
      <c r="L39" s="1" t="s">
        <v>19</v>
      </c>
      <c r="M39" s="1" t="s">
        <v>13</v>
      </c>
      <c r="N39" s="1" t="s">
        <v>20</v>
      </c>
      <c r="O39" s="1" t="s">
        <v>216</v>
      </c>
      <c r="P39" s="1" t="s">
        <v>53</v>
      </c>
      <c r="Q39" s="1" t="s">
        <v>19</v>
      </c>
      <c r="R39" s="1" t="s">
        <v>8</v>
      </c>
      <c r="S39" s="1" t="s">
        <v>21</v>
      </c>
      <c r="T39" s="1" t="s">
        <v>53</v>
      </c>
      <c r="U39" s="1" t="s">
        <v>8</v>
      </c>
      <c r="V39" s="1" t="str">
        <f>IF(pilgrims[[#This Row],[packages.second_hotel_name]]="",pilgrims[[#This Row],[packages.first_hotel_name]],pilgrims[[#This Row],[packages.second_hotel_name]])</f>
        <v>Swissotel Makkah Hotel</v>
      </c>
      <c r="W39" s="1" t="str">
        <f>IF(pilgrims[[#This Row],[packages.second_hotel_name]]="",pilgrims[[#This Row],[packages.first_hotel_check_in]],pilgrims[[#This Row],[packages.second_hotel_check_in]])</f>
        <v>2026-05-21</v>
      </c>
      <c r="X39" s="1" t="str">
        <f>IF(pilgrims[[#This Row],[packages.second_hotel_name]]="",pilgrims[[#This Row],[packages.first_hotel_check_out]],pilgrims[[#This Row],[packages.second_hotel_check_out]])</f>
        <v>2026-05-25</v>
      </c>
      <c r="Y39" s="1" t="s">
        <v>16</v>
      </c>
      <c r="Z39" s="1" t="s">
        <v>214</v>
      </c>
      <c r="AA39" s="1" t="s">
        <v>1190</v>
      </c>
      <c r="AB39" s="1" t="s">
        <v>1190</v>
      </c>
      <c r="AC39" s="1" t="s">
        <v>212</v>
      </c>
      <c r="AD39" s="1" t="s">
        <v>133</v>
      </c>
      <c r="AE39" s="1" t="s">
        <v>1281</v>
      </c>
      <c r="AF39" s="4">
        <v>46160</v>
      </c>
      <c r="AG39" s="5">
        <v>0.3923611111111111</v>
      </c>
      <c r="AH39" s="1" t="s">
        <v>60</v>
      </c>
      <c r="AI39" s="1" t="s">
        <v>1280</v>
      </c>
      <c r="AJ39" s="4">
        <v>46173</v>
      </c>
      <c r="AK39" s="5">
        <v>0.12847222222222221</v>
      </c>
      <c r="AL39" s="1" t="s">
        <v>215</v>
      </c>
      <c r="AM39" s="1"/>
    </row>
    <row r="40" spans="1:39" x14ac:dyDescent="0.3">
      <c r="A40" s="1">
        <v>633144</v>
      </c>
      <c r="B40" s="1">
        <v>487813</v>
      </c>
      <c r="C40" s="1" t="s">
        <v>1188</v>
      </c>
      <c r="D40" s="38" t="s">
        <v>1559</v>
      </c>
      <c r="E40" s="4">
        <v>37641</v>
      </c>
      <c r="F40" s="1">
        <v>23</v>
      </c>
      <c r="G40" s="1" t="s">
        <v>212</v>
      </c>
      <c r="H40" s="1" t="s">
        <v>1501</v>
      </c>
      <c r="I40" s="1" t="s">
        <v>1501</v>
      </c>
      <c r="J40" s="1">
        <v>8529</v>
      </c>
      <c r="K40" s="1" t="s">
        <v>82</v>
      </c>
      <c r="L40" s="1" t="s">
        <v>19</v>
      </c>
      <c r="M40" s="1" t="s">
        <v>13</v>
      </c>
      <c r="N40" s="1" t="s">
        <v>20</v>
      </c>
      <c r="O40" s="1" t="s">
        <v>216</v>
      </c>
      <c r="P40" s="1" t="s">
        <v>53</v>
      </c>
      <c r="Q40" s="1" t="s">
        <v>19</v>
      </c>
      <c r="R40" s="1" t="s">
        <v>8</v>
      </c>
      <c r="S40" s="1" t="s">
        <v>21</v>
      </c>
      <c r="T40" s="1" t="s">
        <v>53</v>
      </c>
      <c r="U40" s="1" t="s">
        <v>8</v>
      </c>
      <c r="V40" s="1" t="str">
        <f>IF(pilgrims[[#This Row],[packages.second_hotel_name]]="",pilgrims[[#This Row],[packages.first_hotel_name]],pilgrims[[#This Row],[packages.second_hotel_name]])</f>
        <v>Swissotel Makkah Hotel</v>
      </c>
      <c r="W40" s="1" t="str">
        <f>IF(pilgrims[[#This Row],[packages.second_hotel_name]]="",pilgrims[[#This Row],[packages.first_hotel_check_in]],pilgrims[[#This Row],[packages.second_hotel_check_in]])</f>
        <v>2026-05-21</v>
      </c>
      <c r="X40" s="1" t="str">
        <f>IF(pilgrims[[#This Row],[packages.second_hotel_name]]="",pilgrims[[#This Row],[packages.first_hotel_check_out]],pilgrims[[#This Row],[packages.second_hotel_check_out]])</f>
        <v>2026-05-25</v>
      </c>
      <c r="Y40" s="1" t="s">
        <v>16</v>
      </c>
      <c r="Z40" s="1" t="s">
        <v>214</v>
      </c>
      <c r="AA40" s="1" t="s">
        <v>1190</v>
      </c>
      <c r="AB40" s="1" t="s">
        <v>1190</v>
      </c>
      <c r="AC40" s="1" t="s">
        <v>212</v>
      </c>
      <c r="AD40" s="1" t="s">
        <v>133</v>
      </c>
      <c r="AE40" s="1" t="s">
        <v>1281</v>
      </c>
      <c r="AF40" s="4">
        <v>46160</v>
      </c>
      <c r="AG40" s="5">
        <v>0.3923611111111111</v>
      </c>
      <c r="AH40" s="1" t="s">
        <v>60</v>
      </c>
      <c r="AI40" s="1" t="s">
        <v>1280</v>
      </c>
      <c r="AJ40" s="4">
        <v>46173</v>
      </c>
      <c r="AK40" s="5">
        <v>0.12847222222222221</v>
      </c>
      <c r="AL40" s="1" t="s">
        <v>215</v>
      </c>
      <c r="AM40" s="1"/>
    </row>
    <row r="41" spans="1:39" x14ac:dyDescent="0.3">
      <c r="A41" s="1">
        <v>708210</v>
      </c>
      <c r="B41" s="1">
        <v>574962</v>
      </c>
      <c r="C41" s="1" t="s">
        <v>1188</v>
      </c>
      <c r="D41" s="38" t="s">
        <v>1560</v>
      </c>
      <c r="E41" s="4">
        <v>28454</v>
      </c>
      <c r="F41" s="1">
        <v>48</v>
      </c>
      <c r="G41" s="1" t="s">
        <v>212</v>
      </c>
      <c r="H41" s="1" t="s">
        <v>1501</v>
      </c>
      <c r="I41" s="1" t="s">
        <v>1501</v>
      </c>
      <c r="J41" s="1">
        <v>8529</v>
      </c>
      <c r="K41" s="1" t="s">
        <v>82</v>
      </c>
      <c r="L41" s="1" t="s">
        <v>19</v>
      </c>
      <c r="M41" s="1" t="s">
        <v>13</v>
      </c>
      <c r="N41" s="1" t="s">
        <v>20</v>
      </c>
      <c r="O41" s="1" t="s">
        <v>216</v>
      </c>
      <c r="P41" s="1" t="s">
        <v>53</v>
      </c>
      <c r="Q41" s="1" t="s">
        <v>19</v>
      </c>
      <c r="R41" s="1" t="s">
        <v>8</v>
      </c>
      <c r="S41" s="1" t="s">
        <v>21</v>
      </c>
      <c r="T41" s="1" t="s">
        <v>53</v>
      </c>
      <c r="U41" s="1" t="s">
        <v>8</v>
      </c>
      <c r="V41" s="1" t="str">
        <f>IF(pilgrims[[#This Row],[packages.second_hotel_name]]="",pilgrims[[#This Row],[packages.first_hotel_name]],pilgrims[[#This Row],[packages.second_hotel_name]])</f>
        <v>Swissotel Makkah Hotel</v>
      </c>
      <c r="W41" s="1" t="str">
        <f>IF(pilgrims[[#This Row],[packages.second_hotel_name]]="",pilgrims[[#This Row],[packages.first_hotel_check_in]],pilgrims[[#This Row],[packages.second_hotel_check_in]])</f>
        <v>2026-05-21</v>
      </c>
      <c r="X41" s="1" t="str">
        <f>IF(pilgrims[[#This Row],[packages.second_hotel_name]]="",pilgrims[[#This Row],[packages.first_hotel_check_out]],pilgrims[[#This Row],[packages.second_hotel_check_out]])</f>
        <v>2026-05-25</v>
      </c>
      <c r="Y41" s="1" t="s">
        <v>16</v>
      </c>
      <c r="Z41" s="1" t="s">
        <v>214</v>
      </c>
      <c r="AA41" s="1" t="s">
        <v>1190</v>
      </c>
      <c r="AB41" s="1" t="s">
        <v>1190</v>
      </c>
      <c r="AC41" s="1" t="s">
        <v>212</v>
      </c>
      <c r="AD41" s="1" t="s">
        <v>133</v>
      </c>
      <c r="AE41" s="1" t="s">
        <v>1281</v>
      </c>
      <c r="AF41" s="4">
        <v>46160</v>
      </c>
      <c r="AG41" s="5">
        <v>0.3923611111111111</v>
      </c>
      <c r="AH41" s="1" t="s">
        <v>60</v>
      </c>
      <c r="AI41" s="1" t="s">
        <v>1280</v>
      </c>
      <c r="AJ41" s="4">
        <v>46173</v>
      </c>
      <c r="AK41" s="5">
        <v>0.12847222222222221</v>
      </c>
      <c r="AL41" s="1" t="s">
        <v>215</v>
      </c>
      <c r="AM41" s="1"/>
    </row>
    <row r="42" spans="1:39" x14ac:dyDescent="0.3">
      <c r="A42" s="1">
        <v>726318</v>
      </c>
      <c r="B42" s="1">
        <v>574962</v>
      </c>
      <c r="C42" s="1" t="s">
        <v>1189</v>
      </c>
      <c r="D42" s="38" t="s">
        <v>1561</v>
      </c>
      <c r="E42" s="4">
        <v>30732</v>
      </c>
      <c r="F42" s="1">
        <v>42</v>
      </c>
      <c r="G42" s="1" t="s">
        <v>212</v>
      </c>
      <c r="H42" s="1" t="s">
        <v>1501</v>
      </c>
      <c r="I42" s="1" t="s">
        <v>1501</v>
      </c>
      <c r="J42" s="1">
        <v>8529</v>
      </c>
      <c r="K42" s="1" t="s">
        <v>82</v>
      </c>
      <c r="L42" s="1" t="s">
        <v>19</v>
      </c>
      <c r="M42" s="1" t="s">
        <v>13</v>
      </c>
      <c r="N42" s="1" t="s">
        <v>20</v>
      </c>
      <c r="O42" s="1" t="s">
        <v>216</v>
      </c>
      <c r="P42" s="1" t="s">
        <v>53</v>
      </c>
      <c r="Q42" s="1" t="s">
        <v>19</v>
      </c>
      <c r="R42" s="1" t="s">
        <v>8</v>
      </c>
      <c r="S42" s="1" t="s">
        <v>21</v>
      </c>
      <c r="T42" s="1" t="s">
        <v>53</v>
      </c>
      <c r="U42" s="1" t="s">
        <v>8</v>
      </c>
      <c r="V42" s="1" t="str">
        <f>IF(pilgrims[[#This Row],[packages.second_hotel_name]]="",pilgrims[[#This Row],[packages.first_hotel_name]],pilgrims[[#This Row],[packages.second_hotel_name]])</f>
        <v>Swissotel Makkah Hotel</v>
      </c>
      <c r="W42" s="1" t="str">
        <f>IF(pilgrims[[#This Row],[packages.second_hotel_name]]="",pilgrims[[#This Row],[packages.first_hotel_check_in]],pilgrims[[#This Row],[packages.second_hotel_check_in]])</f>
        <v>2026-05-21</v>
      </c>
      <c r="X42" s="1" t="str">
        <f>IF(pilgrims[[#This Row],[packages.second_hotel_name]]="",pilgrims[[#This Row],[packages.first_hotel_check_out]],pilgrims[[#This Row],[packages.second_hotel_check_out]])</f>
        <v>2026-05-25</v>
      </c>
      <c r="Y42" s="1" t="s">
        <v>16</v>
      </c>
      <c r="Z42" s="1" t="s">
        <v>214</v>
      </c>
      <c r="AA42" s="1" t="s">
        <v>1190</v>
      </c>
      <c r="AB42" s="1" t="s">
        <v>1190</v>
      </c>
      <c r="AC42" s="1" t="s">
        <v>212</v>
      </c>
      <c r="AD42" s="1" t="s">
        <v>133</v>
      </c>
      <c r="AE42" s="1" t="s">
        <v>1281</v>
      </c>
      <c r="AF42" s="4">
        <v>46160</v>
      </c>
      <c r="AG42" s="5">
        <v>0.3923611111111111</v>
      </c>
      <c r="AH42" s="1" t="s">
        <v>60</v>
      </c>
      <c r="AI42" s="1" t="s">
        <v>1280</v>
      </c>
      <c r="AJ42" s="4">
        <v>46173</v>
      </c>
      <c r="AK42" s="5">
        <v>0.12847222222222221</v>
      </c>
      <c r="AL42" s="1" t="s">
        <v>215</v>
      </c>
      <c r="AM42" s="1"/>
    </row>
    <row r="43" spans="1:39" x14ac:dyDescent="0.3">
      <c r="A43" s="1">
        <v>172642</v>
      </c>
      <c r="B43" s="1">
        <v>132134</v>
      </c>
      <c r="C43" s="1" t="s">
        <v>1188</v>
      </c>
      <c r="D43" s="38" t="s">
        <v>1562</v>
      </c>
      <c r="E43" s="4">
        <v>23139</v>
      </c>
      <c r="F43" s="1">
        <v>62</v>
      </c>
      <c r="G43" s="1" t="s">
        <v>212</v>
      </c>
      <c r="H43" s="1" t="s">
        <v>1502</v>
      </c>
      <c r="I43" s="1" t="s">
        <v>1502</v>
      </c>
      <c r="J43" s="1">
        <v>8544</v>
      </c>
      <c r="K43" s="1" t="s">
        <v>90</v>
      </c>
      <c r="L43" s="1" t="s">
        <v>19</v>
      </c>
      <c r="M43" s="1" t="s">
        <v>13</v>
      </c>
      <c r="N43" s="1" t="s">
        <v>5</v>
      </c>
      <c r="O43" s="1" t="s">
        <v>216</v>
      </c>
      <c r="P43" s="1" t="s">
        <v>53</v>
      </c>
      <c r="Q43" s="1" t="s">
        <v>19</v>
      </c>
      <c r="R43" s="1" t="s">
        <v>8</v>
      </c>
      <c r="S43" s="1" t="s">
        <v>21</v>
      </c>
      <c r="T43" s="1" t="s">
        <v>53</v>
      </c>
      <c r="U43" s="1" t="s">
        <v>8</v>
      </c>
      <c r="V43" s="1" t="str">
        <f>IF(pilgrims[[#This Row],[packages.second_hotel_name]]="",pilgrims[[#This Row],[packages.first_hotel_name]],pilgrims[[#This Row],[packages.second_hotel_name]])</f>
        <v>Swissotel Makkah Hotel</v>
      </c>
      <c r="W43" s="1" t="str">
        <f>IF(pilgrims[[#This Row],[packages.second_hotel_name]]="",pilgrims[[#This Row],[packages.first_hotel_check_in]],pilgrims[[#This Row],[packages.second_hotel_check_in]])</f>
        <v>2026-05-21</v>
      </c>
      <c r="X43" s="1" t="str">
        <f>IF(pilgrims[[#This Row],[packages.second_hotel_name]]="",pilgrims[[#This Row],[packages.first_hotel_check_out]],pilgrims[[#This Row],[packages.second_hotel_check_out]])</f>
        <v>2026-05-24</v>
      </c>
      <c r="Y43" s="1" t="s">
        <v>11</v>
      </c>
      <c r="Z43" s="1" t="s">
        <v>214</v>
      </c>
      <c r="AA43" s="1" t="s">
        <v>1208</v>
      </c>
      <c r="AB43" s="1" t="s">
        <v>1208</v>
      </c>
      <c r="AC43" s="1" t="s">
        <v>212</v>
      </c>
      <c r="AD43" s="1" t="s">
        <v>135</v>
      </c>
      <c r="AE43" s="1" t="s">
        <v>1281</v>
      </c>
      <c r="AF43" s="4">
        <v>46160</v>
      </c>
      <c r="AG43" s="5">
        <v>0.89236111111111116</v>
      </c>
      <c r="AH43" s="1" t="s">
        <v>68</v>
      </c>
      <c r="AI43" s="1" t="s">
        <v>1280</v>
      </c>
      <c r="AJ43" s="4">
        <v>46172</v>
      </c>
      <c r="AK43" s="5">
        <v>0.38541666666666669</v>
      </c>
      <c r="AL43" s="1" t="s">
        <v>215</v>
      </c>
      <c r="AM43" s="1"/>
    </row>
    <row r="44" spans="1:39" x14ac:dyDescent="0.3">
      <c r="A44" s="1">
        <v>692465</v>
      </c>
      <c r="B44" s="1">
        <v>562686</v>
      </c>
      <c r="C44" s="1" t="s">
        <v>1188</v>
      </c>
      <c r="D44" s="38" t="s">
        <v>1563</v>
      </c>
      <c r="E44" s="4">
        <v>23177</v>
      </c>
      <c r="F44" s="1">
        <v>62</v>
      </c>
      <c r="G44" s="1" t="s">
        <v>212</v>
      </c>
      <c r="H44" s="1" t="s">
        <v>1501</v>
      </c>
      <c r="I44" s="1" t="s">
        <v>1501</v>
      </c>
      <c r="J44" s="1">
        <v>8530</v>
      </c>
      <c r="K44" s="1" t="s">
        <v>83</v>
      </c>
      <c r="L44" s="1" t="s">
        <v>19</v>
      </c>
      <c r="M44" s="1" t="s">
        <v>13</v>
      </c>
      <c r="N44" s="1" t="s">
        <v>5</v>
      </c>
      <c r="O44" s="1" t="s">
        <v>216</v>
      </c>
      <c r="P44" s="1" t="s">
        <v>53</v>
      </c>
      <c r="Q44" s="1" t="s">
        <v>19</v>
      </c>
      <c r="R44" s="1" t="s">
        <v>8</v>
      </c>
      <c r="S44" s="1" t="s">
        <v>15</v>
      </c>
      <c r="T44" s="1" t="s">
        <v>53</v>
      </c>
      <c r="U44" s="1" t="s">
        <v>8</v>
      </c>
      <c r="V44" s="1" t="str">
        <f>IF(pilgrims[[#This Row],[packages.second_hotel_name]]="",pilgrims[[#This Row],[packages.first_hotel_name]],pilgrims[[#This Row],[packages.second_hotel_name]])</f>
        <v>Swissotel Al Maqam Makkah</v>
      </c>
      <c r="W44" s="1" t="str">
        <f>IF(pilgrims[[#This Row],[packages.second_hotel_name]]="",pilgrims[[#This Row],[packages.first_hotel_check_in]],pilgrims[[#This Row],[packages.second_hotel_check_in]])</f>
        <v>2026-05-21</v>
      </c>
      <c r="X44" s="1" t="str">
        <f>IF(pilgrims[[#This Row],[packages.second_hotel_name]]="",pilgrims[[#This Row],[packages.first_hotel_check_out]],pilgrims[[#This Row],[packages.second_hotel_check_out]])</f>
        <v>2026-05-25</v>
      </c>
      <c r="Y44" s="1" t="s">
        <v>16</v>
      </c>
      <c r="Z44" s="1" t="s">
        <v>214</v>
      </c>
      <c r="AA44" s="1" t="s">
        <v>1190</v>
      </c>
      <c r="AB44" s="1" t="s">
        <v>1190</v>
      </c>
      <c r="AC44" s="1" t="s">
        <v>212</v>
      </c>
      <c r="AD44" s="1" t="s">
        <v>133</v>
      </c>
      <c r="AE44" s="1" t="s">
        <v>1281</v>
      </c>
      <c r="AF44" s="4">
        <v>46160</v>
      </c>
      <c r="AG44" s="5">
        <v>0.3923611111111111</v>
      </c>
      <c r="AH44" s="1" t="s">
        <v>60</v>
      </c>
      <c r="AI44" s="1" t="s">
        <v>1280</v>
      </c>
      <c r="AJ44" s="4">
        <v>46173</v>
      </c>
      <c r="AK44" s="5">
        <v>0.12847222222222221</v>
      </c>
      <c r="AL44" s="1" t="s">
        <v>215</v>
      </c>
      <c r="AM44" s="1"/>
    </row>
    <row r="45" spans="1:39" x14ac:dyDescent="0.3">
      <c r="A45" s="1">
        <v>692466</v>
      </c>
      <c r="B45" s="1">
        <v>562686</v>
      </c>
      <c r="C45" s="1" t="s">
        <v>1189</v>
      </c>
      <c r="D45" s="38" t="s">
        <v>1564</v>
      </c>
      <c r="E45" s="4">
        <v>23491</v>
      </c>
      <c r="F45" s="1">
        <v>61</v>
      </c>
      <c r="G45" s="1" t="s">
        <v>212</v>
      </c>
      <c r="H45" s="1" t="s">
        <v>1501</v>
      </c>
      <c r="I45" s="1" t="s">
        <v>1501</v>
      </c>
      <c r="J45" s="1">
        <v>8530</v>
      </c>
      <c r="K45" s="1" t="s">
        <v>83</v>
      </c>
      <c r="L45" s="1" t="s">
        <v>19</v>
      </c>
      <c r="M45" s="1" t="s">
        <v>13</v>
      </c>
      <c r="N45" s="1" t="s">
        <v>5</v>
      </c>
      <c r="O45" s="1" t="s">
        <v>216</v>
      </c>
      <c r="P45" s="1" t="s">
        <v>53</v>
      </c>
      <c r="Q45" s="1" t="s">
        <v>19</v>
      </c>
      <c r="R45" s="1" t="s">
        <v>8</v>
      </c>
      <c r="S45" s="1" t="s">
        <v>15</v>
      </c>
      <c r="T45" s="1" t="s">
        <v>53</v>
      </c>
      <c r="U45" s="1" t="s">
        <v>8</v>
      </c>
      <c r="V45" s="1" t="str">
        <f>IF(pilgrims[[#This Row],[packages.second_hotel_name]]="",pilgrims[[#This Row],[packages.first_hotel_name]],pilgrims[[#This Row],[packages.second_hotel_name]])</f>
        <v>Swissotel Al Maqam Makkah</v>
      </c>
      <c r="W45" s="1" t="str">
        <f>IF(pilgrims[[#This Row],[packages.second_hotel_name]]="",pilgrims[[#This Row],[packages.first_hotel_check_in]],pilgrims[[#This Row],[packages.second_hotel_check_in]])</f>
        <v>2026-05-21</v>
      </c>
      <c r="X45" s="1" t="str">
        <f>IF(pilgrims[[#This Row],[packages.second_hotel_name]]="",pilgrims[[#This Row],[packages.first_hotel_check_out]],pilgrims[[#This Row],[packages.second_hotel_check_out]])</f>
        <v>2026-05-25</v>
      </c>
      <c r="Y45" s="1" t="s">
        <v>16</v>
      </c>
      <c r="Z45" s="1" t="s">
        <v>214</v>
      </c>
      <c r="AA45" s="1" t="s">
        <v>1190</v>
      </c>
      <c r="AB45" s="1" t="s">
        <v>1190</v>
      </c>
      <c r="AC45" s="1" t="s">
        <v>212</v>
      </c>
      <c r="AD45" s="1" t="s">
        <v>133</v>
      </c>
      <c r="AE45" s="1" t="s">
        <v>1281</v>
      </c>
      <c r="AF45" s="4">
        <v>46160</v>
      </c>
      <c r="AG45" s="5">
        <v>0.3923611111111111</v>
      </c>
      <c r="AH45" s="1" t="s">
        <v>60</v>
      </c>
      <c r="AI45" s="1" t="s">
        <v>1280</v>
      </c>
      <c r="AJ45" s="4">
        <v>46173</v>
      </c>
      <c r="AK45" s="5">
        <v>0.12847222222222221</v>
      </c>
      <c r="AL45" s="1" t="s">
        <v>215</v>
      </c>
      <c r="AM45" s="1"/>
    </row>
    <row r="46" spans="1:39" x14ac:dyDescent="0.3">
      <c r="A46" s="1">
        <v>651755</v>
      </c>
      <c r="B46" s="1">
        <v>529057</v>
      </c>
      <c r="C46" s="1" t="s">
        <v>1188</v>
      </c>
      <c r="D46" s="38" t="s">
        <v>1565</v>
      </c>
      <c r="E46" s="4">
        <v>23846</v>
      </c>
      <c r="F46" s="1">
        <v>60</v>
      </c>
      <c r="G46" s="1" t="s">
        <v>212</v>
      </c>
      <c r="H46" s="1" t="s">
        <v>1501</v>
      </c>
      <c r="I46" s="1" t="s">
        <v>1501</v>
      </c>
      <c r="J46" s="1">
        <v>8530</v>
      </c>
      <c r="K46" s="1" t="s">
        <v>83</v>
      </c>
      <c r="L46" s="1" t="s">
        <v>19</v>
      </c>
      <c r="M46" s="1" t="s">
        <v>13</v>
      </c>
      <c r="N46" s="1" t="s">
        <v>5</v>
      </c>
      <c r="O46" s="1" t="s">
        <v>216</v>
      </c>
      <c r="P46" s="1" t="s">
        <v>53</v>
      </c>
      <c r="Q46" s="1" t="s">
        <v>19</v>
      </c>
      <c r="R46" s="1" t="s">
        <v>8</v>
      </c>
      <c r="S46" s="1" t="s">
        <v>15</v>
      </c>
      <c r="T46" s="1" t="s">
        <v>53</v>
      </c>
      <c r="U46" s="1" t="s">
        <v>8</v>
      </c>
      <c r="V46" s="1" t="str">
        <f>IF(pilgrims[[#This Row],[packages.second_hotel_name]]="",pilgrims[[#This Row],[packages.first_hotel_name]],pilgrims[[#This Row],[packages.second_hotel_name]])</f>
        <v>Swissotel Al Maqam Makkah</v>
      </c>
      <c r="W46" s="1" t="str">
        <f>IF(pilgrims[[#This Row],[packages.second_hotel_name]]="",pilgrims[[#This Row],[packages.first_hotel_check_in]],pilgrims[[#This Row],[packages.second_hotel_check_in]])</f>
        <v>2026-05-21</v>
      </c>
      <c r="X46" s="1" t="str">
        <f>IF(pilgrims[[#This Row],[packages.second_hotel_name]]="",pilgrims[[#This Row],[packages.first_hotel_check_out]],pilgrims[[#This Row],[packages.second_hotel_check_out]])</f>
        <v>2026-05-25</v>
      </c>
      <c r="Y46" s="1" t="s">
        <v>16</v>
      </c>
      <c r="Z46" s="1" t="s">
        <v>214</v>
      </c>
      <c r="AA46" s="1" t="s">
        <v>1193</v>
      </c>
      <c r="AB46" s="1" t="s">
        <v>1193</v>
      </c>
      <c r="AC46" s="1" t="s">
        <v>212</v>
      </c>
      <c r="AD46" s="1" t="s">
        <v>134</v>
      </c>
      <c r="AE46" s="1" t="s">
        <v>1281</v>
      </c>
      <c r="AF46" s="4">
        <v>46160</v>
      </c>
      <c r="AG46" s="5">
        <v>0.73958333333333337</v>
      </c>
      <c r="AH46" s="1" t="s">
        <v>63</v>
      </c>
      <c r="AI46" s="1" t="s">
        <v>1280</v>
      </c>
      <c r="AJ46" s="4">
        <v>46172</v>
      </c>
      <c r="AK46" s="5">
        <v>0.35069444444444442</v>
      </c>
      <c r="AL46" s="1" t="s">
        <v>215</v>
      </c>
      <c r="AM46" s="1"/>
    </row>
    <row r="47" spans="1:39" x14ac:dyDescent="0.3">
      <c r="A47" s="1">
        <v>651758</v>
      </c>
      <c r="B47" s="1">
        <v>529057</v>
      </c>
      <c r="C47" s="1" t="s">
        <v>1189</v>
      </c>
      <c r="D47" s="38" t="s">
        <v>1566</v>
      </c>
      <c r="E47" s="4">
        <v>25124</v>
      </c>
      <c r="F47" s="1">
        <v>57</v>
      </c>
      <c r="G47" s="1" t="s">
        <v>212</v>
      </c>
      <c r="H47" s="1" t="s">
        <v>1501</v>
      </c>
      <c r="I47" s="1" t="s">
        <v>1501</v>
      </c>
      <c r="J47" s="1">
        <v>8530</v>
      </c>
      <c r="K47" s="1" t="s">
        <v>83</v>
      </c>
      <c r="L47" s="1" t="s">
        <v>19</v>
      </c>
      <c r="M47" s="1" t="s">
        <v>13</v>
      </c>
      <c r="N47" s="1" t="s">
        <v>5</v>
      </c>
      <c r="O47" s="1" t="s">
        <v>216</v>
      </c>
      <c r="P47" s="1" t="s">
        <v>53</v>
      </c>
      <c r="Q47" s="1" t="s">
        <v>19</v>
      </c>
      <c r="R47" s="1" t="s">
        <v>8</v>
      </c>
      <c r="S47" s="1" t="s">
        <v>15</v>
      </c>
      <c r="T47" s="1" t="s">
        <v>53</v>
      </c>
      <c r="U47" s="1" t="s">
        <v>8</v>
      </c>
      <c r="V47" s="1" t="str">
        <f>IF(pilgrims[[#This Row],[packages.second_hotel_name]]="",pilgrims[[#This Row],[packages.first_hotel_name]],pilgrims[[#This Row],[packages.second_hotel_name]])</f>
        <v>Swissotel Al Maqam Makkah</v>
      </c>
      <c r="W47" s="1" t="str">
        <f>IF(pilgrims[[#This Row],[packages.second_hotel_name]]="",pilgrims[[#This Row],[packages.first_hotel_check_in]],pilgrims[[#This Row],[packages.second_hotel_check_in]])</f>
        <v>2026-05-21</v>
      </c>
      <c r="X47" s="1" t="str">
        <f>IF(pilgrims[[#This Row],[packages.second_hotel_name]]="",pilgrims[[#This Row],[packages.first_hotel_check_out]],pilgrims[[#This Row],[packages.second_hotel_check_out]])</f>
        <v>2026-05-25</v>
      </c>
      <c r="Y47" s="1" t="s">
        <v>16</v>
      </c>
      <c r="Z47" s="1" t="s">
        <v>214</v>
      </c>
      <c r="AA47" s="1" t="s">
        <v>1193</v>
      </c>
      <c r="AB47" s="1" t="s">
        <v>1193</v>
      </c>
      <c r="AC47" s="1" t="s">
        <v>212</v>
      </c>
      <c r="AD47" s="1" t="s">
        <v>134</v>
      </c>
      <c r="AE47" s="1" t="s">
        <v>1281</v>
      </c>
      <c r="AF47" s="4">
        <v>46160</v>
      </c>
      <c r="AG47" s="5">
        <v>0.73958333333333337</v>
      </c>
      <c r="AH47" s="1" t="s">
        <v>63</v>
      </c>
      <c r="AI47" s="1" t="s">
        <v>1280</v>
      </c>
      <c r="AJ47" s="4">
        <v>46172</v>
      </c>
      <c r="AK47" s="5">
        <v>0.35069444444444442</v>
      </c>
      <c r="AL47" s="1" t="s">
        <v>215</v>
      </c>
      <c r="AM47" s="1"/>
    </row>
    <row r="48" spans="1:39" x14ac:dyDescent="0.3">
      <c r="A48" s="1">
        <v>707932</v>
      </c>
      <c r="B48" s="1">
        <v>529057</v>
      </c>
      <c r="C48" s="1" t="s">
        <v>1189</v>
      </c>
      <c r="D48" s="38" t="s">
        <v>1567</v>
      </c>
      <c r="E48" s="4">
        <v>16733</v>
      </c>
      <c r="F48" s="1">
        <v>80</v>
      </c>
      <c r="G48" s="1" t="s">
        <v>212</v>
      </c>
      <c r="H48" s="1" t="s">
        <v>1501</v>
      </c>
      <c r="I48" s="1" t="s">
        <v>1501</v>
      </c>
      <c r="J48" s="1">
        <v>8530</v>
      </c>
      <c r="K48" s="1" t="s">
        <v>83</v>
      </c>
      <c r="L48" s="1" t="s">
        <v>19</v>
      </c>
      <c r="M48" s="1" t="s">
        <v>13</v>
      </c>
      <c r="N48" s="1" t="s">
        <v>5</v>
      </c>
      <c r="O48" s="1" t="s">
        <v>216</v>
      </c>
      <c r="P48" s="1" t="s">
        <v>53</v>
      </c>
      <c r="Q48" s="1" t="s">
        <v>19</v>
      </c>
      <c r="R48" s="1" t="s">
        <v>8</v>
      </c>
      <c r="S48" s="1" t="s">
        <v>15</v>
      </c>
      <c r="T48" s="1" t="s">
        <v>53</v>
      </c>
      <c r="U48" s="1" t="s">
        <v>8</v>
      </c>
      <c r="V48" s="1" t="str">
        <f>IF(pilgrims[[#This Row],[packages.second_hotel_name]]="",pilgrims[[#This Row],[packages.first_hotel_name]],pilgrims[[#This Row],[packages.second_hotel_name]])</f>
        <v>Swissotel Al Maqam Makkah</v>
      </c>
      <c r="W48" s="1" t="str">
        <f>IF(pilgrims[[#This Row],[packages.second_hotel_name]]="",pilgrims[[#This Row],[packages.first_hotel_check_in]],pilgrims[[#This Row],[packages.second_hotel_check_in]])</f>
        <v>2026-05-21</v>
      </c>
      <c r="X48" s="1" t="str">
        <f>IF(pilgrims[[#This Row],[packages.second_hotel_name]]="",pilgrims[[#This Row],[packages.first_hotel_check_out]],pilgrims[[#This Row],[packages.second_hotel_check_out]])</f>
        <v>2026-05-25</v>
      </c>
      <c r="Y48" s="1" t="s">
        <v>16</v>
      </c>
      <c r="Z48" s="1" t="s">
        <v>214</v>
      </c>
      <c r="AA48" s="1" t="s">
        <v>1193</v>
      </c>
      <c r="AB48" s="1" t="s">
        <v>1193</v>
      </c>
      <c r="AC48" s="1" t="s">
        <v>212</v>
      </c>
      <c r="AD48" s="1" t="s">
        <v>134</v>
      </c>
      <c r="AE48" s="1" t="s">
        <v>1281</v>
      </c>
      <c r="AF48" s="4">
        <v>46160</v>
      </c>
      <c r="AG48" s="5">
        <v>0.73958333333333337</v>
      </c>
      <c r="AH48" s="1" t="s">
        <v>63</v>
      </c>
      <c r="AI48" s="1" t="s">
        <v>1280</v>
      </c>
      <c r="AJ48" s="4">
        <v>46172</v>
      </c>
      <c r="AK48" s="5">
        <v>0.35069444444444442</v>
      </c>
      <c r="AL48" s="1" t="s">
        <v>215</v>
      </c>
      <c r="AM48" s="1"/>
    </row>
    <row r="49" spans="1:39" x14ac:dyDescent="0.3">
      <c r="A49" s="1">
        <v>640752</v>
      </c>
      <c r="B49" s="1">
        <v>519580</v>
      </c>
      <c r="C49" s="1" t="s">
        <v>1189</v>
      </c>
      <c r="D49" s="38" t="s">
        <v>1568</v>
      </c>
      <c r="E49" s="4">
        <v>29186</v>
      </c>
      <c r="F49" s="1">
        <v>46</v>
      </c>
      <c r="G49" s="1" t="s">
        <v>212</v>
      </c>
      <c r="H49" s="1" t="s">
        <v>1501</v>
      </c>
      <c r="I49" s="1" t="s">
        <v>1501</v>
      </c>
      <c r="J49" s="1">
        <v>8528</v>
      </c>
      <c r="K49" s="1" t="s">
        <v>81</v>
      </c>
      <c r="L49" s="1" t="s">
        <v>19</v>
      </c>
      <c r="M49" s="1" t="s">
        <v>6</v>
      </c>
      <c r="N49" s="1" t="s">
        <v>10</v>
      </c>
      <c r="O49" s="1" t="s">
        <v>216</v>
      </c>
      <c r="P49" s="1" t="s">
        <v>52</v>
      </c>
      <c r="Q49" s="1" t="s">
        <v>19</v>
      </c>
      <c r="R49" s="1" t="s">
        <v>8</v>
      </c>
      <c r="S49" s="1" t="s">
        <v>12</v>
      </c>
      <c r="T49" s="1" t="s">
        <v>53</v>
      </c>
      <c r="U49" s="1" t="s">
        <v>8</v>
      </c>
      <c r="V49" s="1" t="str">
        <f>IF(pilgrims[[#This Row],[packages.second_hotel_name]]="",pilgrims[[#This Row],[packages.first_hotel_name]],pilgrims[[#This Row],[packages.second_hotel_name]])</f>
        <v>Makkah Clock Royal Tower A Fairmont Hotel</v>
      </c>
      <c r="W49" s="1" t="str">
        <f>IF(pilgrims[[#This Row],[packages.second_hotel_name]]="",pilgrims[[#This Row],[packages.first_hotel_check_in]],pilgrims[[#This Row],[packages.second_hotel_check_in]])</f>
        <v>2026-05-21</v>
      </c>
      <c r="X49" s="1" t="str">
        <f>IF(pilgrims[[#This Row],[packages.second_hotel_name]]="",pilgrims[[#This Row],[packages.first_hotel_check_out]],pilgrims[[#This Row],[packages.second_hotel_check_out]])</f>
        <v>2026-05-25</v>
      </c>
      <c r="Y49" s="1" t="s">
        <v>16</v>
      </c>
      <c r="Z49" s="1" t="s">
        <v>214</v>
      </c>
      <c r="AA49" s="1" t="s">
        <v>1193</v>
      </c>
      <c r="AB49" s="1" t="s">
        <v>1193</v>
      </c>
      <c r="AC49" s="1" t="s">
        <v>212</v>
      </c>
      <c r="AD49" s="1" t="s">
        <v>134</v>
      </c>
      <c r="AE49" s="1" t="s">
        <v>1281</v>
      </c>
      <c r="AF49" s="4">
        <v>46160</v>
      </c>
      <c r="AG49" s="5">
        <v>0.73958333333333337</v>
      </c>
      <c r="AH49" s="1" t="s">
        <v>63</v>
      </c>
      <c r="AI49" s="1" t="s">
        <v>1280</v>
      </c>
      <c r="AJ49" s="4">
        <v>46172</v>
      </c>
      <c r="AK49" s="5">
        <v>0.35069444444444442</v>
      </c>
      <c r="AL49" s="1" t="s">
        <v>215</v>
      </c>
      <c r="AM49" s="1"/>
    </row>
    <row r="50" spans="1:39" x14ac:dyDescent="0.3">
      <c r="A50" s="1">
        <v>783303</v>
      </c>
      <c r="B50" s="1">
        <v>519580</v>
      </c>
      <c r="C50" s="1" t="s">
        <v>1188</v>
      </c>
      <c r="D50" s="38" t="s">
        <v>1569</v>
      </c>
      <c r="E50" s="4">
        <v>28840</v>
      </c>
      <c r="F50" s="1">
        <v>47</v>
      </c>
      <c r="G50" s="1" t="s">
        <v>212</v>
      </c>
      <c r="H50" s="1" t="s">
        <v>1501</v>
      </c>
      <c r="I50" s="1" t="s">
        <v>1501</v>
      </c>
      <c r="J50" s="1">
        <v>8528</v>
      </c>
      <c r="K50" s="1" t="s">
        <v>81</v>
      </c>
      <c r="L50" s="1" t="s">
        <v>19</v>
      </c>
      <c r="M50" s="1" t="s">
        <v>6</v>
      </c>
      <c r="N50" s="1" t="s">
        <v>10</v>
      </c>
      <c r="O50" s="1" t="s">
        <v>216</v>
      </c>
      <c r="P50" s="1" t="s">
        <v>52</v>
      </c>
      <c r="Q50" s="1" t="s">
        <v>19</v>
      </c>
      <c r="R50" s="1" t="s">
        <v>8</v>
      </c>
      <c r="S50" s="1" t="s">
        <v>12</v>
      </c>
      <c r="T50" s="1" t="s">
        <v>53</v>
      </c>
      <c r="U50" s="1" t="s">
        <v>8</v>
      </c>
      <c r="V50" s="1" t="str">
        <f>IF(pilgrims[[#This Row],[packages.second_hotel_name]]="",pilgrims[[#This Row],[packages.first_hotel_name]],pilgrims[[#This Row],[packages.second_hotel_name]])</f>
        <v>Makkah Clock Royal Tower A Fairmont Hotel</v>
      </c>
      <c r="W50" s="1" t="str">
        <f>IF(pilgrims[[#This Row],[packages.second_hotel_name]]="",pilgrims[[#This Row],[packages.first_hotel_check_in]],pilgrims[[#This Row],[packages.second_hotel_check_in]])</f>
        <v>2026-05-21</v>
      </c>
      <c r="X50" s="1" t="str">
        <f>IF(pilgrims[[#This Row],[packages.second_hotel_name]]="",pilgrims[[#This Row],[packages.first_hotel_check_out]],pilgrims[[#This Row],[packages.second_hotel_check_out]])</f>
        <v>2026-05-25</v>
      </c>
      <c r="Y50" s="1" t="s">
        <v>16</v>
      </c>
      <c r="Z50" s="1" t="s">
        <v>214</v>
      </c>
      <c r="AA50" s="1" t="s">
        <v>1193</v>
      </c>
      <c r="AB50" s="1" t="s">
        <v>1193</v>
      </c>
      <c r="AC50" s="1" t="s">
        <v>212</v>
      </c>
      <c r="AD50" s="1" t="s">
        <v>134</v>
      </c>
      <c r="AE50" s="1" t="s">
        <v>1281</v>
      </c>
      <c r="AF50" s="4">
        <v>46160</v>
      </c>
      <c r="AG50" s="5">
        <v>0.73958333333333337</v>
      </c>
      <c r="AH50" s="1" t="s">
        <v>63</v>
      </c>
      <c r="AI50" s="1" t="s">
        <v>1280</v>
      </c>
      <c r="AJ50" s="4">
        <v>46172</v>
      </c>
      <c r="AK50" s="5">
        <v>0.35069444444444442</v>
      </c>
      <c r="AL50" s="1" t="s">
        <v>215</v>
      </c>
      <c r="AM50" s="1"/>
    </row>
    <row r="51" spans="1:39" x14ac:dyDescent="0.3">
      <c r="A51" s="1">
        <v>776402</v>
      </c>
      <c r="B51" s="1">
        <v>629152</v>
      </c>
      <c r="C51" s="1" t="s">
        <v>1189</v>
      </c>
      <c r="D51" s="38" t="s">
        <v>1570</v>
      </c>
      <c r="E51" s="4">
        <v>28644</v>
      </c>
      <c r="F51" s="1">
        <v>47</v>
      </c>
      <c r="G51" s="1" t="s">
        <v>212</v>
      </c>
      <c r="H51" s="1" t="s">
        <v>1502</v>
      </c>
      <c r="I51" s="1" t="s">
        <v>1502</v>
      </c>
      <c r="J51" s="1">
        <v>8525</v>
      </c>
      <c r="K51" s="1" t="s">
        <v>77</v>
      </c>
      <c r="L51" s="1" t="s">
        <v>19</v>
      </c>
      <c r="M51" s="1" t="s">
        <v>13</v>
      </c>
      <c r="N51" s="1" t="s">
        <v>10</v>
      </c>
      <c r="O51" s="1" t="s">
        <v>216</v>
      </c>
      <c r="P51" s="1" t="s">
        <v>52</v>
      </c>
      <c r="Q51" s="1" t="s">
        <v>19</v>
      </c>
      <c r="R51" s="1" t="s">
        <v>8</v>
      </c>
      <c r="S51" s="1" t="s">
        <v>12</v>
      </c>
      <c r="T51" s="1" t="s">
        <v>53</v>
      </c>
      <c r="U51" s="1" t="s">
        <v>8</v>
      </c>
      <c r="V51" s="1" t="str">
        <f>IF(pilgrims[[#This Row],[packages.second_hotel_name]]="",pilgrims[[#This Row],[packages.first_hotel_name]],pilgrims[[#This Row],[packages.second_hotel_name]])</f>
        <v>Makkah Clock Royal Tower A Fairmont Hotel</v>
      </c>
      <c r="W51" s="1" t="str">
        <f>IF(pilgrims[[#This Row],[packages.second_hotel_name]]="",pilgrims[[#This Row],[packages.first_hotel_check_in]],pilgrims[[#This Row],[packages.second_hotel_check_in]])</f>
        <v>2026-05-21</v>
      </c>
      <c r="X51" s="1" t="str">
        <f>IF(pilgrims[[#This Row],[packages.second_hotel_name]]="",pilgrims[[#This Row],[packages.first_hotel_check_out]],pilgrims[[#This Row],[packages.second_hotel_check_out]])</f>
        <v>2026-05-24</v>
      </c>
      <c r="Y51" s="1" t="s">
        <v>11</v>
      </c>
      <c r="Z51" s="1" t="s">
        <v>214</v>
      </c>
      <c r="AA51" s="1" t="s">
        <v>1209</v>
      </c>
      <c r="AB51" s="1" t="s">
        <v>1209</v>
      </c>
      <c r="AC51" s="1" t="s">
        <v>212</v>
      </c>
      <c r="AD51" s="1" t="s">
        <v>134</v>
      </c>
      <c r="AE51" s="1" t="s">
        <v>1281</v>
      </c>
      <c r="AF51" s="4">
        <v>46160</v>
      </c>
      <c r="AG51" s="5">
        <v>0.73958333333333337</v>
      </c>
      <c r="AH51" s="1" t="s">
        <v>68</v>
      </c>
      <c r="AI51" s="1" t="s">
        <v>1280</v>
      </c>
      <c r="AJ51" s="4">
        <v>46172</v>
      </c>
      <c r="AK51" s="5">
        <v>0.38541666666666669</v>
      </c>
      <c r="AL51" s="1" t="s">
        <v>215</v>
      </c>
      <c r="AM51" s="1"/>
    </row>
    <row r="52" spans="1:39" x14ac:dyDescent="0.3">
      <c r="A52" s="1">
        <v>776411</v>
      </c>
      <c r="B52" s="1">
        <v>629152</v>
      </c>
      <c r="C52" s="1" t="s">
        <v>1188</v>
      </c>
      <c r="D52" s="38" t="s">
        <v>1571</v>
      </c>
      <c r="E52" s="4">
        <v>28752</v>
      </c>
      <c r="F52" s="1">
        <v>47</v>
      </c>
      <c r="G52" s="1" t="s">
        <v>212</v>
      </c>
      <c r="H52" s="1" t="s">
        <v>1502</v>
      </c>
      <c r="I52" s="1" t="s">
        <v>1502</v>
      </c>
      <c r="J52" s="1">
        <v>8525</v>
      </c>
      <c r="K52" s="1" t="s">
        <v>77</v>
      </c>
      <c r="L52" s="1" t="s">
        <v>19</v>
      </c>
      <c r="M52" s="1" t="s">
        <v>13</v>
      </c>
      <c r="N52" s="1" t="s">
        <v>10</v>
      </c>
      <c r="O52" s="1" t="s">
        <v>216</v>
      </c>
      <c r="P52" s="1" t="s">
        <v>52</v>
      </c>
      <c r="Q52" s="1" t="s">
        <v>19</v>
      </c>
      <c r="R52" s="1" t="s">
        <v>8</v>
      </c>
      <c r="S52" s="1" t="s">
        <v>12</v>
      </c>
      <c r="T52" s="1" t="s">
        <v>53</v>
      </c>
      <c r="U52" s="1" t="s">
        <v>8</v>
      </c>
      <c r="V52" s="1" t="str">
        <f>IF(pilgrims[[#This Row],[packages.second_hotel_name]]="",pilgrims[[#This Row],[packages.first_hotel_name]],pilgrims[[#This Row],[packages.second_hotel_name]])</f>
        <v>Makkah Clock Royal Tower A Fairmont Hotel</v>
      </c>
      <c r="W52" s="1" t="str">
        <f>IF(pilgrims[[#This Row],[packages.second_hotel_name]]="",pilgrims[[#This Row],[packages.first_hotel_check_in]],pilgrims[[#This Row],[packages.second_hotel_check_in]])</f>
        <v>2026-05-21</v>
      </c>
      <c r="X52" s="1" t="str">
        <f>IF(pilgrims[[#This Row],[packages.second_hotel_name]]="",pilgrims[[#This Row],[packages.first_hotel_check_out]],pilgrims[[#This Row],[packages.second_hotel_check_out]])</f>
        <v>2026-05-24</v>
      </c>
      <c r="Y52" s="1" t="s">
        <v>11</v>
      </c>
      <c r="Z52" s="1" t="s">
        <v>214</v>
      </c>
      <c r="AA52" s="1" t="s">
        <v>1209</v>
      </c>
      <c r="AB52" s="1" t="s">
        <v>1209</v>
      </c>
      <c r="AC52" s="1" t="s">
        <v>212</v>
      </c>
      <c r="AD52" s="1" t="s">
        <v>134</v>
      </c>
      <c r="AE52" s="1" t="s">
        <v>1281</v>
      </c>
      <c r="AF52" s="4">
        <v>46160</v>
      </c>
      <c r="AG52" s="5">
        <v>0.73958333333333337</v>
      </c>
      <c r="AH52" s="1" t="s">
        <v>68</v>
      </c>
      <c r="AI52" s="1" t="s">
        <v>1280</v>
      </c>
      <c r="AJ52" s="4">
        <v>46172</v>
      </c>
      <c r="AK52" s="5">
        <v>0.38541666666666669</v>
      </c>
      <c r="AL52" s="1" t="s">
        <v>215</v>
      </c>
      <c r="AM52" s="1"/>
    </row>
    <row r="53" spans="1:39" x14ac:dyDescent="0.3">
      <c r="A53" s="1">
        <v>629723</v>
      </c>
      <c r="B53" s="1">
        <v>510224</v>
      </c>
      <c r="C53" s="1" t="s">
        <v>1189</v>
      </c>
      <c r="D53" s="38" t="s">
        <v>1572</v>
      </c>
      <c r="E53" s="4">
        <v>25666</v>
      </c>
      <c r="F53" s="1">
        <v>55</v>
      </c>
      <c r="G53" s="1" t="s">
        <v>212</v>
      </c>
      <c r="H53" s="1" t="s">
        <v>1501</v>
      </c>
      <c r="I53" s="1" t="s">
        <v>1501</v>
      </c>
      <c r="J53" s="1">
        <v>8529</v>
      </c>
      <c r="K53" s="1" t="s">
        <v>82</v>
      </c>
      <c r="L53" s="1" t="s">
        <v>19</v>
      </c>
      <c r="M53" s="1" t="s">
        <v>13</v>
      </c>
      <c r="N53" s="1" t="s">
        <v>20</v>
      </c>
      <c r="O53" s="1" t="s">
        <v>216</v>
      </c>
      <c r="P53" s="1" t="s">
        <v>53</v>
      </c>
      <c r="Q53" s="1" t="s">
        <v>19</v>
      </c>
      <c r="R53" s="1" t="s">
        <v>8</v>
      </c>
      <c r="S53" s="1" t="s">
        <v>21</v>
      </c>
      <c r="T53" s="1" t="s">
        <v>53</v>
      </c>
      <c r="U53" s="1" t="s">
        <v>8</v>
      </c>
      <c r="V53" s="1" t="str">
        <f>IF(pilgrims[[#This Row],[packages.second_hotel_name]]="",pilgrims[[#This Row],[packages.first_hotel_name]],pilgrims[[#This Row],[packages.second_hotel_name]])</f>
        <v>Swissotel Makkah Hotel</v>
      </c>
      <c r="W53" s="1" t="str">
        <f>IF(pilgrims[[#This Row],[packages.second_hotel_name]]="",pilgrims[[#This Row],[packages.first_hotel_check_in]],pilgrims[[#This Row],[packages.second_hotel_check_in]])</f>
        <v>2026-05-21</v>
      </c>
      <c r="X53" s="1" t="str">
        <f>IF(pilgrims[[#This Row],[packages.second_hotel_name]]="",pilgrims[[#This Row],[packages.first_hotel_check_out]],pilgrims[[#This Row],[packages.second_hotel_check_out]])</f>
        <v>2026-05-25</v>
      </c>
      <c r="Y53" s="1" t="s">
        <v>16</v>
      </c>
      <c r="Z53" s="1" t="s">
        <v>214</v>
      </c>
      <c r="AA53" s="1" t="s">
        <v>1194</v>
      </c>
      <c r="AB53" s="1" t="s">
        <v>1194</v>
      </c>
      <c r="AC53" s="1" t="s">
        <v>212</v>
      </c>
      <c r="AD53" s="1" t="s">
        <v>137</v>
      </c>
      <c r="AE53" s="1" t="s">
        <v>1281</v>
      </c>
      <c r="AF53" s="4">
        <v>46161</v>
      </c>
      <c r="AG53" s="5">
        <v>0.87847222222222221</v>
      </c>
      <c r="AH53" s="1" t="s">
        <v>63</v>
      </c>
      <c r="AI53" s="1" t="s">
        <v>1280</v>
      </c>
      <c r="AJ53" s="4">
        <v>46173</v>
      </c>
      <c r="AK53" s="5">
        <v>0.3923611111111111</v>
      </c>
      <c r="AL53" s="1" t="s">
        <v>215</v>
      </c>
      <c r="AM53" s="1"/>
    </row>
    <row r="54" spans="1:39" x14ac:dyDescent="0.3">
      <c r="A54" s="1">
        <v>483536</v>
      </c>
      <c r="B54" s="1">
        <v>680676</v>
      </c>
      <c r="C54" s="1" t="s">
        <v>1189</v>
      </c>
      <c r="D54" s="38" t="s">
        <v>1573</v>
      </c>
      <c r="E54" s="4">
        <v>30231</v>
      </c>
      <c r="F54" s="1">
        <v>43</v>
      </c>
      <c r="G54" s="1" t="s">
        <v>212</v>
      </c>
      <c r="H54" s="1" t="s">
        <v>1501</v>
      </c>
      <c r="I54" s="1" t="s">
        <v>1501</v>
      </c>
      <c r="J54" s="1">
        <v>8530</v>
      </c>
      <c r="K54" s="1" t="s">
        <v>83</v>
      </c>
      <c r="L54" s="1" t="s">
        <v>19</v>
      </c>
      <c r="M54" s="1" t="s">
        <v>13</v>
      </c>
      <c r="N54" s="1" t="s">
        <v>5</v>
      </c>
      <c r="O54" s="1" t="s">
        <v>216</v>
      </c>
      <c r="P54" s="1" t="s">
        <v>53</v>
      </c>
      <c r="Q54" s="1" t="s">
        <v>19</v>
      </c>
      <c r="R54" s="1" t="s">
        <v>8</v>
      </c>
      <c r="S54" s="1" t="s">
        <v>15</v>
      </c>
      <c r="T54" s="1" t="s">
        <v>53</v>
      </c>
      <c r="U54" s="1" t="s">
        <v>8</v>
      </c>
      <c r="V54" s="1" t="str">
        <f>IF(pilgrims[[#This Row],[packages.second_hotel_name]]="",pilgrims[[#This Row],[packages.first_hotel_name]],pilgrims[[#This Row],[packages.second_hotel_name]])</f>
        <v>Swissotel Al Maqam Makkah</v>
      </c>
      <c r="W54" s="1" t="str">
        <f>IF(pilgrims[[#This Row],[packages.second_hotel_name]]="",pilgrims[[#This Row],[packages.first_hotel_check_in]],pilgrims[[#This Row],[packages.second_hotel_check_in]])</f>
        <v>2026-05-21</v>
      </c>
      <c r="X54" s="1" t="str">
        <f>IF(pilgrims[[#This Row],[packages.second_hotel_name]]="",pilgrims[[#This Row],[packages.first_hotel_check_out]],pilgrims[[#This Row],[packages.second_hotel_check_out]])</f>
        <v>2026-05-25</v>
      </c>
      <c r="Y54" s="1" t="s">
        <v>16</v>
      </c>
      <c r="Z54" s="1" t="s">
        <v>214</v>
      </c>
      <c r="AA54" s="1" t="s">
        <v>1190</v>
      </c>
      <c r="AB54" s="1" t="s">
        <v>1190</v>
      </c>
      <c r="AC54" s="1" t="s">
        <v>212</v>
      </c>
      <c r="AD54" s="1" t="s">
        <v>133</v>
      </c>
      <c r="AE54" s="1" t="s">
        <v>1281</v>
      </c>
      <c r="AF54" s="4">
        <v>46160</v>
      </c>
      <c r="AG54" s="5">
        <v>0.3923611111111111</v>
      </c>
      <c r="AH54" s="1" t="s">
        <v>60</v>
      </c>
      <c r="AI54" s="1" t="s">
        <v>1280</v>
      </c>
      <c r="AJ54" s="4">
        <v>46173</v>
      </c>
      <c r="AK54" s="5">
        <v>0.12847222222222221</v>
      </c>
      <c r="AL54" s="1" t="s">
        <v>215</v>
      </c>
      <c r="AM54" s="1"/>
    </row>
    <row r="55" spans="1:39" x14ac:dyDescent="0.3">
      <c r="A55" s="1">
        <v>640727</v>
      </c>
      <c r="B55" s="1">
        <v>680676</v>
      </c>
      <c r="C55" s="1" t="s">
        <v>1188</v>
      </c>
      <c r="D55" s="38" t="s">
        <v>1574</v>
      </c>
      <c r="E55" s="4">
        <v>30078</v>
      </c>
      <c r="F55" s="1">
        <v>43</v>
      </c>
      <c r="G55" s="1" t="s">
        <v>212</v>
      </c>
      <c r="H55" s="1" t="s">
        <v>1501</v>
      </c>
      <c r="I55" s="1" t="s">
        <v>1501</v>
      </c>
      <c r="J55" s="1">
        <v>8530</v>
      </c>
      <c r="K55" s="1" t="s">
        <v>83</v>
      </c>
      <c r="L55" s="1" t="s">
        <v>19</v>
      </c>
      <c r="M55" s="1" t="s">
        <v>13</v>
      </c>
      <c r="N55" s="1" t="s">
        <v>5</v>
      </c>
      <c r="O55" s="1" t="s">
        <v>216</v>
      </c>
      <c r="P55" s="1" t="s">
        <v>53</v>
      </c>
      <c r="Q55" s="1" t="s">
        <v>19</v>
      </c>
      <c r="R55" s="1" t="s">
        <v>8</v>
      </c>
      <c r="S55" s="1" t="s">
        <v>15</v>
      </c>
      <c r="T55" s="1" t="s">
        <v>53</v>
      </c>
      <c r="U55" s="1" t="s">
        <v>8</v>
      </c>
      <c r="V55" s="1" t="str">
        <f>IF(pilgrims[[#This Row],[packages.second_hotel_name]]="",pilgrims[[#This Row],[packages.first_hotel_name]],pilgrims[[#This Row],[packages.second_hotel_name]])</f>
        <v>Swissotel Al Maqam Makkah</v>
      </c>
      <c r="W55" s="1" t="str">
        <f>IF(pilgrims[[#This Row],[packages.second_hotel_name]]="",pilgrims[[#This Row],[packages.first_hotel_check_in]],pilgrims[[#This Row],[packages.second_hotel_check_in]])</f>
        <v>2026-05-21</v>
      </c>
      <c r="X55" s="1" t="str">
        <f>IF(pilgrims[[#This Row],[packages.second_hotel_name]]="",pilgrims[[#This Row],[packages.first_hotel_check_out]],pilgrims[[#This Row],[packages.second_hotel_check_out]])</f>
        <v>2026-05-25</v>
      </c>
      <c r="Y55" s="1" t="s">
        <v>16</v>
      </c>
      <c r="Z55" s="1" t="s">
        <v>214</v>
      </c>
      <c r="AA55" s="1" t="s">
        <v>1190</v>
      </c>
      <c r="AB55" s="1" t="s">
        <v>1190</v>
      </c>
      <c r="AC55" s="1" t="s">
        <v>212</v>
      </c>
      <c r="AD55" s="1" t="s">
        <v>133</v>
      </c>
      <c r="AE55" s="1" t="s">
        <v>1281</v>
      </c>
      <c r="AF55" s="4">
        <v>46160</v>
      </c>
      <c r="AG55" s="5">
        <v>0.3923611111111111</v>
      </c>
      <c r="AH55" s="1" t="s">
        <v>60</v>
      </c>
      <c r="AI55" s="1" t="s">
        <v>1280</v>
      </c>
      <c r="AJ55" s="4">
        <v>46173</v>
      </c>
      <c r="AK55" s="5">
        <v>0.12847222222222221</v>
      </c>
      <c r="AL55" s="1" t="s">
        <v>215</v>
      </c>
      <c r="AM55" s="1"/>
    </row>
    <row r="56" spans="1:39" x14ac:dyDescent="0.3">
      <c r="A56" s="1">
        <v>549942</v>
      </c>
      <c r="B56" s="1">
        <v>436747</v>
      </c>
      <c r="C56" s="1" t="s">
        <v>1188</v>
      </c>
      <c r="D56" s="38" t="s">
        <v>1575</v>
      </c>
      <c r="E56" s="4">
        <v>25859</v>
      </c>
      <c r="F56" s="1">
        <v>55</v>
      </c>
      <c r="G56" s="1" t="s">
        <v>212</v>
      </c>
      <c r="H56" s="1" t="s">
        <v>1501</v>
      </c>
      <c r="I56" s="1" t="s">
        <v>1501</v>
      </c>
      <c r="J56" s="1">
        <v>8529</v>
      </c>
      <c r="K56" s="1" t="s">
        <v>82</v>
      </c>
      <c r="L56" s="1" t="s">
        <v>19</v>
      </c>
      <c r="M56" s="1" t="s">
        <v>13</v>
      </c>
      <c r="N56" s="1" t="s">
        <v>20</v>
      </c>
      <c r="O56" s="1" t="s">
        <v>216</v>
      </c>
      <c r="P56" s="1" t="s">
        <v>53</v>
      </c>
      <c r="Q56" s="1" t="s">
        <v>19</v>
      </c>
      <c r="R56" s="1" t="s">
        <v>8</v>
      </c>
      <c r="S56" s="1" t="s">
        <v>21</v>
      </c>
      <c r="T56" s="1" t="s">
        <v>53</v>
      </c>
      <c r="U56" s="1" t="s">
        <v>8</v>
      </c>
      <c r="V56" s="1" t="str">
        <f>IF(pilgrims[[#This Row],[packages.second_hotel_name]]="",pilgrims[[#This Row],[packages.first_hotel_name]],pilgrims[[#This Row],[packages.second_hotel_name]])</f>
        <v>Swissotel Makkah Hotel</v>
      </c>
      <c r="W56" s="1" t="str">
        <f>IF(pilgrims[[#This Row],[packages.second_hotel_name]]="",pilgrims[[#This Row],[packages.first_hotel_check_in]],pilgrims[[#This Row],[packages.second_hotel_check_in]])</f>
        <v>2026-05-21</v>
      </c>
      <c r="X56" s="1" t="str">
        <f>IF(pilgrims[[#This Row],[packages.second_hotel_name]]="",pilgrims[[#This Row],[packages.first_hotel_check_out]],pilgrims[[#This Row],[packages.second_hotel_check_out]])</f>
        <v>2026-05-25</v>
      </c>
      <c r="Y56" s="1" t="s">
        <v>16</v>
      </c>
      <c r="Z56" s="1" t="s">
        <v>214</v>
      </c>
      <c r="AA56" s="1" t="s">
        <v>1207</v>
      </c>
      <c r="AB56" s="1" t="s">
        <v>1207</v>
      </c>
      <c r="AC56" s="1" t="s">
        <v>212</v>
      </c>
      <c r="AD56" s="1" t="s">
        <v>135</v>
      </c>
      <c r="AE56" s="1" t="s">
        <v>1281</v>
      </c>
      <c r="AF56" s="4">
        <v>46160</v>
      </c>
      <c r="AG56" s="5">
        <v>0.89236111111111116</v>
      </c>
      <c r="AH56" s="1" t="s">
        <v>68</v>
      </c>
      <c r="AI56" s="1" t="s">
        <v>1280</v>
      </c>
      <c r="AJ56" s="4">
        <v>46172</v>
      </c>
      <c r="AK56" s="5">
        <v>0.38541666666666669</v>
      </c>
      <c r="AL56" s="1" t="s">
        <v>215</v>
      </c>
      <c r="AM56" s="1"/>
    </row>
    <row r="57" spans="1:39" x14ac:dyDescent="0.3">
      <c r="A57" s="1">
        <v>553836</v>
      </c>
      <c r="B57" s="1">
        <v>436747</v>
      </c>
      <c r="C57" s="1" t="s">
        <v>1189</v>
      </c>
      <c r="D57" s="38" t="s">
        <v>1576</v>
      </c>
      <c r="E57" s="4">
        <v>26720</v>
      </c>
      <c r="F57" s="1">
        <v>53</v>
      </c>
      <c r="G57" s="1" t="s">
        <v>212</v>
      </c>
      <c r="H57" s="1" t="s">
        <v>1501</v>
      </c>
      <c r="I57" s="1" t="s">
        <v>1501</v>
      </c>
      <c r="J57" s="1">
        <v>8529</v>
      </c>
      <c r="K57" s="1" t="s">
        <v>82</v>
      </c>
      <c r="L57" s="1" t="s">
        <v>19</v>
      </c>
      <c r="M57" s="1" t="s">
        <v>13</v>
      </c>
      <c r="N57" s="1" t="s">
        <v>20</v>
      </c>
      <c r="O57" s="1" t="s">
        <v>216</v>
      </c>
      <c r="P57" s="1" t="s">
        <v>53</v>
      </c>
      <c r="Q57" s="1" t="s">
        <v>19</v>
      </c>
      <c r="R57" s="1" t="s">
        <v>8</v>
      </c>
      <c r="S57" s="1" t="s">
        <v>21</v>
      </c>
      <c r="T57" s="1" t="s">
        <v>53</v>
      </c>
      <c r="U57" s="1" t="s">
        <v>8</v>
      </c>
      <c r="V57" s="1" t="str">
        <f>IF(pilgrims[[#This Row],[packages.second_hotel_name]]="",pilgrims[[#This Row],[packages.first_hotel_name]],pilgrims[[#This Row],[packages.second_hotel_name]])</f>
        <v>Swissotel Makkah Hotel</v>
      </c>
      <c r="W57" s="1" t="str">
        <f>IF(pilgrims[[#This Row],[packages.second_hotel_name]]="",pilgrims[[#This Row],[packages.first_hotel_check_in]],pilgrims[[#This Row],[packages.second_hotel_check_in]])</f>
        <v>2026-05-21</v>
      </c>
      <c r="X57" s="1" t="str">
        <f>IF(pilgrims[[#This Row],[packages.second_hotel_name]]="",pilgrims[[#This Row],[packages.first_hotel_check_out]],pilgrims[[#This Row],[packages.second_hotel_check_out]])</f>
        <v>2026-05-25</v>
      </c>
      <c r="Y57" s="1" t="s">
        <v>16</v>
      </c>
      <c r="Z57" s="1" t="s">
        <v>214</v>
      </c>
      <c r="AA57" s="1" t="s">
        <v>1207</v>
      </c>
      <c r="AB57" s="1" t="s">
        <v>1207</v>
      </c>
      <c r="AC57" s="1" t="s">
        <v>212</v>
      </c>
      <c r="AD57" s="1" t="s">
        <v>135</v>
      </c>
      <c r="AE57" s="1" t="s">
        <v>1281</v>
      </c>
      <c r="AF57" s="4">
        <v>46160</v>
      </c>
      <c r="AG57" s="5">
        <v>0.89236111111111116</v>
      </c>
      <c r="AH57" s="1" t="s">
        <v>68</v>
      </c>
      <c r="AI57" s="1" t="s">
        <v>1280</v>
      </c>
      <c r="AJ57" s="4">
        <v>46172</v>
      </c>
      <c r="AK57" s="5">
        <v>0.38541666666666669</v>
      </c>
      <c r="AL57" s="1" t="s">
        <v>215</v>
      </c>
      <c r="AM57" s="1"/>
    </row>
    <row r="58" spans="1:39" x14ac:dyDescent="0.3">
      <c r="A58" s="1">
        <v>524615</v>
      </c>
      <c r="B58" s="1">
        <v>415154</v>
      </c>
      <c r="C58" s="1" t="s">
        <v>1189</v>
      </c>
      <c r="D58" s="38" t="s">
        <v>1577</v>
      </c>
      <c r="E58" s="4">
        <v>33866</v>
      </c>
      <c r="F58" s="1">
        <v>33</v>
      </c>
      <c r="G58" s="1" t="s">
        <v>212</v>
      </c>
      <c r="H58" s="1" t="s">
        <v>1503</v>
      </c>
      <c r="I58" s="1" t="s">
        <v>1503</v>
      </c>
      <c r="J58" s="1">
        <v>8716</v>
      </c>
      <c r="K58" s="1" t="s">
        <v>98</v>
      </c>
      <c r="L58" s="1" t="s">
        <v>8</v>
      </c>
      <c r="M58" s="1" t="s">
        <v>4</v>
      </c>
      <c r="N58" s="1" t="s">
        <v>21</v>
      </c>
      <c r="O58" s="1" t="s">
        <v>216</v>
      </c>
      <c r="P58" s="1" t="s">
        <v>53</v>
      </c>
      <c r="Q58" s="1" t="s">
        <v>8</v>
      </c>
      <c r="R58" s="1" t="s">
        <v>16</v>
      </c>
      <c r="S58" s="1" t="s">
        <v>5</v>
      </c>
      <c r="T58" s="1" t="s">
        <v>53</v>
      </c>
      <c r="U58" s="1" t="s">
        <v>6</v>
      </c>
      <c r="V58" s="1" t="str">
        <f>IF(pilgrims[[#This Row],[packages.second_hotel_name]]="",pilgrims[[#This Row],[packages.first_hotel_name]],pilgrims[[#This Row],[packages.second_hotel_name]])</f>
        <v>Movenpick Anwar Almadinah Hotel</v>
      </c>
      <c r="W58" s="1" t="str">
        <f>IF(pilgrims[[#This Row],[packages.second_hotel_name]]="",pilgrims[[#This Row],[packages.first_hotel_check_in]],pilgrims[[#This Row],[packages.second_hotel_check_in]])</f>
        <v>2026-05-30</v>
      </c>
      <c r="X58" s="1" t="str">
        <f>IF(pilgrims[[#This Row],[packages.second_hotel_name]]="",pilgrims[[#This Row],[packages.first_hotel_check_out]],pilgrims[[#This Row],[packages.second_hotel_check_out]])</f>
        <v>2026-06-02</v>
      </c>
      <c r="Y58" s="1" t="s">
        <v>4</v>
      </c>
      <c r="Z58" s="1" t="s">
        <v>261</v>
      </c>
      <c r="AA58" s="1" t="s">
        <v>309</v>
      </c>
      <c r="AB58" s="1" t="s">
        <v>1468</v>
      </c>
      <c r="AC58" s="1" t="s">
        <v>310</v>
      </c>
      <c r="AD58" s="1" t="s">
        <v>1469</v>
      </c>
      <c r="AE58" s="1" t="s">
        <v>1280</v>
      </c>
      <c r="AF58" s="4">
        <v>46163</v>
      </c>
      <c r="AG58" s="5">
        <v>0.4375</v>
      </c>
      <c r="AH58" s="1" t="s">
        <v>1374</v>
      </c>
      <c r="AI58" s="1" t="s">
        <v>1281</v>
      </c>
      <c r="AJ58" s="4">
        <v>46175</v>
      </c>
      <c r="AK58" s="5">
        <v>0.64236111111111116</v>
      </c>
      <c r="AL58" s="1" t="s">
        <v>215</v>
      </c>
      <c r="AM58" s="1"/>
    </row>
    <row r="59" spans="1:39" x14ac:dyDescent="0.3">
      <c r="A59" s="1">
        <v>688469</v>
      </c>
      <c r="B59" s="1">
        <v>559511</v>
      </c>
      <c r="C59" s="1" t="s">
        <v>1189</v>
      </c>
      <c r="D59" s="38" t="s">
        <v>1578</v>
      </c>
      <c r="E59" s="4">
        <v>29307</v>
      </c>
      <c r="F59" s="1">
        <v>45</v>
      </c>
      <c r="G59" s="1" t="s">
        <v>212</v>
      </c>
      <c r="H59" s="1" t="s">
        <v>1501</v>
      </c>
      <c r="I59" s="1" t="s">
        <v>1501</v>
      </c>
      <c r="J59" s="1">
        <v>8535</v>
      </c>
      <c r="K59" s="1" t="s">
        <v>86</v>
      </c>
      <c r="L59" s="1" t="s">
        <v>8</v>
      </c>
      <c r="M59" s="1" t="s">
        <v>4</v>
      </c>
      <c r="N59" s="1" t="s">
        <v>12</v>
      </c>
      <c r="O59" s="1" t="s">
        <v>216</v>
      </c>
      <c r="P59" s="1" t="s">
        <v>53</v>
      </c>
      <c r="Q59" s="1" t="s">
        <v>8</v>
      </c>
      <c r="R59" s="1" t="s">
        <v>11</v>
      </c>
      <c r="S59" s="1" t="s">
        <v>20</v>
      </c>
      <c r="T59" s="1" t="s">
        <v>53</v>
      </c>
      <c r="U59" s="1" t="s">
        <v>6</v>
      </c>
      <c r="V59" s="1" t="str">
        <f>IF(pilgrims[[#This Row],[packages.second_hotel_name]]="",pilgrims[[#This Row],[packages.first_hotel_name]],pilgrims[[#This Row],[packages.second_hotel_name]])</f>
        <v>Daral Taqwa Hotel</v>
      </c>
      <c r="W59" s="1" t="str">
        <f>IF(pilgrims[[#This Row],[packages.second_hotel_name]]="",pilgrims[[#This Row],[packages.first_hotel_check_in]],pilgrims[[#This Row],[packages.second_hotel_check_in]])</f>
        <v>2026-05-30</v>
      </c>
      <c r="X59" s="1" t="str">
        <f>IF(pilgrims[[#This Row],[packages.second_hotel_name]]="",pilgrims[[#This Row],[packages.first_hotel_check_out]],pilgrims[[#This Row],[packages.second_hotel_check_out]])</f>
        <v>2026-06-02</v>
      </c>
      <c r="Y59" s="1" t="s">
        <v>4</v>
      </c>
      <c r="Z59" s="1" t="s">
        <v>214</v>
      </c>
      <c r="AA59" s="1" t="s">
        <v>1191</v>
      </c>
      <c r="AB59" s="1" t="s">
        <v>1191</v>
      </c>
      <c r="AC59" s="1" t="s">
        <v>212</v>
      </c>
      <c r="AD59" s="1" t="s">
        <v>57</v>
      </c>
      <c r="AE59" s="1" t="s">
        <v>1280</v>
      </c>
      <c r="AF59" s="4">
        <v>46163</v>
      </c>
      <c r="AG59" s="5">
        <v>0.2361111111111111</v>
      </c>
      <c r="AH59" s="1" t="s">
        <v>76</v>
      </c>
      <c r="AI59" s="1" t="s">
        <v>1281</v>
      </c>
      <c r="AJ59" s="4">
        <v>46175</v>
      </c>
      <c r="AK59" s="5">
        <v>0.93055555555555558</v>
      </c>
      <c r="AL59" s="1" t="s">
        <v>215</v>
      </c>
      <c r="AM59" s="1"/>
    </row>
    <row r="60" spans="1:39" x14ac:dyDescent="0.3">
      <c r="A60" s="1">
        <v>602879</v>
      </c>
      <c r="B60" s="1">
        <v>415154</v>
      </c>
      <c r="C60" s="1" t="s">
        <v>1188</v>
      </c>
      <c r="D60" s="38" t="s">
        <v>1579</v>
      </c>
      <c r="E60" s="4">
        <v>33971</v>
      </c>
      <c r="F60" s="1">
        <v>33</v>
      </c>
      <c r="G60" s="1" t="s">
        <v>212</v>
      </c>
      <c r="H60" s="1" t="s">
        <v>1503</v>
      </c>
      <c r="I60" s="1" t="s">
        <v>1503</v>
      </c>
      <c r="J60" s="1">
        <v>8716</v>
      </c>
      <c r="K60" s="1" t="s">
        <v>98</v>
      </c>
      <c r="L60" s="1" t="s">
        <v>8</v>
      </c>
      <c r="M60" s="1" t="s">
        <v>4</v>
      </c>
      <c r="N60" s="1" t="s">
        <v>21</v>
      </c>
      <c r="O60" s="1" t="s">
        <v>216</v>
      </c>
      <c r="P60" s="1" t="s">
        <v>53</v>
      </c>
      <c r="Q60" s="1" t="s">
        <v>8</v>
      </c>
      <c r="R60" s="1" t="s">
        <v>16</v>
      </c>
      <c r="S60" s="1" t="s">
        <v>5</v>
      </c>
      <c r="T60" s="1" t="s">
        <v>53</v>
      </c>
      <c r="U60" s="1" t="s">
        <v>6</v>
      </c>
      <c r="V60" s="1" t="str">
        <f>IF(pilgrims[[#This Row],[packages.second_hotel_name]]="",pilgrims[[#This Row],[packages.first_hotel_name]],pilgrims[[#This Row],[packages.second_hotel_name]])</f>
        <v>Movenpick Anwar Almadinah Hotel</v>
      </c>
      <c r="W60" s="1" t="str">
        <f>IF(pilgrims[[#This Row],[packages.second_hotel_name]]="",pilgrims[[#This Row],[packages.first_hotel_check_in]],pilgrims[[#This Row],[packages.second_hotel_check_in]])</f>
        <v>2026-05-30</v>
      </c>
      <c r="X60" s="1" t="str">
        <f>IF(pilgrims[[#This Row],[packages.second_hotel_name]]="",pilgrims[[#This Row],[packages.first_hotel_check_out]],pilgrims[[#This Row],[packages.second_hotel_check_out]])</f>
        <v>2026-06-02</v>
      </c>
      <c r="Y60" s="1" t="s">
        <v>4</v>
      </c>
      <c r="Z60" s="1" t="s">
        <v>261</v>
      </c>
      <c r="AA60" s="1" t="s">
        <v>309</v>
      </c>
      <c r="AB60" s="1" t="s">
        <v>1468</v>
      </c>
      <c r="AC60" s="1" t="s">
        <v>310</v>
      </c>
      <c r="AD60" s="1" t="s">
        <v>1469</v>
      </c>
      <c r="AE60" s="1" t="s">
        <v>1280</v>
      </c>
      <c r="AF60" s="4">
        <v>46163</v>
      </c>
      <c r="AG60" s="5">
        <v>0.4375</v>
      </c>
      <c r="AH60" s="1" t="s">
        <v>1374</v>
      </c>
      <c r="AI60" s="1" t="s">
        <v>1281</v>
      </c>
      <c r="AJ60" s="4">
        <v>46175</v>
      </c>
      <c r="AK60" s="5">
        <v>0.64236111111111116</v>
      </c>
      <c r="AL60" s="1" t="s">
        <v>215</v>
      </c>
      <c r="AM60" s="1"/>
    </row>
    <row r="61" spans="1:39" x14ac:dyDescent="0.3">
      <c r="A61" s="1">
        <v>659203</v>
      </c>
      <c r="B61" s="1">
        <v>535674</v>
      </c>
      <c r="C61" s="1" t="s">
        <v>1188</v>
      </c>
      <c r="D61" s="38" t="s">
        <v>1580</v>
      </c>
      <c r="E61" s="4">
        <v>28647</v>
      </c>
      <c r="F61" s="1">
        <v>47</v>
      </c>
      <c r="G61" s="1" t="s">
        <v>212</v>
      </c>
      <c r="H61" s="1" t="s">
        <v>1501</v>
      </c>
      <c r="I61" s="1" t="s">
        <v>1501</v>
      </c>
      <c r="J61" s="1">
        <v>8530</v>
      </c>
      <c r="K61" s="1" t="s">
        <v>83</v>
      </c>
      <c r="L61" s="1" t="s">
        <v>19</v>
      </c>
      <c r="M61" s="1" t="s">
        <v>13</v>
      </c>
      <c r="N61" s="1" t="s">
        <v>5</v>
      </c>
      <c r="O61" s="1" t="s">
        <v>216</v>
      </c>
      <c r="P61" s="1" t="s">
        <v>53</v>
      </c>
      <c r="Q61" s="1" t="s">
        <v>19</v>
      </c>
      <c r="R61" s="1" t="s">
        <v>8</v>
      </c>
      <c r="S61" s="1" t="s">
        <v>15</v>
      </c>
      <c r="T61" s="1" t="s">
        <v>53</v>
      </c>
      <c r="U61" s="1" t="s">
        <v>8</v>
      </c>
      <c r="V61" s="1" t="str">
        <f>IF(pilgrims[[#This Row],[packages.second_hotel_name]]="",pilgrims[[#This Row],[packages.first_hotel_name]],pilgrims[[#This Row],[packages.second_hotel_name]])</f>
        <v>Swissotel Al Maqam Makkah</v>
      </c>
      <c r="W61" s="1" t="str">
        <f>IF(pilgrims[[#This Row],[packages.second_hotel_name]]="",pilgrims[[#This Row],[packages.first_hotel_check_in]],pilgrims[[#This Row],[packages.second_hotel_check_in]])</f>
        <v>2026-05-21</v>
      </c>
      <c r="X61" s="1" t="str">
        <f>IF(pilgrims[[#This Row],[packages.second_hotel_name]]="",pilgrims[[#This Row],[packages.first_hotel_check_out]],pilgrims[[#This Row],[packages.second_hotel_check_out]])</f>
        <v>2026-05-25</v>
      </c>
      <c r="Y61" s="1" t="s">
        <v>16</v>
      </c>
      <c r="Z61" s="1" t="s">
        <v>214</v>
      </c>
      <c r="AA61" s="1" t="s">
        <v>1193</v>
      </c>
      <c r="AB61" s="1" t="s">
        <v>1193</v>
      </c>
      <c r="AC61" s="1" t="s">
        <v>212</v>
      </c>
      <c r="AD61" s="1" t="s">
        <v>134</v>
      </c>
      <c r="AE61" s="1" t="s">
        <v>1281</v>
      </c>
      <c r="AF61" s="4">
        <v>46160</v>
      </c>
      <c r="AG61" s="5">
        <v>0.73958333333333337</v>
      </c>
      <c r="AH61" s="1" t="s">
        <v>63</v>
      </c>
      <c r="AI61" s="1" t="s">
        <v>1280</v>
      </c>
      <c r="AJ61" s="4">
        <v>46172</v>
      </c>
      <c r="AK61" s="5">
        <v>0.35069444444444442</v>
      </c>
      <c r="AL61" s="1" t="s">
        <v>215</v>
      </c>
      <c r="AM61" s="1"/>
    </row>
    <row r="62" spans="1:39" x14ac:dyDescent="0.3">
      <c r="A62" s="1">
        <v>602251</v>
      </c>
      <c r="B62" s="1">
        <v>485264</v>
      </c>
      <c r="C62" s="1" t="s">
        <v>1188</v>
      </c>
      <c r="D62" s="38" t="s">
        <v>1581</v>
      </c>
      <c r="E62" s="4">
        <v>31133</v>
      </c>
      <c r="F62" s="1">
        <v>40</v>
      </c>
      <c r="G62" s="1" t="s">
        <v>212</v>
      </c>
      <c r="H62" s="1" t="s">
        <v>1504</v>
      </c>
      <c r="I62" s="1" t="s">
        <v>1504</v>
      </c>
      <c r="J62" s="1">
        <v>8540</v>
      </c>
      <c r="K62" s="1" t="s">
        <v>78</v>
      </c>
      <c r="L62" s="1" t="s">
        <v>8</v>
      </c>
      <c r="M62" s="1" t="s">
        <v>13</v>
      </c>
      <c r="N62" s="1" t="s">
        <v>5</v>
      </c>
      <c r="O62" s="1" t="s">
        <v>216</v>
      </c>
      <c r="P62" s="1" t="s">
        <v>53</v>
      </c>
      <c r="Q62" s="1" t="s">
        <v>8</v>
      </c>
      <c r="R62" s="1" t="s">
        <v>11</v>
      </c>
      <c r="S62" s="1"/>
      <c r="T62" s="1"/>
      <c r="U62" s="1"/>
      <c r="V62" s="1" t="str">
        <f>IF(pilgrims[[#This Row],[packages.second_hotel_name]]="",pilgrims[[#This Row],[packages.first_hotel_name]],pilgrims[[#This Row],[packages.second_hotel_name]])</f>
        <v>Movenpick Anwar Almadinah Hotel</v>
      </c>
      <c r="W62" s="1" t="str">
        <f>IF(pilgrims[[#This Row],[packages.second_hotel_name]]="",pilgrims[[#This Row],[packages.first_hotel_check_in]],pilgrims[[#This Row],[packages.second_hotel_check_in]])</f>
        <v>2026-05-21</v>
      </c>
      <c r="X62" s="1" t="str">
        <f>IF(pilgrims[[#This Row],[packages.second_hotel_name]]="",pilgrims[[#This Row],[packages.first_hotel_check_out]],pilgrims[[#This Row],[packages.second_hotel_check_out]])</f>
        <v>2026-05-24</v>
      </c>
      <c r="Y62" s="1"/>
      <c r="Z62" s="1" t="s">
        <v>261</v>
      </c>
      <c r="AA62" s="1" t="s">
        <v>317</v>
      </c>
      <c r="AB62" s="1" t="s">
        <v>1337</v>
      </c>
      <c r="AC62" s="1" t="s">
        <v>318</v>
      </c>
      <c r="AD62" s="1" t="s">
        <v>1338</v>
      </c>
      <c r="AE62" s="1" t="s">
        <v>1281</v>
      </c>
      <c r="AF62" s="4">
        <v>46163</v>
      </c>
      <c r="AG62" s="5">
        <v>0.15625</v>
      </c>
      <c r="AH62" s="1" t="s">
        <v>1309</v>
      </c>
      <c r="AI62" s="1" t="s">
        <v>1280</v>
      </c>
      <c r="AJ62" s="4">
        <v>46173</v>
      </c>
      <c r="AK62" s="5">
        <v>0.3125</v>
      </c>
      <c r="AL62" s="1" t="s">
        <v>215</v>
      </c>
      <c r="AM62" s="1"/>
    </row>
    <row r="63" spans="1:39" x14ac:dyDescent="0.3">
      <c r="A63" s="1">
        <v>666709</v>
      </c>
      <c r="B63" s="1">
        <v>535674</v>
      </c>
      <c r="C63" s="1" t="s">
        <v>1189</v>
      </c>
      <c r="D63" s="38" t="s">
        <v>1582</v>
      </c>
      <c r="E63" s="4">
        <v>30901</v>
      </c>
      <c r="F63" s="1">
        <v>41</v>
      </c>
      <c r="G63" s="1" t="s">
        <v>212</v>
      </c>
      <c r="H63" s="1" t="s">
        <v>1501</v>
      </c>
      <c r="I63" s="1" t="s">
        <v>1501</v>
      </c>
      <c r="J63" s="1">
        <v>8530</v>
      </c>
      <c r="K63" s="1" t="s">
        <v>83</v>
      </c>
      <c r="L63" s="1" t="s">
        <v>19</v>
      </c>
      <c r="M63" s="1" t="s">
        <v>13</v>
      </c>
      <c r="N63" s="1" t="s">
        <v>5</v>
      </c>
      <c r="O63" s="1" t="s">
        <v>216</v>
      </c>
      <c r="P63" s="1" t="s">
        <v>53</v>
      </c>
      <c r="Q63" s="1" t="s">
        <v>19</v>
      </c>
      <c r="R63" s="1" t="s">
        <v>8</v>
      </c>
      <c r="S63" s="1" t="s">
        <v>15</v>
      </c>
      <c r="T63" s="1" t="s">
        <v>53</v>
      </c>
      <c r="U63" s="1" t="s">
        <v>8</v>
      </c>
      <c r="V63" s="1" t="str">
        <f>IF(pilgrims[[#This Row],[packages.second_hotel_name]]="",pilgrims[[#This Row],[packages.first_hotel_name]],pilgrims[[#This Row],[packages.second_hotel_name]])</f>
        <v>Swissotel Al Maqam Makkah</v>
      </c>
      <c r="W63" s="1" t="str">
        <f>IF(pilgrims[[#This Row],[packages.second_hotel_name]]="",pilgrims[[#This Row],[packages.first_hotel_check_in]],pilgrims[[#This Row],[packages.second_hotel_check_in]])</f>
        <v>2026-05-21</v>
      </c>
      <c r="X63" s="1" t="str">
        <f>IF(pilgrims[[#This Row],[packages.second_hotel_name]]="",pilgrims[[#This Row],[packages.first_hotel_check_out]],pilgrims[[#This Row],[packages.second_hotel_check_out]])</f>
        <v>2026-05-25</v>
      </c>
      <c r="Y63" s="1" t="s">
        <v>16</v>
      </c>
      <c r="Z63" s="1" t="s">
        <v>214</v>
      </c>
      <c r="AA63" s="1" t="s">
        <v>1193</v>
      </c>
      <c r="AB63" s="1" t="s">
        <v>1193</v>
      </c>
      <c r="AC63" s="1" t="s">
        <v>212</v>
      </c>
      <c r="AD63" s="1" t="s">
        <v>134</v>
      </c>
      <c r="AE63" s="1" t="s">
        <v>1281</v>
      </c>
      <c r="AF63" s="4">
        <v>46160</v>
      </c>
      <c r="AG63" s="5">
        <v>0.73958333333333337</v>
      </c>
      <c r="AH63" s="1" t="s">
        <v>63</v>
      </c>
      <c r="AI63" s="1" t="s">
        <v>1280</v>
      </c>
      <c r="AJ63" s="4">
        <v>46172</v>
      </c>
      <c r="AK63" s="5">
        <v>0.35069444444444442</v>
      </c>
      <c r="AL63" s="1" t="s">
        <v>215</v>
      </c>
      <c r="AM63" s="1"/>
    </row>
    <row r="64" spans="1:39" x14ac:dyDescent="0.3">
      <c r="A64" s="1">
        <v>718721</v>
      </c>
      <c r="B64" s="1">
        <v>485264</v>
      </c>
      <c r="C64" s="1" t="s">
        <v>1189</v>
      </c>
      <c r="D64" s="38" t="s">
        <v>1583</v>
      </c>
      <c r="E64" s="4">
        <v>31584</v>
      </c>
      <c r="F64" s="1">
        <v>39</v>
      </c>
      <c r="G64" s="1" t="s">
        <v>212</v>
      </c>
      <c r="H64" s="1" t="s">
        <v>1504</v>
      </c>
      <c r="I64" s="1" t="s">
        <v>1504</v>
      </c>
      <c r="J64" s="1">
        <v>8540</v>
      </c>
      <c r="K64" s="1" t="s">
        <v>78</v>
      </c>
      <c r="L64" s="1" t="s">
        <v>8</v>
      </c>
      <c r="M64" s="1" t="s">
        <v>13</v>
      </c>
      <c r="N64" s="1" t="s">
        <v>5</v>
      </c>
      <c r="O64" s="1" t="s">
        <v>216</v>
      </c>
      <c r="P64" s="1" t="s">
        <v>53</v>
      </c>
      <c r="Q64" s="1" t="s">
        <v>8</v>
      </c>
      <c r="R64" s="1" t="s">
        <v>11</v>
      </c>
      <c r="S64" s="1"/>
      <c r="T64" s="1"/>
      <c r="U64" s="1"/>
      <c r="V64" s="1" t="str">
        <f>IF(pilgrims[[#This Row],[packages.second_hotel_name]]="",pilgrims[[#This Row],[packages.first_hotel_name]],pilgrims[[#This Row],[packages.second_hotel_name]])</f>
        <v>Movenpick Anwar Almadinah Hotel</v>
      </c>
      <c r="W64" s="1" t="str">
        <f>IF(pilgrims[[#This Row],[packages.second_hotel_name]]="",pilgrims[[#This Row],[packages.first_hotel_check_in]],pilgrims[[#This Row],[packages.second_hotel_check_in]])</f>
        <v>2026-05-21</v>
      </c>
      <c r="X64" s="1" t="str">
        <f>IF(pilgrims[[#This Row],[packages.second_hotel_name]]="",pilgrims[[#This Row],[packages.first_hotel_check_out]],pilgrims[[#This Row],[packages.second_hotel_check_out]])</f>
        <v>2026-05-24</v>
      </c>
      <c r="Y64" s="1"/>
      <c r="Z64" s="1" t="s">
        <v>261</v>
      </c>
      <c r="AA64" s="1" t="s">
        <v>317</v>
      </c>
      <c r="AB64" s="1" t="s">
        <v>1337</v>
      </c>
      <c r="AC64" s="1" t="s">
        <v>318</v>
      </c>
      <c r="AD64" s="1" t="s">
        <v>1338</v>
      </c>
      <c r="AE64" s="1" t="s">
        <v>1281</v>
      </c>
      <c r="AF64" s="4">
        <v>46163</v>
      </c>
      <c r="AG64" s="5">
        <v>0.15625</v>
      </c>
      <c r="AH64" s="1" t="s">
        <v>1309</v>
      </c>
      <c r="AI64" s="1" t="s">
        <v>1280</v>
      </c>
      <c r="AJ64" s="4">
        <v>46173</v>
      </c>
      <c r="AK64" s="5">
        <v>0.3125</v>
      </c>
      <c r="AL64" s="1" t="s">
        <v>215</v>
      </c>
      <c r="AM64" s="1"/>
    </row>
    <row r="65" spans="1:39" x14ac:dyDescent="0.3">
      <c r="A65" s="1">
        <v>55944</v>
      </c>
      <c r="B65" s="1">
        <v>46961</v>
      </c>
      <c r="C65" s="1" t="s">
        <v>1188</v>
      </c>
      <c r="D65" s="38" t="s">
        <v>1584</v>
      </c>
      <c r="E65" s="4">
        <v>35407</v>
      </c>
      <c r="F65" s="1">
        <v>29</v>
      </c>
      <c r="G65" s="1" t="s">
        <v>212</v>
      </c>
      <c r="H65" s="1" t="s">
        <v>1501</v>
      </c>
      <c r="I65" s="1" t="s">
        <v>1501</v>
      </c>
      <c r="J65" s="1">
        <v>8530</v>
      </c>
      <c r="K65" s="1" t="s">
        <v>83</v>
      </c>
      <c r="L65" s="1" t="s">
        <v>19</v>
      </c>
      <c r="M65" s="1" t="s">
        <v>13</v>
      </c>
      <c r="N65" s="1" t="s">
        <v>5</v>
      </c>
      <c r="O65" s="1" t="s">
        <v>216</v>
      </c>
      <c r="P65" s="1" t="s">
        <v>53</v>
      </c>
      <c r="Q65" s="1" t="s">
        <v>19</v>
      </c>
      <c r="R65" s="1" t="s">
        <v>8</v>
      </c>
      <c r="S65" s="1" t="s">
        <v>15</v>
      </c>
      <c r="T65" s="1" t="s">
        <v>53</v>
      </c>
      <c r="U65" s="1" t="s">
        <v>8</v>
      </c>
      <c r="V65" s="1" t="str">
        <f>IF(pilgrims[[#This Row],[packages.second_hotel_name]]="",pilgrims[[#This Row],[packages.first_hotel_name]],pilgrims[[#This Row],[packages.second_hotel_name]])</f>
        <v>Swissotel Al Maqam Makkah</v>
      </c>
      <c r="W65" s="1" t="str">
        <f>IF(pilgrims[[#This Row],[packages.second_hotel_name]]="",pilgrims[[#This Row],[packages.first_hotel_check_in]],pilgrims[[#This Row],[packages.second_hotel_check_in]])</f>
        <v>2026-05-21</v>
      </c>
      <c r="X65" s="1" t="str">
        <f>IF(pilgrims[[#This Row],[packages.second_hotel_name]]="",pilgrims[[#This Row],[packages.first_hotel_check_out]],pilgrims[[#This Row],[packages.second_hotel_check_out]])</f>
        <v>2026-05-25</v>
      </c>
      <c r="Y65" s="1" t="s">
        <v>16</v>
      </c>
      <c r="Z65" s="1" t="s">
        <v>214</v>
      </c>
      <c r="AA65" s="1" t="s">
        <v>1194</v>
      </c>
      <c r="AB65" s="1" t="s">
        <v>1194</v>
      </c>
      <c r="AC65" s="1" t="s">
        <v>212</v>
      </c>
      <c r="AD65" s="1" t="s">
        <v>137</v>
      </c>
      <c r="AE65" s="1" t="s">
        <v>1281</v>
      </c>
      <c r="AF65" s="4">
        <v>46161</v>
      </c>
      <c r="AG65" s="5">
        <v>0.87847222222222221</v>
      </c>
      <c r="AH65" s="1" t="s">
        <v>63</v>
      </c>
      <c r="AI65" s="1" t="s">
        <v>1280</v>
      </c>
      <c r="AJ65" s="4">
        <v>46173</v>
      </c>
      <c r="AK65" s="5">
        <v>0.3923611111111111</v>
      </c>
      <c r="AL65" s="1" t="s">
        <v>215</v>
      </c>
      <c r="AM65" s="1"/>
    </row>
    <row r="66" spans="1:39" x14ac:dyDescent="0.3">
      <c r="A66" s="1">
        <v>768775</v>
      </c>
      <c r="B66" s="1">
        <v>46961</v>
      </c>
      <c r="C66" s="1" t="s">
        <v>1189</v>
      </c>
      <c r="D66" s="38" t="s">
        <v>1585</v>
      </c>
      <c r="E66" s="4">
        <v>27650</v>
      </c>
      <c r="F66" s="1">
        <v>50</v>
      </c>
      <c r="G66" s="1" t="s">
        <v>212</v>
      </c>
      <c r="H66" s="1" t="s">
        <v>1501</v>
      </c>
      <c r="I66" s="1" t="s">
        <v>1501</v>
      </c>
      <c r="J66" s="1">
        <v>8530</v>
      </c>
      <c r="K66" s="1" t="s">
        <v>83</v>
      </c>
      <c r="L66" s="1" t="s">
        <v>19</v>
      </c>
      <c r="M66" s="1" t="s">
        <v>13</v>
      </c>
      <c r="N66" s="1" t="s">
        <v>5</v>
      </c>
      <c r="O66" s="1" t="s">
        <v>216</v>
      </c>
      <c r="P66" s="1" t="s">
        <v>53</v>
      </c>
      <c r="Q66" s="1" t="s">
        <v>19</v>
      </c>
      <c r="R66" s="1" t="s">
        <v>8</v>
      </c>
      <c r="S66" s="1" t="s">
        <v>15</v>
      </c>
      <c r="T66" s="1" t="s">
        <v>53</v>
      </c>
      <c r="U66" s="1" t="s">
        <v>8</v>
      </c>
      <c r="V66" s="1" t="str">
        <f>IF(pilgrims[[#This Row],[packages.second_hotel_name]]="",pilgrims[[#This Row],[packages.first_hotel_name]],pilgrims[[#This Row],[packages.second_hotel_name]])</f>
        <v>Swissotel Al Maqam Makkah</v>
      </c>
      <c r="W66" s="1" t="str">
        <f>IF(pilgrims[[#This Row],[packages.second_hotel_name]]="",pilgrims[[#This Row],[packages.first_hotel_check_in]],pilgrims[[#This Row],[packages.second_hotel_check_in]])</f>
        <v>2026-05-21</v>
      </c>
      <c r="X66" s="1" t="str">
        <f>IF(pilgrims[[#This Row],[packages.second_hotel_name]]="",pilgrims[[#This Row],[packages.first_hotel_check_out]],pilgrims[[#This Row],[packages.second_hotel_check_out]])</f>
        <v>2026-05-25</v>
      </c>
      <c r="Y66" s="1" t="s">
        <v>16</v>
      </c>
      <c r="Z66" s="1" t="s">
        <v>214</v>
      </c>
      <c r="AA66" s="1" t="s">
        <v>1194</v>
      </c>
      <c r="AB66" s="1" t="s">
        <v>1194</v>
      </c>
      <c r="AC66" s="1" t="s">
        <v>212</v>
      </c>
      <c r="AD66" s="1" t="s">
        <v>137</v>
      </c>
      <c r="AE66" s="1" t="s">
        <v>1281</v>
      </c>
      <c r="AF66" s="4">
        <v>46161</v>
      </c>
      <c r="AG66" s="5">
        <v>0.87847222222222221</v>
      </c>
      <c r="AH66" s="1" t="s">
        <v>63</v>
      </c>
      <c r="AI66" s="1" t="s">
        <v>1280</v>
      </c>
      <c r="AJ66" s="4">
        <v>46173</v>
      </c>
      <c r="AK66" s="5">
        <v>0.3923611111111111</v>
      </c>
      <c r="AL66" s="1" t="s">
        <v>215</v>
      </c>
      <c r="AM66" s="1"/>
    </row>
    <row r="67" spans="1:39" x14ac:dyDescent="0.3">
      <c r="A67" s="1">
        <v>21803</v>
      </c>
      <c r="B67" s="1">
        <v>19866</v>
      </c>
      <c r="C67" s="1" t="s">
        <v>1188</v>
      </c>
      <c r="D67" s="38" t="s">
        <v>1586</v>
      </c>
      <c r="E67" s="4">
        <v>30910</v>
      </c>
      <c r="F67" s="1">
        <v>41</v>
      </c>
      <c r="G67" s="1" t="s">
        <v>212</v>
      </c>
      <c r="H67" s="1" t="s">
        <v>1501</v>
      </c>
      <c r="I67" s="1" t="s">
        <v>1501</v>
      </c>
      <c r="J67" s="1">
        <v>8525</v>
      </c>
      <c r="K67" s="1" t="s">
        <v>77</v>
      </c>
      <c r="L67" s="1" t="s">
        <v>19</v>
      </c>
      <c r="M67" s="1" t="s">
        <v>13</v>
      </c>
      <c r="N67" s="1" t="s">
        <v>10</v>
      </c>
      <c r="O67" s="1" t="s">
        <v>216</v>
      </c>
      <c r="P67" s="1" t="s">
        <v>52</v>
      </c>
      <c r="Q67" s="1" t="s">
        <v>19</v>
      </c>
      <c r="R67" s="1" t="s">
        <v>8</v>
      </c>
      <c r="S67" s="1" t="s">
        <v>12</v>
      </c>
      <c r="T67" s="1" t="s">
        <v>53</v>
      </c>
      <c r="U67" s="1" t="s">
        <v>8</v>
      </c>
      <c r="V67" s="1" t="str">
        <f>IF(pilgrims[[#This Row],[packages.second_hotel_name]]="",pilgrims[[#This Row],[packages.first_hotel_name]],pilgrims[[#This Row],[packages.second_hotel_name]])</f>
        <v>Makkah Clock Royal Tower A Fairmont Hotel</v>
      </c>
      <c r="W67" s="1" t="str">
        <f>IF(pilgrims[[#This Row],[packages.second_hotel_name]]="",pilgrims[[#This Row],[packages.first_hotel_check_in]],pilgrims[[#This Row],[packages.second_hotel_check_in]])</f>
        <v>2026-05-21</v>
      </c>
      <c r="X67" s="1" t="str">
        <f>IF(pilgrims[[#This Row],[packages.second_hotel_name]]="",pilgrims[[#This Row],[packages.first_hotel_check_out]],pilgrims[[#This Row],[packages.second_hotel_check_out]])</f>
        <v>2026-05-24</v>
      </c>
      <c r="Y67" s="1" t="s">
        <v>11</v>
      </c>
      <c r="Z67" s="1" t="s">
        <v>214</v>
      </c>
      <c r="AA67" s="1" t="s">
        <v>1190</v>
      </c>
      <c r="AB67" s="1" t="s">
        <v>1190</v>
      </c>
      <c r="AC67" s="1" t="s">
        <v>212</v>
      </c>
      <c r="AD67" s="1" t="s">
        <v>133</v>
      </c>
      <c r="AE67" s="1" t="s">
        <v>1281</v>
      </c>
      <c r="AF67" s="4">
        <v>46160</v>
      </c>
      <c r="AG67" s="5">
        <v>0.3923611111111111</v>
      </c>
      <c r="AH67" s="1" t="s">
        <v>60</v>
      </c>
      <c r="AI67" s="1" t="s">
        <v>1280</v>
      </c>
      <c r="AJ67" s="4">
        <v>46173</v>
      </c>
      <c r="AK67" s="5">
        <v>0.12847222222222221</v>
      </c>
      <c r="AL67" s="1" t="s">
        <v>215</v>
      </c>
      <c r="AM67" s="1"/>
    </row>
    <row r="68" spans="1:39" x14ac:dyDescent="0.3">
      <c r="A68" s="1">
        <v>845061</v>
      </c>
      <c r="B68" s="1">
        <v>19866</v>
      </c>
      <c r="C68" s="1" t="s">
        <v>1189</v>
      </c>
      <c r="D68" s="38" t="s">
        <v>1587</v>
      </c>
      <c r="E68" s="4">
        <v>27793</v>
      </c>
      <c r="F68" s="1">
        <v>50</v>
      </c>
      <c r="G68" s="1" t="s">
        <v>212</v>
      </c>
      <c r="H68" s="1" t="s">
        <v>1501</v>
      </c>
      <c r="I68" s="1" t="s">
        <v>1501</v>
      </c>
      <c r="J68" s="1">
        <v>8525</v>
      </c>
      <c r="K68" s="1" t="s">
        <v>77</v>
      </c>
      <c r="L68" s="1" t="s">
        <v>19</v>
      </c>
      <c r="M68" s="1" t="s">
        <v>13</v>
      </c>
      <c r="N68" s="1" t="s">
        <v>10</v>
      </c>
      <c r="O68" s="1" t="s">
        <v>216</v>
      </c>
      <c r="P68" s="1" t="s">
        <v>52</v>
      </c>
      <c r="Q68" s="1" t="s">
        <v>19</v>
      </c>
      <c r="R68" s="1" t="s">
        <v>8</v>
      </c>
      <c r="S68" s="1" t="s">
        <v>12</v>
      </c>
      <c r="T68" s="1" t="s">
        <v>53</v>
      </c>
      <c r="U68" s="1" t="s">
        <v>8</v>
      </c>
      <c r="V68" s="1" t="str">
        <f>IF(pilgrims[[#This Row],[packages.second_hotel_name]]="",pilgrims[[#This Row],[packages.first_hotel_name]],pilgrims[[#This Row],[packages.second_hotel_name]])</f>
        <v>Makkah Clock Royal Tower A Fairmont Hotel</v>
      </c>
      <c r="W68" s="1" t="str">
        <f>IF(pilgrims[[#This Row],[packages.second_hotel_name]]="",pilgrims[[#This Row],[packages.first_hotel_check_in]],pilgrims[[#This Row],[packages.second_hotel_check_in]])</f>
        <v>2026-05-21</v>
      </c>
      <c r="X68" s="1" t="str">
        <f>IF(pilgrims[[#This Row],[packages.second_hotel_name]]="",pilgrims[[#This Row],[packages.first_hotel_check_out]],pilgrims[[#This Row],[packages.second_hotel_check_out]])</f>
        <v>2026-05-24</v>
      </c>
      <c r="Y68" s="1" t="s">
        <v>11</v>
      </c>
      <c r="Z68" s="1" t="s">
        <v>214</v>
      </c>
      <c r="AA68" s="1" t="s">
        <v>1190</v>
      </c>
      <c r="AB68" s="1" t="s">
        <v>1190</v>
      </c>
      <c r="AC68" s="1" t="s">
        <v>212</v>
      </c>
      <c r="AD68" s="1" t="s">
        <v>133</v>
      </c>
      <c r="AE68" s="1" t="s">
        <v>1281</v>
      </c>
      <c r="AF68" s="4">
        <v>46160</v>
      </c>
      <c r="AG68" s="5">
        <v>0.3923611111111111</v>
      </c>
      <c r="AH68" s="1" t="s">
        <v>60</v>
      </c>
      <c r="AI68" s="1" t="s">
        <v>1280</v>
      </c>
      <c r="AJ68" s="4">
        <v>46173</v>
      </c>
      <c r="AK68" s="5">
        <v>0.12847222222222221</v>
      </c>
      <c r="AL68" s="1" t="s">
        <v>215</v>
      </c>
      <c r="AM68" s="1"/>
    </row>
    <row r="69" spans="1:39" x14ac:dyDescent="0.3">
      <c r="A69" s="1">
        <v>612174</v>
      </c>
      <c r="B69" s="1">
        <v>503698</v>
      </c>
      <c r="C69" s="1" t="s">
        <v>1189</v>
      </c>
      <c r="D69" s="38" t="s">
        <v>1588</v>
      </c>
      <c r="E69" s="4">
        <v>31191</v>
      </c>
      <c r="F69" s="1">
        <v>40</v>
      </c>
      <c r="G69" s="1" t="s">
        <v>212</v>
      </c>
      <c r="H69" s="1" t="s">
        <v>1501</v>
      </c>
      <c r="I69" s="1" t="s">
        <v>1501</v>
      </c>
      <c r="J69" s="1">
        <v>8670</v>
      </c>
      <c r="K69" s="1" t="s">
        <v>79</v>
      </c>
      <c r="L69" s="1" t="s">
        <v>3</v>
      </c>
      <c r="M69" s="1" t="s">
        <v>4</v>
      </c>
      <c r="N69" s="1" t="s">
        <v>5</v>
      </c>
      <c r="O69" s="1" t="s">
        <v>216</v>
      </c>
      <c r="P69" s="1" t="s">
        <v>53</v>
      </c>
      <c r="Q69" s="1" t="s">
        <v>6</v>
      </c>
      <c r="R69" s="1" t="s">
        <v>4</v>
      </c>
      <c r="S69" s="1"/>
      <c r="T69" s="1"/>
      <c r="U69" s="1"/>
      <c r="V69" s="1" t="str">
        <f>IF(pilgrims[[#This Row],[packages.second_hotel_name]]="",pilgrims[[#This Row],[packages.first_hotel_name]],pilgrims[[#This Row],[packages.second_hotel_name]])</f>
        <v>Movenpick Anwar Almadinah Hotel</v>
      </c>
      <c r="W69" s="1" t="str">
        <f>IF(pilgrims[[#This Row],[packages.second_hotel_name]]="",pilgrims[[#This Row],[packages.first_hotel_check_in]],pilgrims[[#This Row],[packages.second_hotel_check_in]])</f>
        <v>2026-05-30</v>
      </c>
      <c r="X69" s="1" t="str">
        <f>IF(pilgrims[[#This Row],[packages.second_hotel_name]]="",pilgrims[[#This Row],[packages.first_hotel_check_out]],pilgrims[[#This Row],[packages.second_hotel_check_out]])</f>
        <v>2026-06-02</v>
      </c>
      <c r="Y69" s="1"/>
      <c r="Z69" s="1" t="s">
        <v>261</v>
      </c>
      <c r="AA69" s="1" t="s">
        <v>326</v>
      </c>
      <c r="AB69" s="1" t="s">
        <v>1296</v>
      </c>
      <c r="AC69" s="1" t="s">
        <v>327</v>
      </c>
      <c r="AD69" s="1" t="s">
        <v>1297</v>
      </c>
      <c r="AE69" s="1" t="s">
        <v>1280</v>
      </c>
      <c r="AF69" s="4">
        <v>46165</v>
      </c>
      <c r="AG69" s="5">
        <v>0.54513888888888884</v>
      </c>
      <c r="AH69" s="1" t="s">
        <v>1298</v>
      </c>
      <c r="AI69" s="1" t="s">
        <v>1281</v>
      </c>
      <c r="AJ69" s="4">
        <v>46175</v>
      </c>
      <c r="AK69" s="5">
        <v>0.21527777777777779</v>
      </c>
      <c r="AL69" s="1" t="s">
        <v>215</v>
      </c>
      <c r="AM69" s="1"/>
    </row>
    <row r="70" spans="1:39" x14ac:dyDescent="0.3">
      <c r="A70" s="1">
        <v>851928</v>
      </c>
      <c r="B70" s="1">
        <v>19866</v>
      </c>
      <c r="C70" s="1" t="s">
        <v>1189</v>
      </c>
      <c r="D70" s="38" t="s">
        <v>1589</v>
      </c>
      <c r="E70" s="4">
        <v>32821</v>
      </c>
      <c r="F70" s="1">
        <v>36</v>
      </c>
      <c r="G70" s="1" t="s">
        <v>212</v>
      </c>
      <c r="H70" s="1" t="s">
        <v>1501</v>
      </c>
      <c r="I70" s="1" t="s">
        <v>1501</v>
      </c>
      <c r="J70" s="1">
        <v>8525</v>
      </c>
      <c r="K70" s="1" t="s">
        <v>77</v>
      </c>
      <c r="L70" s="1" t="s">
        <v>19</v>
      </c>
      <c r="M70" s="1" t="s">
        <v>13</v>
      </c>
      <c r="N70" s="1" t="s">
        <v>10</v>
      </c>
      <c r="O70" s="1" t="s">
        <v>216</v>
      </c>
      <c r="P70" s="1" t="s">
        <v>52</v>
      </c>
      <c r="Q70" s="1" t="s">
        <v>19</v>
      </c>
      <c r="R70" s="1" t="s">
        <v>8</v>
      </c>
      <c r="S70" s="1" t="s">
        <v>12</v>
      </c>
      <c r="T70" s="1" t="s">
        <v>53</v>
      </c>
      <c r="U70" s="1" t="s">
        <v>8</v>
      </c>
      <c r="V70" s="1" t="str">
        <f>IF(pilgrims[[#This Row],[packages.second_hotel_name]]="",pilgrims[[#This Row],[packages.first_hotel_name]],pilgrims[[#This Row],[packages.second_hotel_name]])</f>
        <v>Makkah Clock Royal Tower A Fairmont Hotel</v>
      </c>
      <c r="W70" s="1" t="str">
        <f>IF(pilgrims[[#This Row],[packages.second_hotel_name]]="",pilgrims[[#This Row],[packages.first_hotel_check_in]],pilgrims[[#This Row],[packages.second_hotel_check_in]])</f>
        <v>2026-05-21</v>
      </c>
      <c r="X70" s="1" t="str">
        <f>IF(pilgrims[[#This Row],[packages.second_hotel_name]]="",pilgrims[[#This Row],[packages.first_hotel_check_out]],pilgrims[[#This Row],[packages.second_hotel_check_out]])</f>
        <v>2026-05-24</v>
      </c>
      <c r="Y70" s="1" t="s">
        <v>11</v>
      </c>
      <c r="Z70" s="1" t="s">
        <v>214</v>
      </c>
      <c r="AA70" s="1" t="s">
        <v>1190</v>
      </c>
      <c r="AB70" s="1" t="s">
        <v>1190</v>
      </c>
      <c r="AC70" s="1" t="s">
        <v>212</v>
      </c>
      <c r="AD70" s="1" t="s">
        <v>133</v>
      </c>
      <c r="AE70" s="1" t="s">
        <v>1281</v>
      </c>
      <c r="AF70" s="4">
        <v>46160</v>
      </c>
      <c r="AG70" s="5">
        <v>0.3923611111111111</v>
      </c>
      <c r="AH70" s="1" t="s">
        <v>60</v>
      </c>
      <c r="AI70" s="1" t="s">
        <v>1280</v>
      </c>
      <c r="AJ70" s="4">
        <v>46173</v>
      </c>
      <c r="AK70" s="5">
        <v>0.12847222222222221</v>
      </c>
      <c r="AL70" s="1" t="s">
        <v>215</v>
      </c>
      <c r="AM70" s="1"/>
    </row>
    <row r="71" spans="1:39" x14ac:dyDescent="0.3">
      <c r="A71" s="1">
        <v>622917</v>
      </c>
      <c r="B71" s="1">
        <v>503698</v>
      </c>
      <c r="C71" s="1" t="s">
        <v>1188</v>
      </c>
      <c r="D71" s="38" t="s">
        <v>1590</v>
      </c>
      <c r="E71" s="4">
        <v>30084</v>
      </c>
      <c r="F71" s="1">
        <v>43</v>
      </c>
      <c r="G71" s="1" t="s">
        <v>212</v>
      </c>
      <c r="H71" s="1" t="s">
        <v>1501</v>
      </c>
      <c r="I71" s="1" t="s">
        <v>1501</v>
      </c>
      <c r="J71" s="1">
        <v>8670</v>
      </c>
      <c r="K71" s="1" t="s">
        <v>79</v>
      </c>
      <c r="L71" s="1" t="s">
        <v>3</v>
      </c>
      <c r="M71" s="1" t="s">
        <v>4</v>
      </c>
      <c r="N71" s="1" t="s">
        <v>5</v>
      </c>
      <c r="O71" s="1" t="s">
        <v>216</v>
      </c>
      <c r="P71" s="1" t="s">
        <v>53</v>
      </c>
      <c r="Q71" s="1" t="s">
        <v>6</v>
      </c>
      <c r="R71" s="1" t="s">
        <v>4</v>
      </c>
      <c r="S71" s="1"/>
      <c r="T71" s="1"/>
      <c r="U71" s="1"/>
      <c r="V71" s="1" t="str">
        <f>IF(pilgrims[[#This Row],[packages.second_hotel_name]]="",pilgrims[[#This Row],[packages.first_hotel_name]],pilgrims[[#This Row],[packages.second_hotel_name]])</f>
        <v>Movenpick Anwar Almadinah Hotel</v>
      </c>
      <c r="W71" s="1" t="str">
        <f>IF(pilgrims[[#This Row],[packages.second_hotel_name]]="",pilgrims[[#This Row],[packages.first_hotel_check_in]],pilgrims[[#This Row],[packages.second_hotel_check_in]])</f>
        <v>2026-05-30</v>
      </c>
      <c r="X71" s="1" t="str">
        <f>IF(pilgrims[[#This Row],[packages.second_hotel_name]]="",pilgrims[[#This Row],[packages.first_hotel_check_out]],pilgrims[[#This Row],[packages.second_hotel_check_out]])</f>
        <v>2026-06-02</v>
      </c>
      <c r="Y71" s="1"/>
      <c r="Z71" s="1" t="s">
        <v>261</v>
      </c>
      <c r="AA71" s="1" t="s">
        <v>326</v>
      </c>
      <c r="AB71" s="1" t="s">
        <v>1296</v>
      </c>
      <c r="AC71" s="1" t="s">
        <v>327</v>
      </c>
      <c r="AD71" s="1" t="s">
        <v>1297</v>
      </c>
      <c r="AE71" s="1" t="s">
        <v>1280</v>
      </c>
      <c r="AF71" s="4">
        <v>46165</v>
      </c>
      <c r="AG71" s="5">
        <v>0.54513888888888884</v>
      </c>
      <c r="AH71" s="1" t="s">
        <v>1298</v>
      </c>
      <c r="AI71" s="1" t="s">
        <v>1281</v>
      </c>
      <c r="AJ71" s="4">
        <v>46175</v>
      </c>
      <c r="AK71" s="5">
        <v>0.21527777777777779</v>
      </c>
      <c r="AL71" s="1" t="s">
        <v>215</v>
      </c>
      <c r="AM71" s="1"/>
    </row>
    <row r="72" spans="1:39" x14ac:dyDescent="0.3">
      <c r="A72" s="1">
        <v>605474</v>
      </c>
      <c r="B72" s="1">
        <v>488081</v>
      </c>
      <c r="C72" s="1" t="s">
        <v>1189</v>
      </c>
      <c r="D72" s="38" t="s">
        <v>1591</v>
      </c>
      <c r="E72" s="4">
        <v>24977</v>
      </c>
      <c r="F72" s="1">
        <v>57</v>
      </c>
      <c r="G72" s="1" t="s">
        <v>212</v>
      </c>
      <c r="H72" s="1" t="s">
        <v>1502</v>
      </c>
      <c r="I72" s="1" t="s">
        <v>1502</v>
      </c>
      <c r="J72" s="1">
        <v>8525</v>
      </c>
      <c r="K72" s="1" t="s">
        <v>77</v>
      </c>
      <c r="L72" s="1" t="s">
        <v>19</v>
      </c>
      <c r="M72" s="1" t="s">
        <v>13</v>
      </c>
      <c r="N72" s="1" t="s">
        <v>10</v>
      </c>
      <c r="O72" s="1" t="s">
        <v>216</v>
      </c>
      <c r="P72" s="1" t="s">
        <v>52</v>
      </c>
      <c r="Q72" s="1" t="s">
        <v>19</v>
      </c>
      <c r="R72" s="1" t="s">
        <v>8</v>
      </c>
      <c r="S72" s="1" t="s">
        <v>12</v>
      </c>
      <c r="T72" s="1" t="s">
        <v>53</v>
      </c>
      <c r="U72" s="1" t="s">
        <v>8</v>
      </c>
      <c r="V72" s="1" t="str">
        <f>IF(pilgrims[[#This Row],[packages.second_hotel_name]]="",pilgrims[[#This Row],[packages.first_hotel_name]],pilgrims[[#This Row],[packages.second_hotel_name]])</f>
        <v>Makkah Clock Royal Tower A Fairmont Hotel</v>
      </c>
      <c r="W72" s="1" t="str">
        <f>IF(pilgrims[[#This Row],[packages.second_hotel_name]]="",pilgrims[[#This Row],[packages.first_hotel_check_in]],pilgrims[[#This Row],[packages.second_hotel_check_in]])</f>
        <v>2026-05-21</v>
      </c>
      <c r="X72" s="1" t="str">
        <f>IF(pilgrims[[#This Row],[packages.second_hotel_name]]="",pilgrims[[#This Row],[packages.first_hotel_check_out]],pilgrims[[#This Row],[packages.second_hotel_check_out]])</f>
        <v>2026-05-24</v>
      </c>
      <c r="Y72" s="1" t="s">
        <v>11</v>
      </c>
      <c r="Z72" s="1" t="s">
        <v>214</v>
      </c>
      <c r="AA72" s="1" t="s">
        <v>1209</v>
      </c>
      <c r="AB72" s="1" t="s">
        <v>1209</v>
      </c>
      <c r="AC72" s="1" t="s">
        <v>212</v>
      </c>
      <c r="AD72" s="1" t="s">
        <v>134</v>
      </c>
      <c r="AE72" s="1" t="s">
        <v>1281</v>
      </c>
      <c r="AF72" s="4">
        <v>46160</v>
      </c>
      <c r="AG72" s="5">
        <v>0.73958333333333337</v>
      </c>
      <c r="AH72" s="1" t="s">
        <v>68</v>
      </c>
      <c r="AI72" s="1" t="s">
        <v>1280</v>
      </c>
      <c r="AJ72" s="4">
        <v>46172</v>
      </c>
      <c r="AK72" s="5">
        <v>0.38541666666666669</v>
      </c>
      <c r="AL72" s="1" t="s">
        <v>215</v>
      </c>
      <c r="AM72" s="1"/>
    </row>
    <row r="73" spans="1:39" x14ac:dyDescent="0.3">
      <c r="A73" s="1">
        <v>680655</v>
      </c>
      <c r="B73" s="1">
        <v>488081</v>
      </c>
      <c r="C73" s="1" t="s">
        <v>1188</v>
      </c>
      <c r="D73" s="38" t="s">
        <v>1592</v>
      </c>
      <c r="E73" s="4">
        <v>23146</v>
      </c>
      <c r="F73" s="1">
        <v>62</v>
      </c>
      <c r="G73" s="1" t="s">
        <v>212</v>
      </c>
      <c r="H73" s="1" t="s">
        <v>1502</v>
      </c>
      <c r="I73" s="1" t="s">
        <v>1502</v>
      </c>
      <c r="J73" s="1">
        <v>8525</v>
      </c>
      <c r="K73" s="1" t="s">
        <v>77</v>
      </c>
      <c r="L73" s="1" t="s">
        <v>19</v>
      </c>
      <c r="M73" s="1" t="s">
        <v>13</v>
      </c>
      <c r="N73" s="1" t="s">
        <v>10</v>
      </c>
      <c r="O73" s="1" t="s">
        <v>216</v>
      </c>
      <c r="P73" s="1" t="s">
        <v>52</v>
      </c>
      <c r="Q73" s="1" t="s">
        <v>19</v>
      </c>
      <c r="R73" s="1" t="s">
        <v>8</v>
      </c>
      <c r="S73" s="1" t="s">
        <v>12</v>
      </c>
      <c r="T73" s="1" t="s">
        <v>53</v>
      </c>
      <c r="U73" s="1" t="s">
        <v>8</v>
      </c>
      <c r="V73" s="1" t="str">
        <f>IF(pilgrims[[#This Row],[packages.second_hotel_name]]="",pilgrims[[#This Row],[packages.first_hotel_name]],pilgrims[[#This Row],[packages.second_hotel_name]])</f>
        <v>Makkah Clock Royal Tower A Fairmont Hotel</v>
      </c>
      <c r="W73" s="1" t="str">
        <f>IF(pilgrims[[#This Row],[packages.second_hotel_name]]="",pilgrims[[#This Row],[packages.first_hotel_check_in]],pilgrims[[#This Row],[packages.second_hotel_check_in]])</f>
        <v>2026-05-21</v>
      </c>
      <c r="X73" s="1" t="str">
        <f>IF(pilgrims[[#This Row],[packages.second_hotel_name]]="",pilgrims[[#This Row],[packages.first_hotel_check_out]],pilgrims[[#This Row],[packages.second_hotel_check_out]])</f>
        <v>2026-05-24</v>
      </c>
      <c r="Y73" s="1" t="s">
        <v>11</v>
      </c>
      <c r="Z73" s="1" t="s">
        <v>214</v>
      </c>
      <c r="AA73" s="1" t="s">
        <v>1209</v>
      </c>
      <c r="AB73" s="1" t="s">
        <v>1209</v>
      </c>
      <c r="AC73" s="1" t="s">
        <v>212</v>
      </c>
      <c r="AD73" s="1" t="s">
        <v>134</v>
      </c>
      <c r="AE73" s="1" t="s">
        <v>1281</v>
      </c>
      <c r="AF73" s="4">
        <v>46160</v>
      </c>
      <c r="AG73" s="5">
        <v>0.73958333333333337</v>
      </c>
      <c r="AH73" s="1" t="s">
        <v>68</v>
      </c>
      <c r="AI73" s="1" t="s">
        <v>1280</v>
      </c>
      <c r="AJ73" s="4">
        <v>46172</v>
      </c>
      <c r="AK73" s="5">
        <v>0.38541666666666669</v>
      </c>
      <c r="AL73" s="1" t="s">
        <v>215</v>
      </c>
      <c r="AM73" s="1"/>
    </row>
    <row r="74" spans="1:39" x14ac:dyDescent="0.3">
      <c r="A74" s="1">
        <v>700629</v>
      </c>
      <c r="B74" s="1">
        <v>569226</v>
      </c>
      <c r="C74" s="1" t="s">
        <v>1189</v>
      </c>
      <c r="D74" s="38" t="s">
        <v>1593</v>
      </c>
      <c r="E74" s="4">
        <v>23588</v>
      </c>
      <c r="F74" s="1">
        <v>61</v>
      </c>
      <c r="G74" s="1" t="s">
        <v>212</v>
      </c>
      <c r="H74" s="1" t="s">
        <v>1501</v>
      </c>
      <c r="I74" s="1" t="s">
        <v>1501</v>
      </c>
      <c r="J74" s="1">
        <v>8714</v>
      </c>
      <c r="K74" s="1" t="s">
        <v>96</v>
      </c>
      <c r="L74" s="1" t="s">
        <v>19</v>
      </c>
      <c r="M74" s="1" t="s">
        <v>13</v>
      </c>
      <c r="N74" s="1" t="s">
        <v>5</v>
      </c>
      <c r="O74" s="1" t="s">
        <v>216</v>
      </c>
      <c r="P74" s="1" t="s">
        <v>53</v>
      </c>
      <c r="Q74" s="1" t="s">
        <v>19</v>
      </c>
      <c r="R74" s="1" t="s">
        <v>8</v>
      </c>
      <c r="S74" s="1" t="s">
        <v>21</v>
      </c>
      <c r="T74" s="1" t="s">
        <v>53</v>
      </c>
      <c r="U74" s="1" t="s">
        <v>8</v>
      </c>
      <c r="V74" s="1" t="str">
        <f>IF(pilgrims[[#This Row],[packages.second_hotel_name]]="",pilgrims[[#This Row],[packages.first_hotel_name]],pilgrims[[#This Row],[packages.second_hotel_name]])</f>
        <v>Swissotel Makkah Hotel</v>
      </c>
      <c r="W74" s="1" t="str">
        <f>IF(pilgrims[[#This Row],[packages.second_hotel_name]]="",pilgrims[[#This Row],[packages.first_hotel_check_in]],pilgrims[[#This Row],[packages.second_hotel_check_in]])</f>
        <v>2026-05-21</v>
      </c>
      <c r="X74" s="1" t="str">
        <f>IF(pilgrims[[#This Row],[packages.second_hotel_name]]="",pilgrims[[#This Row],[packages.first_hotel_check_out]],pilgrims[[#This Row],[packages.second_hotel_check_out]])</f>
        <v>2026-05-25</v>
      </c>
      <c r="Y74" s="1" t="s">
        <v>16</v>
      </c>
      <c r="Z74" s="1" t="s">
        <v>214</v>
      </c>
      <c r="AA74" s="1" t="s">
        <v>1202</v>
      </c>
      <c r="AB74" s="1" t="s">
        <v>1202</v>
      </c>
      <c r="AC74" s="1" t="s">
        <v>212</v>
      </c>
      <c r="AD74" s="1" t="s">
        <v>136</v>
      </c>
      <c r="AE74" s="1" t="s">
        <v>1281</v>
      </c>
      <c r="AF74" s="4">
        <v>46160</v>
      </c>
      <c r="AG74" s="5">
        <v>0.1076388888888889</v>
      </c>
      <c r="AH74" s="1" t="s">
        <v>71</v>
      </c>
      <c r="AI74" s="1" t="s">
        <v>1280</v>
      </c>
      <c r="AJ74" s="4">
        <v>46172</v>
      </c>
      <c r="AK74" s="5">
        <v>0.40972222222222221</v>
      </c>
      <c r="AL74" s="1" t="s">
        <v>215</v>
      </c>
      <c r="AM74" s="1"/>
    </row>
    <row r="75" spans="1:39" x14ac:dyDescent="0.3">
      <c r="A75" s="1">
        <v>781826</v>
      </c>
      <c r="B75" s="1">
        <v>569226</v>
      </c>
      <c r="C75" s="1" t="s">
        <v>1188</v>
      </c>
      <c r="D75" s="38" t="s">
        <v>1594</v>
      </c>
      <c r="E75" s="4">
        <v>20657</v>
      </c>
      <c r="F75" s="1">
        <v>69</v>
      </c>
      <c r="G75" s="1" t="s">
        <v>212</v>
      </c>
      <c r="H75" s="1" t="s">
        <v>1501</v>
      </c>
      <c r="I75" s="1" t="s">
        <v>1501</v>
      </c>
      <c r="J75" s="1">
        <v>8714</v>
      </c>
      <c r="K75" s="1" t="s">
        <v>96</v>
      </c>
      <c r="L75" s="1" t="s">
        <v>19</v>
      </c>
      <c r="M75" s="1" t="s">
        <v>13</v>
      </c>
      <c r="N75" s="1" t="s">
        <v>5</v>
      </c>
      <c r="O75" s="1" t="s">
        <v>216</v>
      </c>
      <c r="P75" s="1" t="s">
        <v>53</v>
      </c>
      <c r="Q75" s="1" t="s">
        <v>19</v>
      </c>
      <c r="R75" s="1" t="s">
        <v>8</v>
      </c>
      <c r="S75" s="1" t="s">
        <v>21</v>
      </c>
      <c r="T75" s="1" t="s">
        <v>53</v>
      </c>
      <c r="U75" s="1" t="s">
        <v>8</v>
      </c>
      <c r="V75" s="1" t="str">
        <f>IF(pilgrims[[#This Row],[packages.second_hotel_name]]="",pilgrims[[#This Row],[packages.first_hotel_name]],pilgrims[[#This Row],[packages.second_hotel_name]])</f>
        <v>Swissotel Makkah Hotel</v>
      </c>
      <c r="W75" s="1" t="str">
        <f>IF(pilgrims[[#This Row],[packages.second_hotel_name]]="",pilgrims[[#This Row],[packages.first_hotel_check_in]],pilgrims[[#This Row],[packages.second_hotel_check_in]])</f>
        <v>2026-05-21</v>
      </c>
      <c r="X75" s="1" t="str">
        <f>IF(pilgrims[[#This Row],[packages.second_hotel_name]]="",pilgrims[[#This Row],[packages.first_hotel_check_out]],pilgrims[[#This Row],[packages.second_hotel_check_out]])</f>
        <v>2026-05-25</v>
      </c>
      <c r="Y75" s="1" t="s">
        <v>16</v>
      </c>
      <c r="Z75" s="1" t="s">
        <v>214</v>
      </c>
      <c r="AA75" s="1" t="s">
        <v>1202</v>
      </c>
      <c r="AB75" s="1" t="s">
        <v>1202</v>
      </c>
      <c r="AC75" s="1" t="s">
        <v>212</v>
      </c>
      <c r="AD75" s="1" t="s">
        <v>136</v>
      </c>
      <c r="AE75" s="1" t="s">
        <v>1281</v>
      </c>
      <c r="AF75" s="4">
        <v>46160</v>
      </c>
      <c r="AG75" s="5">
        <v>0.1076388888888889</v>
      </c>
      <c r="AH75" s="1" t="s">
        <v>71</v>
      </c>
      <c r="AI75" s="1" t="s">
        <v>1280</v>
      </c>
      <c r="AJ75" s="4">
        <v>46172</v>
      </c>
      <c r="AK75" s="5">
        <v>0.40972222222222221</v>
      </c>
      <c r="AL75" s="1" t="s">
        <v>215</v>
      </c>
      <c r="AM75" s="1"/>
    </row>
    <row r="76" spans="1:39" x14ac:dyDescent="0.3">
      <c r="A76" s="1">
        <v>826259</v>
      </c>
      <c r="B76" s="1">
        <v>667962</v>
      </c>
      <c r="C76" s="1" t="s">
        <v>1189</v>
      </c>
      <c r="D76" s="38" t="s">
        <v>1595</v>
      </c>
      <c r="E76" s="4">
        <v>27885</v>
      </c>
      <c r="F76" s="1">
        <v>49</v>
      </c>
      <c r="G76" s="1" t="s">
        <v>212</v>
      </c>
      <c r="H76" s="1" t="s">
        <v>1501</v>
      </c>
      <c r="I76" s="1" t="s">
        <v>1501</v>
      </c>
      <c r="J76" s="1">
        <v>8538</v>
      </c>
      <c r="K76" s="1" t="s">
        <v>88</v>
      </c>
      <c r="L76" s="1" t="s">
        <v>8</v>
      </c>
      <c r="M76" s="1" t="s">
        <v>4</v>
      </c>
      <c r="N76" s="1" t="s">
        <v>15</v>
      </c>
      <c r="O76" s="1" t="s">
        <v>216</v>
      </c>
      <c r="P76" s="1" t="s">
        <v>53</v>
      </c>
      <c r="Q76" s="1" t="s">
        <v>8</v>
      </c>
      <c r="R76" s="1" t="s">
        <v>16</v>
      </c>
      <c r="S76" s="1" t="s">
        <v>5</v>
      </c>
      <c r="T76" s="1" t="s">
        <v>53</v>
      </c>
      <c r="U76" s="1" t="s">
        <v>6</v>
      </c>
      <c r="V76" s="1" t="str">
        <f>IF(pilgrims[[#This Row],[packages.second_hotel_name]]="",pilgrims[[#This Row],[packages.first_hotel_name]],pilgrims[[#This Row],[packages.second_hotel_name]])</f>
        <v>Movenpick Anwar Almadinah Hotel</v>
      </c>
      <c r="W76" s="1" t="str">
        <f>IF(pilgrims[[#This Row],[packages.second_hotel_name]]="",pilgrims[[#This Row],[packages.first_hotel_check_in]],pilgrims[[#This Row],[packages.second_hotel_check_in]])</f>
        <v>2026-05-30</v>
      </c>
      <c r="X76" s="1" t="str">
        <f>IF(pilgrims[[#This Row],[packages.second_hotel_name]]="",pilgrims[[#This Row],[packages.first_hotel_check_out]],pilgrims[[#This Row],[packages.second_hotel_check_out]])</f>
        <v>2026-06-02</v>
      </c>
      <c r="Y76" s="1" t="s">
        <v>4</v>
      </c>
      <c r="Z76" s="1" t="s">
        <v>261</v>
      </c>
      <c r="AA76" s="1" t="s">
        <v>337</v>
      </c>
      <c r="AB76" s="1" t="s">
        <v>1394</v>
      </c>
      <c r="AC76" s="1" t="s">
        <v>338</v>
      </c>
      <c r="AD76" s="1" t="s">
        <v>1395</v>
      </c>
      <c r="AE76" s="1" t="s">
        <v>1280</v>
      </c>
      <c r="AF76" s="4">
        <v>46163</v>
      </c>
      <c r="AG76" s="5">
        <v>0.53819444444444442</v>
      </c>
      <c r="AH76" s="1" t="s">
        <v>1396</v>
      </c>
      <c r="AI76" s="1" t="s">
        <v>1281</v>
      </c>
      <c r="AJ76" s="4">
        <v>46175</v>
      </c>
      <c r="AK76" s="5">
        <v>0.25694444444444442</v>
      </c>
      <c r="AL76" s="1" t="s">
        <v>215</v>
      </c>
      <c r="AM76" s="1"/>
    </row>
    <row r="77" spans="1:39" x14ac:dyDescent="0.3">
      <c r="A77" s="1">
        <v>535091</v>
      </c>
      <c r="B77" s="1">
        <v>423131</v>
      </c>
      <c r="C77" s="1" t="s">
        <v>1189</v>
      </c>
      <c r="D77" s="38" t="s">
        <v>1596</v>
      </c>
      <c r="E77" s="4">
        <v>30976</v>
      </c>
      <c r="F77" s="1">
        <v>41</v>
      </c>
      <c r="G77" s="1" t="s">
        <v>212</v>
      </c>
      <c r="H77" s="1" t="s">
        <v>1501</v>
      </c>
      <c r="I77" s="1" t="s">
        <v>1501</v>
      </c>
      <c r="J77" s="1">
        <v>8525</v>
      </c>
      <c r="K77" s="1" t="s">
        <v>77</v>
      </c>
      <c r="L77" s="1" t="s">
        <v>19</v>
      </c>
      <c r="M77" s="1" t="s">
        <v>13</v>
      </c>
      <c r="N77" s="1" t="s">
        <v>10</v>
      </c>
      <c r="O77" s="1" t="s">
        <v>216</v>
      </c>
      <c r="P77" s="1" t="s">
        <v>52</v>
      </c>
      <c r="Q77" s="1" t="s">
        <v>19</v>
      </c>
      <c r="R77" s="1" t="s">
        <v>8</v>
      </c>
      <c r="S77" s="1" t="s">
        <v>12</v>
      </c>
      <c r="T77" s="1" t="s">
        <v>53</v>
      </c>
      <c r="U77" s="1" t="s">
        <v>8</v>
      </c>
      <c r="V77" s="1" t="str">
        <f>IF(pilgrims[[#This Row],[packages.second_hotel_name]]="",pilgrims[[#This Row],[packages.first_hotel_name]],pilgrims[[#This Row],[packages.second_hotel_name]])</f>
        <v>Makkah Clock Royal Tower A Fairmont Hotel</v>
      </c>
      <c r="W77" s="1" t="str">
        <f>IF(pilgrims[[#This Row],[packages.second_hotel_name]]="",pilgrims[[#This Row],[packages.first_hotel_check_in]],pilgrims[[#This Row],[packages.second_hotel_check_in]])</f>
        <v>2026-05-21</v>
      </c>
      <c r="X77" s="1" t="str">
        <f>IF(pilgrims[[#This Row],[packages.second_hotel_name]]="",pilgrims[[#This Row],[packages.first_hotel_check_out]],pilgrims[[#This Row],[packages.second_hotel_check_out]])</f>
        <v>2026-05-24</v>
      </c>
      <c r="Y77" s="1" t="s">
        <v>11</v>
      </c>
      <c r="Z77" s="1" t="s">
        <v>214</v>
      </c>
      <c r="AA77" s="1" t="s">
        <v>1190</v>
      </c>
      <c r="AB77" s="1" t="s">
        <v>1190</v>
      </c>
      <c r="AC77" s="1" t="s">
        <v>212</v>
      </c>
      <c r="AD77" s="1" t="s">
        <v>133</v>
      </c>
      <c r="AE77" s="1" t="s">
        <v>1281</v>
      </c>
      <c r="AF77" s="4">
        <v>46160</v>
      </c>
      <c r="AG77" s="5">
        <v>0.3923611111111111</v>
      </c>
      <c r="AH77" s="1" t="s">
        <v>60</v>
      </c>
      <c r="AI77" s="1" t="s">
        <v>1280</v>
      </c>
      <c r="AJ77" s="4">
        <v>46173</v>
      </c>
      <c r="AK77" s="5">
        <v>0.12847222222222221</v>
      </c>
      <c r="AL77" s="1" t="s">
        <v>215</v>
      </c>
      <c r="AM77" s="1"/>
    </row>
    <row r="78" spans="1:39" x14ac:dyDescent="0.3">
      <c r="A78" s="1">
        <v>6454</v>
      </c>
      <c r="B78" s="1">
        <v>5798</v>
      </c>
      <c r="C78" s="1" t="s">
        <v>1188</v>
      </c>
      <c r="D78" s="38" t="s">
        <v>1597</v>
      </c>
      <c r="E78" s="4">
        <v>25770</v>
      </c>
      <c r="F78" s="1">
        <v>55</v>
      </c>
      <c r="G78" s="1" t="s">
        <v>212</v>
      </c>
      <c r="H78" s="1" t="s">
        <v>1501</v>
      </c>
      <c r="I78" s="1" t="s">
        <v>1501</v>
      </c>
      <c r="J78" s="1">
        <v>8525</v>
      </c>
      <c r="K78" s="1" t="s">
        <v>77</v>
      </c>
      <c r="L78" s="1" t="s">
        <v>19</v>
      </c>
      <c r="M78" s="1" t="s">
        <v>13</v>
      </c>
      <c r="N78" s="1" t="s">
        <v>10</v>
      </c>
      <c r="O78" s="1" t="s">
        <v>216</v>
      </c>
      <c r="P78" s="1" t="s">
        <v>52</v>
      </c>
      <c r="Q78" s="1" t="s">
        <v>19</v>
      </c>
      <c r="R78" s="1" t="s">
        <v>8</v>
      </c>
      <c r="S78" s="1" t="s">
        <v>12</v>
      </c>
      <c r="T78" s="1" t="s">
        <v>53</v>
      </c>
      <c r="U78" s="1" t="s">
        <v>8</v>
      </c>
      <c r="V78" s="1" t="str">
        <f>IF(pilgrims[[#This Row],[packages.second_hotel_name]]="",pilgrims[[#This Row],[packages.first_hotel_name]],pilgrims[[#This Row],[packages.second_hotel_name]])</f>
        <v>Makkah Clock Royal Tower A Fairmont Hotel</v>
      </c>
      <c r="W78" s="1" t="str">
        <f>IF(pilgrims[[#This Row],[packages.second_hotel_name]]="",pilgrims[[#This Row],[packages.first_hotel_check_in]],pilgrims[[#This Row],[packages.second_hotel_check_in]])</f>
        <v>2026-05-21</v>
      </c>
      <c r="X78" s="1" t="str">
        <f>IF(pilgrims[[#This Row],[packages.second_hotel_name]]="",pilgrims[[#This Row],[packages.first_hotel_check_out]],pilgrims[[#This Row],[packages.second_hotel_check_out]])</f>
        <v>2026-05-24</v>
      </c>
      <c r="Y78" s="1" t="s">
        <v>11</v>
      </c>
      <c r="Z78" s="1" t="s">
        <v>214</v>
      </c>
      <c r="AA78" s="1" t="s">
        <v>1194</v>
      </c>
      <c r="AB78" s="1" t="s">
        <v>1194</v>
      </c>
      <c r="AC78" s="1" t="s">
        <v>212</v>
      </c>
      <c r="AD78" s="1" t="s">
        <v>137</v>
      </c>
      <c r="AE78" s="1" t="s">
        <v>1281</v>
      </c>
      <c r="AF78" s="4">
        <v>46161</v>
      </c>
      <c r="AG78" s="5">
        <v>0.87847222222222221</v>
      </c>
      <c r="AH78" s="1" t="s">
        <v>63</v>
      </c>
      <c r="AI78" s="1" t="s">
        <v>1280</v>
      </c>
      <c r="AJ78" s="4">
        <v>46173</v>
      </c>
      <c r="AK78" s="5">
        <v>0.3923611111111111</v>
      </c>
      <c r="AL78" s="1" t="s">
        <v>215</v>
      </c>
      <c r="AM78" s="1"/>
    </row>
    <row r="79" spans="1:39" x14ac:dyDescent="0.3">
      <c r="A79" s="1">
        <v>173152</v>
      </c>
      <c r="B79" s="1">
        <v>5798</v>
      </c>
      <c r="C79" s="1" t="s">
        <v>1189</v>
      </c>
      <c r="D79" s="38" t="s">
        <v>1598</v>
      </c>
      <c r="E79" s="4">
        <v>26696</v>
      </c>
      <c r="F79" s="1">
        <v>53</v>
      </c>
      <c r="G79" s="1" t="s">
        <v>212</v>
      </c>
      <c r="H79" s="1" t="s">
        <v>1501</v>
      </c>
      <c r="I79" s="1" t="s">
        <v>1501</v>
      </c>
      <c r="J79" s="1">
        <v>8525</v>
      </c>
      <c r="K79" s="1" t="s">
        <v>77</v>
      </c>
      <c r="L79" s="1" t="s">
        <v>19</v>
      </c>
      <c r="M79" s="1" t="s">
        <v>13</v>
      </c>
      <c r="N79" s="1" t="s">
        <v>10</v>
      </c>
      <c r="O79" s="1" t="s">
        <v>216</v>
      </c>
      <c r="P79" s="1" t="s">
        <v>52</v>
      </c>
      <c r="Q79" s="1" t="s">
        <v>19</v>
      </c>
      <c r="R79" s="1" t="s">
        <v>8</v>
      </c>
      <c r="S79" s="1" t="s">
        <v>12</v>
      </c>
      <c r="T79" s="1" t="s">
        <v>53</v>
      </c>
      <c r="U79" s="1" t="s">
        <v>8</v>
      </c>
      <c r="V79" s="1" t="str">
        <f>IF(pilgrims[[#This Row],[packages.second_hotel_name]]="",pilgrims[[#This Row],[packages.first_hotel_name]],pilgrims[[#This Row],[packages.second_hotel_name]])</f>
        <v>Makkah Clock Royal Tower A Fairmont Hotel</v>
      </c>
      <c r="W79" s="1" t="str">
        <f>IF(pilgrims[[#This Row],[packages.second_hotel_name]]="",pilgrims[[#This Row],[packages.first_hotel_check_in]],pilgrims[[#This Row],[packages.second_hotel_check_in]])</f>
        <v>2026-05-21</v>
      </c>
      <c r="X79" s="1" t="str">
        <f>IF(pilgrims[[#This Row],[packages.second_hotel_name]]="",pilgrims[[#This Row],[packages.first_hotel_check_out]],pilgrims[[#This Row],[packages.second_hotel_check_out]])</f>
        <v>2026-05-24</v>
      </c>
      <c r="Y79" s="1" t="s">
        <v>11</v>
      </c>
      <c r="Z79" s="1" t="s">
        <v>214</v>
      </c>
      <c r="AA79" s="1" t="s">
        <v>1194</v>
      </c>
      <c r="AB79" s="1" t="s">
        <v>1194</v>
      </c>
      <c r="AC79" s="1" t="s">
        <v>212</v>
      </c>
      <c r="AD79" s="1" t="s">
        <v>137</v>
      </c>
      <c r="AE79" s="1" t="s">
        <v>1281</v>
      </c>
      <c r="AF79" s="4">
        <v>46161</v>
      </c>
      <c r="AG79" s="5">
        <v>0.87847222222222221</v>
      </c>
      <c r="AH79" s="1" t="s">
        <v>63</v>
      </c>
      <c r="AI79" s="1" t="s">
        <v>1280</v>
      </c>
      <c r="AJ79" s="4">
        <v>46173</v>
      </c>
      <c r="AK79" s="5">
        <v>0.3923611111111111</v>
      </c>
      <c r="AL79" s="1" t="s">
        <v>215</v>
      </c>
      <c r="AM79" s="1"/>
    </row>
    <row r="80" spans="1:39" x14ac:dyDescent="0.3">
      <c r="A80" s="1">
        <v>136751</v>
      </c>
      <c r="B80" s="1">
        <v>104563</v>
      </c>
      <c r="C80" s="1" t="s">
        <v>1188</v>
      </c>
      <c r="D80" s="38" t="s">
        <v>1599</v>
      </c>
      <c r="E80" s="4">
        <v>29944</v>
      </c>
      <c r="F80" s="1">
        <v>44</v>
      </c>
      <c r="G80" s="1" t="s">
        <v>212</v>
      </c>
      <c r="H80" s="1" t="s">
        <v>1502</v>
      </c>
      <c r="I80" s="1" t="s">
        <v>1502</v>
      </c>
      <c r="J80" s="1">
        <v>8728</v>
      </c>
      <c r="K80" s="1" t="s">
        <v>97</v>
      </c>
      <c r="L80" s="1" t="s">
        <v>8</v>
      </c>
      <c r="M80" s="1" t="s">
        <v>4</v>
      </c>
      <c r="N80" s="1" t="s">
        <v>12</v>
      </c>
      <c r="O80" s="1" t="s">
        <v>216</v>
      </c>
      <c r="P80" s="1" t="s">
        <v>53</v>
      </c>
      <c r="Q80" s="1" t="s">
        <v>8</v>
      </c>
      <c r="R80" s="1" t="s">
        <v>16</v>
      </c>
      <c r="S80" s="1" t="s">
        <v>28</v>
      </c>
      <c r="T80" s="1" t="s">
        <v>52</v>
      </c>
      <c r="U80" s="1" t="s">
        <v>6</v>
      </c>
      <c r="V80" s="1" t="str">
        <f>IF(pilgrims[[#This Row],[packages.second_hotel_name]]="",pilgrims[[#This Row],[packages.first_hotel_name]],pilgrims[[#This Row],[packages.second_hotel_name]])</f>
        <v>Madinah Hilton Hotel</v>
      </c>
      <c r="W80" s="1" t="str">
        <f>IF(pilgrims[[#This Row],[packages.second_hotel_name]]="",pilgrims[[#This Row],[packages.first_hotel_check_in]],pilgrims[[#This Row],[packages.second_hotel_check_in]])</f>
        <v>2026-05-30</v>
      </c>
      <c r="X80" s="1" t="str">
        <f>IF(pilgrims[[#This Row],[packages.second_hotel_name]]="",pilgrims[[#This Row],[packages.first_hotel_check_out]],pilgrims[[#This Row],[packages.second_hotel_check_out]])</f>
        <v>2026-06-02</v>
      </c>
      <c r="Y80" s="1" t="s">
        <v>4</v>
      </c>
      <c r="Z80" s="1" t="s">
        <v>261</v>
      </c>
      <c r="AA80" s="1" t="s">
        <v>345</v>
      </c>
      <c r="AB80" s="1" t="s">
        <v>1399</v>
      </c>
      <c r="AC80" s="1" t="s">
        <v>346</v>
      </c>
      <c r="AD80" s="1" t="s">
        <v>1400</v>
      </c>
      <c r="AE80" s="1" t="s">
        <v>1280</v>
      </c>
      <c r="AF80" s="4">
        <v>46163</v>
      </c>
      <c r="AG80" s="5">
        <v>0.95486111111111116</v>
      </c>
      <c r="AH80" s="1" t="s">
        <v>1298</v>
      </c>
      <c r="AI80" s="1" t="s">
        <v>1281</v>
      </c>
      <c r="AJ80" s="4">
        <v>46175</v>
      </c>
      <c r="AK80" s="5">
        <v>0.21527777777777779</v>
      </c>
      <c r="AL80" s="1" t="s">
        <v>215</v>
      </c>
      <c r="AM80" s="1" t="b">
        <v>1</v>
      </c>
    </row>
    <row r="81" spans="1:39" x14ac:dyDescent="0.3">
      <c r="A81" s="1">
        <v>651848</v>
      </c>
      <c r="B81" s="1">
        <v>5798</v>
      </c>
      <c r="C81" s="1" t="s">
        <v>1188</v>
      </c>
      <c r="D81" s="38" t="s">
        <v>1600</v>
      </c>
      <c r="E81" s="4">
        <v>37895</v>
      </c>
      <c r="F81" s="1">
        <v>22</v>
      </c>
      <c r="G81" s="1" t="s">
        <v>212</v>
      </c>
      <c r="H81" s="1" t="s">
        <v>1501</v>
      </c>
      <c r="I81" s="1" t="s">
        <v>1501</v>
      </c>
      <c r="J81" s="1">
        <v>8525</v>
      </c>
      <c r="K81" s="1" t="s">
        <v>77</v>
      </c>
      <c r="L81" s="1" t="s">
        <v>19</v>
      </c>
      <c r="M81" s="1" t="s">
        <v>13</v>
      </c>
      <c r="N81" s="1" t="s">
        <v>10</v>
      </c>
      <c r="O81" s="1" t="s">
        <v>216</v>
      </c>
      <c r="P81" s="1" t="s">
        <v>52</v>
      </c>
      <c r="Q81" s="1" t="s">
        <v>19</v>
      </c>
      <c r="R81" s="1" t="s">
        <v>8</v>
      </c>
      <c r="S81" s="1" t="s">
        <v>12</v>
      </c>
      <c r="T81" s="1" t="s">
        <v>53</v>
      </c>
      <c r="U81" s="1" t="s">
        <v>8</v>
      </c>
      <c r="V81" s="1" t="str">
        <f>IF(pilgrims[[#This Row],[packages.second_hotel_name]]="",pilgrims[[#This Row],[packages.first_hotel_name]],pilgrims[[#This Row],[packages.second_hotel_name]])</f>
        <v>Makkah Clock Royal Tower A Fairmont Hotel</v>
      </c>
      <c r="W81" s="1" t="str">
        <f>IF(pilgrims[[#This Row],[packages.second_hotel_name]]="",pilgrims[[#This Row],[packages.first_hotel_check_in]],pilgrims[[#This Row],[packages.second_hotel_check_in]])</f>
        <v>2026-05-21</v>
      </c>
      <c r="X81" s="1" t="str">
        <f>IF(pilgrims[[#This Row],[packages.second_hotel_name]]="",pilgrims[[#This Row],[packages.first_hotel_check_out]],pilgrims[[#This Row],[packages.second_hotel_check_out]])</f>
        <v>2026-05-24</v>
      </c>
      <c r="Y81" s="1" t="s">
        <v>11</v>
      </c>
      <c r="Z81" s="1" t="s">
        <v>214</v>
      </c>
      <c r="AA81" s="1" t="s">
        <v>1194</v>
      </c>
      <c r="AB81" s="1" t="s">
        <v>1194</v>
      </c>
      <c r="AC81" s="1" t="s">
        <v>212</v>
      </c>
      <c r="AD81" s="1" t="s">
        <v>137</v>
      </c>
      <c r="AE81" s="1" t="s">
        <v>1281</v>
      </c>
      <c r="AF81" s="4">
        <v>46161</v>
      </c>
      <c r="AG81" s="5">
        <v>0.87847222222222221</v>
      </c>
      <c r="AH81" s="1" t="s">
        <v>63</v>
      </c>
      <c r="AI81" s="1" t="s">
        <v>1280</v>
      </c>
      <c r="AJ81" s="4">
        <v>46173</v>
      </c>
      <c r="AK81" s="5">
        <v>0.3923611111111111</v>
      </c>
      <c r="AL81" s="1" t="s">
        <v>215</v>
      </c>
      <c r="AM81" s="1"/>
    </row>
    <row r="82" spans="1:39" x14ac:dyDescent="0.3">
      <c r="A82" s="1">
        <v>24416</v>
      </c>
      <c r="B82" s="1">
        <v>22094</v>
      </c>
      <c r="C82" s="1" t="s">
        <v>1188</v>
      </c>
      <c r="D82" s="38" t="s">
        <v>1601</v>
      </c>
      <c r="E82" s="4">
        <v>36736</v>
      </c>
      <c r="F82" s="1">
        <v>25</v>
      </c>
      <c r="G82" s="1" t="s">
        <v>212</v>
      </c>
      <c r="H82" s="1" t="s">
        <v>1501</v>
      </c>
      <c r="I82" s="1" t="s">
        <v>1501</v>
      </c>
      <c r="J82" s="1">
        <v>8529</v>
      </c>
      <c r="K82" s="1" t="s">
        <v>82</v>
      </c>
      <c r="L82" s="1" t="s">
        <v>19</v>
      </c>
      <c r="M82" s="1" t="s">
        <v>13</v>
      </c>
      <c r="N82" s="1" t="s">
        <v>20</v>
      </c>
      <c r="O82" s="1" t="s">
        <v>216</v>
      </c>
      <c r="P82" s="1" t="s">
        <v>53</v>
      </c>
      <c r="Q82" s="1" t="s">
        <v>19</v>
      </c>
      <c r="R82" s="1" t="s">
        <v>8</v>
      </c>
      <c r="S82" s="1" t="s">
        <v>21</v>
      </c>
      <c r="T82" s="1" t="s">
        <v>53</v>
      </c>
      <c r="U82" s="1" t="s">
        <v>8</v>
      </c>
      <c r="V82" s="1" t="str">
        <f>IF(pilgrims[[#This Row],[packages.second_hotel_name]]="",pilgrims[[#This Row],[packages.first_hotel_name]],pilgrims[[#This Row],[packages.second_hotel_name]])</f>
        <v>Swissotel Makkah Hotel</v>
      </c>
      <c r="W82" s="1" t="str">
        <f>IF(pilgrims[[#This Row],[packages.second_hotel_name]]="",pilgrims[[#This Row],[packages.first_hotel_check_in]],pilgrims[[#This Row],[packages.second_hotel_check_in]])</f>
        <v>2026-05-21</v>
      </c>
      <c r="X82" s="1" t="str">
        <f>IF(pilgrims[[#This Row],[packages.second_hotel_name]]="",pilgrims[[#This Row],[packages.first_hotel_check_out]],pilgrims[[#This Row],[packages.second_hotel_check_out]])</f>
        <v>2026-05-25</v>
      </c>
      <c r="Y82" s="1" t="s">
        <v>16</v>
      </c>
      <c r="Z82" s="1" t="s">
        <v>261</v>
      </c>
      <c r="AA82" s="1" t="s">
        <v>350</v>
      </c>
      <c r="AB82" s="1" t="s">
        <v>1319</v>
      </c>
      <c r="AC82" s="1" t="s">
        <v>351</v>
      </c>
      <c r="AD82" s="1" t="s">
        <v>1308</v>
      </c>
      <c r="AE82" s="1" t="s">
        <v>1281</v>
      </c>
      <c r="AF82" s="4">
        <v>46160</v>
      </c>
      <c r="AG82" s="5">
        <v>0.78472222222222221</v>
      </c>
      <c r="AH82" s="1" t="s">
        <v>1320</v>
      </c>
      <c r="AI82" s="1" t="s">
        <v>1280</v>
      </c>
      <c r="AJ82" s="4">
        <v>46173</v>
      </c>
      <c r="AK82" s="5">
        <v>0.29166666666666669</v>
      </c>
      <c r="AL82" s="1" t="s">
        <v>215</v>
      </c>
      <c r="AM82" s="1"/>
    </row>
    <row r="83" spans="1:39" x14ac:dyDescent="0.3">
      <c r="A83" s="1">
        <v>651861</v>
      </c>
      <c r="B83" s="1">
        <v>5798</v>
      </c>
      <c r="C83" s="1" t="s">
        <v>1189</v>
      </c>
      <c r="D83" s="38" t="s">
        <v>1602</v>
      </c>
      <c r="E83" s="4">
        <v>40261</v>
      </c>
      <c r="F83" s="1">
        <v>15</v>
      </c>
      <c r="G83" s="1" t="s">
        <v>212</v>
      </c>
      <c r="H83" s="1" t="s">
        <v>1501</v>
      </c>
      <c r="I83" s="1" t="s">
        <v>1501</v>
      </c>
      <c r="J83" s="1">
        <v>8525</v>
      </c>
      <c r="K83" s="1" t="s">
        <v>77</v>
      </c>
      <c r="L83" s="1" t="s">
        <v>19</v>
      </c>
      <c r="M83" s="1" t="s">
        <v>13</v>
      </c>
      <c r="N83" s="1" t="s">
        <v>10</v>
      </c>
      <c r="O83" s="1" t="s">
        <v>216</v>
      </c>
      <c r="P83" s="1" t="s">
        <v>52</v>
      </c>
      <c r="Q83" s="1" t="s">
        <v>19</v>
      </c>
      <c r="R83" s="1" t="s">
        <v>8</v>
      </c>
      <c r="S83" s="1" t="s">
        <v>12</v>
      </c>
      <c r="T83" s="1" t="s">
        <v>53</v>
      </c>
      <c r="U83" s="1" t="s">
        <v>8</v>
      </c>
      <c r="V83" s="1" t="str">
        <f>IF(pilgrims[[#This Row],[packages.second_hotel_name]]="",pilgrims[[#This Row],[packages.first_hotel_name]],pilgrims[[#This Row],[packages.second_hotel_name]])</f>
        <v>Makkah Clock Royal Tower A Fairmont Hotel</v>
      </c>
      <c r="W83" s="1" t="str">
        <f>IF(pilgrims[[#This Row],[packages.second_hotel_name]]="",pilgrims[[#This Row],[packages.first_hotel_check_in]],pilgrims[[#This Row],[packages.second_hotel_check_in]])</f>
        <v>2026-05-21</v>
      </c>
      <c r="X83" s="1" t="str">
        <f>IF(pilgrims[[#This Row],[packages.second_hotel_name]]="",pilgrims[[#This Row],[packages.first_hotel_check_out]],pilgrims[[#This Row],[packages.second_hotel_check_out]])</f>
        <v>2026-05-24</v>
      </c>
      <c r="Y83" s="1" t="s">
        <v>11</v>
      </c>
      <c r="Z83" s="1" t="s">
        <v>214</v>
      </c>
      <c r="AA83" s="1" t="s">
        <v>1194</v>
      </c>
      <c r="AB83" s="1" t="s">
        <v>1194</v>
      </c>
      <c r="AC83" s="1" t="s">
        <v>212</v>
      </c>
      <c r="AD83" s="1" t="s">
        <v>137</v>
      </c>
      <c r="AE83" s="1" t="s">
        <v>1281</v>
      </c>
      <c r="AF83" s="4">
        <v>46161</v>
      </c>
      <c r="AG83" s="5">
        <v>0.87847222222222221</v>
      </c>
      <c r="AH83" s="1" t="s">
        <v>63</v>
      </c>
      <c r="AI83" s="1" t="s">
        <v>1280</v>
      </c>
      <c r="AJ83" s="4">
        <v>46173</v>
      </c>
      <c r="AK83" s="5">
        <v>0.3923611111111111</v>
      </c>
      <c r="AL83" s="1" t="s">
        <v>215</v>
      </c>
      <c r="AM83" s="1"/>
    </row>
    <row r="84" spans="1:39" x14ac:dyDescent="0.3">
      <c r="A84" s="1">
        <v>838547</v>
      </c>
      <c r="B84" s="1">
        <v>677960</v>
      </c>
      <c r="C84" s="1" t="s">
        <v>1188</v>
      </c>
      <c r="D84" s="38" t="s">
        <v>1603</v>
      </c>
      <c r="E84" s="4">
        <v>31291</v>
      </c>
      <c r="F84" s="1">
        <v>40</v>
      </c>
      <c r="G84" s="1" t="s">
        <v>212</v>
      </c>
      <c r="H84" s="1" t="s">
        <v>1501</v>
      </c>
      <c r="I84" s="1" t="s">
        <v>1501</v>
      </c>
      <c r="J84" s="1">
        <v>8524</v>
      </c>
      <c r="K84" s="1" t="s">
        <v>85</v>
      </c>
      <c r="L84" s="1" t="s">
        <v>8</v>
      </c>
      <c r="M84" s="1" t="s">
        <v>9</v>
      </c>
      <c r="N84" s="1" t="s">
        <v>5</v>
      </c>
      <c r="O84" s="1" t="s">
        <v>216</v>
      </c>
      <c r="P84" s="1" t="s">
        <v>53</v>
      </c>
      <c r="Q84" s="1" t="s">
        <v>8</v>
      </c>
      <c r="R84" s="1" t="s">
        <v>11</v>
      </c>
      <c r="S84" s="1" t="s">
        <v>15</v>
      </c>
      <c r="T84" s="1" t="s">
        <v>53</v>
      </c>
      <c r="U84" s="1" t="s">
        <v>13</v>
      </c>
      <c r="V84" s="1" t="str">
        <f>IF(pilgrims[[#This Row],[packages.second_hotel_name]]="",pilgrims[[#This Row],[packages.first_hotel_name]],pilgrims[[#This Row],[packages.second_hotel_name]])</f>
        <v>Swissotel Al Maqam Makkah</v>
      </c>
      <c r="W84" s="1" t="str">
        <f>IF(pilgrims[[#This Row],[packages.second_hotel_name]]="",pilgrims[[#This Row],[packages.first_hotel_check_in]],pilgrims[[#This Row],[packages.second_hotel_check_in]])</f>
        <v>2026-05-31</v>
      </c>
      <c r="X84" s="1" t="str">
        <f>IF(pilgrims[[#This Row],[packages.second_hotel_name]]="",pilgrims[[#This Row],[packages.first_hotel_check_out]],pilgrims[[#This Row],[packages.second_hotel_check_out]])</f>
        <v>2026-06-06</v>
      </c>
      <c r="Y84" s="1" t="s">
        <v>9</v>
      </c>
      <c r="Z84" s="1" t="s">
        <v>214</v>
      </c>
      <c r="AA84" s="1" t="s">
        <v>1200</v>
      </c>
      <c r="AB84" s="1" t="s">
        <v>1200</v>
      </c>
      <c r="AC84" s="1" t="s">
        <v>212</v>
      </c>
      <c r="AD84" s="1" t="s">
        <v>69</v>
      </c>
      <c r="AE84" s="1" t="s">
        <v>1280</v>
      </c>
      <c r="AF84" s="4">
        <v>46164</v>
      </c>
      <c r="AG84" s="5">
        <v>0.93055555555555558</v>
      </c>
      <c r="AH84" s="1" t="s">
        <v>72</v>
      </c>
      <c r="AI84" s="1" t="s">
        <v>1281</v>
      </c>
      <c r="AJ84" s="4">
        <v>46177</v>
      </c>
      <c r="AK84" s="5">
        <v>0.25347222222222221</v>
      </c>
      <c r="AL84" s="1" t="s">
        <v>215</v>
      </c>
      <c r="AM84" s="1"/>
    </row>
    <row r="85" spans="1:39" x14ac:dyDescent="0.3">
      <c r="A85" s="1">
        <v>850088</v>
      </c>
      <c r="B85" s="1">
        <v>677960</v>
      </c>
      <c r="C85" s="1" t="s">
        <v>1189</v>
      </c>
      <c r="D85" s="38" t="s">
        <v>1604</v>
      </c>
      <c r="E85" s="4">
        <v>29587</v>
      </c>
      <c r="F85" s="1">
        <v>45</v>
      </c>
      <c r="G85" s="1" t="s">
        <v>212</v>
      </c>
      <c r="H85" s="1" t="s">
        <v>1501</v>
      </c>
      <c r="I85" s="1" t="s">
        <v>1501</v>
      </c>
      <c r="J85" s="1">
        <v>8524</v>
      </c>
      <c r="K85" s="1" t="s">
        <v>85</v>
      </c>
      <c r="L85" s="1" t="s">
        <v>8</v>
      </c>
      <c r="M85" s="1" t="s">
        <v>9</v>
      </c>
      <c r="N85" s="1" t="s">
        <v>5</v>
      </c>
      <c r="O85" s="1" t="s">
        <v>216</v>
      </c>
      <c r="P85" s="1" t="s">
        <v>53</v>
      </c>
      <c r="Q85" s="1" t="s">
        <v>8</v>
      </c>
      <c r="R85" s="1" t="s">
        <v>11</v>
      </c>
      <c r="S85" s="1" t="s">
        <v>15</v>
      </c>
      <c r="T85" s="1" t="s">
        <v>53</v>
      </c>
      <c r="U85" s="1" t="s">
        <v>13</v>
      </c>
      <c r="V85" s="1" t="str">
        <f>IF(pilgrims[[#This Row],[packages.second_hotel_name]]="",pilgrims[[#This Row],[packages.first_hotel_name]],pilgrims[[#This Row],[packages.second_hotel_name]])</f>
        <v>Swissotel Al Maqam Makkah</v>
      </c>
      <c r="W85" s="1" t="str">
        <f>IF(pilgrims[[#This Row],[packages.second_hotel_name]]="",pilgrims[[#This Row],[packages.first_hotel_check_in]],pilgrims[[#This Row],[packages.second_hotel_check_in]])</f>
        <v>2026-05-31</v>
      </c>
      <c r="X85" s="1" t="str">
        <f>IF(pilgrims[[#This Row],[packages.second_hotel_name]]="",pilgrims[[#This Row],[packages.first_hotel_check_out]],pilgrims[[#This Row],[packages.second_hotel_check_out]])</f>
        <v>2026-06-06</v>
      </c>
      <c r="Y85" s="1" t="s">
        <v>9</v>
      </c>
      <c r="Z85" s="1" t="s">
        <v>214</v>
      </c>
      <c r="AA85" s="1" t="s">
        <v>1200</v>
      </c>
      <c r="AB85" s="1" t="s">
        <v>1200</v>
      </c>
      <c r="AC85" s="1" t="s">
        <v>212</v>
      </c>
      <c r="AD85" s="1" t="s">
        <v>69</v>
      </c>
      <c r="AE85" s="1" t="s">
        <v>1280</v>
      </c>
      <c r="AF85" s="4">
        <v>46164</v>
      </c>
      <c r="AG85" s="5">
        <v>0.93055555555555558</v>
      </c>
      <c r="AH85" s="1" t="s">
        <v>72</v>
      </c>
      <c r="AI85" s="1" t="s">
        <v>1281</v>
      </c>
      <c r="AJ85" s="4">
        <v>46177</v>
      </c>
      <c r="AK85" s="5">
        <v>0.25347222222222221</v>
      </c>
      <c r="AL85" s="1" t="s">
        <v>215</v>
      </c>
      <c r="AM85" s="1"/>
    </row>
    <row r="86" spans="1:39" x14ac:dyDescent="0.3">
      <c r="A86" s="1">
        <v>780675</v>
      </c>
      <c r="B86" s="1">
        <v>632571</v>
      </c>
      <c r="C86" s="1" t="s">
        <v>1188</v>
      </c>
      <c r="D86" s="38" t="s">
        <v>1605</v>
      </c>
      <c r="E86" s="4">
        <v>36954</v>
      </c>
      <c r="F86" s="1">
        <v>24</v>
      </c>
      <c r="G86" s="1" t="s">
        <v>212</v>
      </c>
      <c r="H86" s="1" t="s">
        <v>1505</v>
      </c>
      <c r="I86" s="1" t="s">
        <v>1505</v>
      </c>
      <c r="J86" s="1">
        <v>8529</v>
      </c>
      <c r="K86" s="1" t="s">
        <v>82</v>
      </c>
      <c r="L86" s="1" t="s">
        <v>19</v>
      </c>
      <c r="M86" s="1" t="s">
        <v>13</v>
      </c>
      <c r="N86" s="1" t="s">
        <v>20</v>
      </c>
      <c r="O86" s="1" t="s">
        <v>216</v>
      </c>
      <c r="P86" s="1" t="s">
        <v>53</v>
      </c>
      <c r="Q86" s="1" t="s">
        <v>19</v>
      </c>
      <c r="R86" s="1" t="s">
        <v>8</v>
      </c>
      <c r="S86" s="1" t="s">
        <v>21</v>
      </c>
      <c r="T86" s="1" t="s">
        <v>53</v>
      </c>
      <c r="U86" s="1" t="s">
        <v>8</v>
      </c>
      <c r="V86" s="1" t="str">
        <f>IF(pilgrims[[#This Row],[packages.second_hotel_name]]="",pilgrims[[#This Row],[packages.first_hotel_name]],pilgrims[[#This Row],[packages.second_hotel_name]])</f>
        <v>Swissotel Makkah Hotel</v>
      </c>
      <c r="W86" s="1" t="str">
        <f>IF(pilgrims[[#This Row],[packages.second_hotel_name]]="",pilgrims[[#This Row],[packages.first_hotel_check_in]],pilgrims[[#This Row],[packages.second_hotel_check_in]])</f>
        <v>2026-05-21</v>
      </c>
      <c r="X86" s="1" t="str">
        <f>IF(pilgrims[[#This Row],[packages.second_hotel_name]]="",pilgrims[[#This Row],[packages.first_hotel_check_out]],pilgrims[[#This Row],[packages.second_hotel_check_out]])</f>
        <v>2026-05-25</v>
      </c>
      <c r="Y86" s="1" t="s">
        <v>16</v>
      </c>
      <c r="Z86" s="1" t="s">
        <v>261</v>
      </c>
      <c r="AA86" s="1" t="s">
        <v>360</v>
      </c>
      <c r="AB86" s="1" t="s">
        <v>1393</v>
      </c>
      <c r="AC86" s="1" t="s">
        <v>361</v>
      </c>
      <c r="AD86" s="1" t="s">
        <v>1379</v>
      </c>
      <c r="AE86" s="1" t="s">
        <v>1280</v>
      </c>
      <c r="AF86" s="4">
        <v>46160</v>
      </c>
      <c r="AG86" s="5">
        <v>0.79166666666666663</v>
      </c>
      <c r="AH86" s="1" t="s">
        <v>1380</v>
      </c>
      <c r="AI86" s="1" t="s">
        <v>1280</v>
      </c>
      <c r="AJ86" s="4">
        <v>46173</v>
      </c>
      <c r="AK86" s="5">
        <v>7.9861111111111105E-2</v>
      </c>
      <c r="AL86" s="1" t="s">
        <v>215</v>
      </c>
      <c r="AM86" s="1"/>
    </row>
    <row r="87" spans="1:39" x14ac:dyDescent="0.3">
      <c r="A87" s="1">
        <v>741710</v>
      </c>
      <c r="B87" s="1">
        <v>601475</v>
      </c>
      <c r="C87" s="1" t="s">
        <v>1189</v>
      </c>
      <c r="D87" s="38" t="s">
        <v>1606</v>
      </c>
      <c r="E87" s="4">
        <v>23926</v>
      </c>
      <c r="F87" s="1">
        <v>60</v>
      </c>
      <c r="G87" s="1" t="s">
        <v>212</v>
      </c>
      <c r="H87" s="1" t="s">
        <v>1501</v>
      </c>
      <c r="I87" s="1" t="s">
        <v>1501</v>
      </c>
      <c r="J87" s="1">
        <v>8728</v>
      </c>
      <c r="K87" s="1" t="s">
        <v>97</v>
      </c>
      <c r="L87" s="1" t="s">
        <v>8</v>
      </c>
      <c r="M87" s="1" t="s">
        <v>4</v>
      </c>
      <c r="N87" s="1" t="s">
        <v>12</v>
      </c>
      <c r="O87" s="1" t="s">
        <v>216</v>
      </c>
      <c r="P87" s="1" t="s">
        <v>53</v>
      </c>
      <c r="Q87" s="1" t="s">
        <v>8</v>
      </c>
      <c r="R87" s="1" t="s">
        <v>16</v>
      </c>
      <c r="S87" s="1" t="s">
        <v>28</v>
      </c>
      <c r="T87" s="1" t="s">
        <v>52</v>
      </c>
      <c r="U87" s="1" t="s">
        <v>6</v>
      </c>
      <c r="V87" s="1" t="str">
        <f>IF(pilgrims[[#This Row],[packages.second_hotel_name]]="",pilgrims[[#This Row],[packages.first_hotel_name]],pilgrims[[#This Row],[packages.second_hotel_name]])</f>
        <v>Madinah Hilton Hotel</v>
      </c>
      <c r="W87" s="1" t="str">
        <f>IF(pilgrims[[#This Row],[packages.second_hotel_name]]="",pilgrims[[#This Row],[packages.first_hotel_check_in]],pilgrims[[#This Row],[packages.second_hotel_check_in]])</f>
        <v>2026-05-30</v>
      </c>
      <c r="X87" s="1" t="str">
        <f>IF(pilgrims[[#This Row],[packages.second_hotel_name]]="",pilgrims[[#This Row],[packages.first_hotel_check_out]],pilgrims[[#This Row],[packages.second_hotel_check_out]])</f>
        <v>2026-06-02</v>
      </c>
      <c r="Y87" s="1" t="s">
        <v>4</v>
      </c>
      <c r="Z87" s="1" t="s">
        <v>214</v>
      </c>
      <c r="AA87" s="1" t="s">
        <v>1191</v>
      </c>
      <c r="AB87" s="1" t="s">
        <v>1191</v>
      </c>
      <c r="AC87" s="1" t="s">
        <v>212</v>
      </c>
      <c r="AD87" s="1" t="s">
        <v>57</v>
      </c>
      <c r="AE87" s="1" t="s">
        <v>1280</v>
      </c>
      <c r="AF87" s="4">
        <v>46163</v>
      </c>
      <c r="AG87" s="5">
        <v>0.2361111111111111</v>
      </c>
      <c r="AH87" s="1" t="s">
        <v>76</v>
      </c>
      <c r="AI87" s="1" t="s">
        <v>1281</v>
      </c>
      <c r="AJ87" s="4">
        <v>46175</v>
      </c>
      <c r="AK87" s="5">
        <v>0.93055555555555558</v>
      </c>
      <c r="AL87" s="1" t="s">
        <v>215</v>
      </c>
      <c r="AM87" s="1"/>
    </row>
    <row r="88" spans="1:39" x14ac:dyDescent="0.3">
      <c r="A88" s="1">
        <v>806761</v>
      </c>
      <c r="B88" s="1">
        <v>632571</v>
      </c>
      <c r="C88" s="1" t="s">
        <v>1189</v>
      </c>
      <c r="D88" s="38" t="s">
        <v>1607</v>
      </c>
      <c r="E88" s="4">
        <v>22469</v>
      </c>
      <c r="F88" s="1">
        <v>64</v>
      </c>
      <c r="G88" s="1" t="s">
        <v>212</v>
      </c>
      <c r="H88" s="1" t="s">
        <v>1505</v>
      </c>
      <c r="I88" s="1" t="s">
        <v>1505</v>
      </c>
      <c r="J88" s="1">
        <v>8529</v>
      </c>
      <c r="K88" s="1" t="s">
        <v>82</v>
      </c>
      <c r="L88" s="1" t="s">
        <v>19</v>
      </c>
      <c r="M88" s="1" t="s">
        <v>13</v>
      </c>
      <c r="N88" s="1" t="s">
        <v>20</v>
      </c>
      <c r="O88" s="1" t="s">
        <v>216</v>
      </c>
      <c r="P88" s="1" t="s">
        <v>53</v>
      </c>
      <c r="Q88" s="1" t="s">
        <v>19</v>
      </c>
      <c r="R88" s="1" t="s">
        <v>8</v>
      </c>
      <c r="S88" s="1" t="s">
        <v>21</v>
      </c>
      <c r="T88" s="1" t="s">
        <v>53</v>
      </c>
      <c r="U88" s="1" t="s">
        <v>8</v>
      </c>
      <c r="V88" s="1" t="str">
        <f>IF(pilgrims[[#This Row],[packages.second_hotel_name]]="",pilgrims[[#This Row],[packages.first_hotel_name]],pilgrims[[#This Row],[packages.second_hotel_name]])</f>
        <v>Swissotel Makkah Hotel</v>
      </c>
      <c r="W88" s="1" t="str">
        <f>IF(pilgrims[[#This Row],[packages.second_hotel_name]]="",pilgrims[[#This Row],[packages.first_hotel_check_in]],pilgrims[[#This Row],[packages.second_hotel_check_in]])</f>
        <v>2026-05-21</v>
      </c>
      <c r="X88" s="1" t="str">
        <f>IF(pilgrims[[#This Row],[packages.second_hotel_name]]="",pilgrims[[#This Row],[packages.first_hotel_check_out]],pilgrims[[#This Row],[packages.second_hotel_check_out]])</f>
        <v>2026-05-25</v>
      </c>
      <c r="Y88" s="1" t="s">
        <v>16</v>
      </c>
      <c r="Z88" s="1" t="s">
        <v>261</v>
      </c>
      <c r="AA88" s="1" t="s">
        <v>360</v>
      </c>
      <c r="AB88" s="1" t="s">
        <v>1393</v>
      </c>
      <c r="AC88" s="1" t="s">
        <v>361</v>
      </c>
      <c r="AD88" s="1" t="s">
        <v>1379</v>
      </c>
      <c r="AE88" s="1" t="s">
        <v>1280</v>
      </c>
      <c r="AF88" s="4">
        <v>46160</v>
      </c>
      <c r="AG88" s="5">
        <v>0.79166666666666663</v>
      </c>
      <c r="AH88" s="1" t="s">
        <v>1380</v>
      </c>
      <c r="AI88" s="1" t="s">
        <v>1280</v>
      </c>
      <c r="AJ88" s="4">
        <v>46173</v>
      </c>
      <c r="AK88" s="5">
        <v>7.9861111111111105E-2</v>
      </c>
      <c r="AL88" s="1" t="s">
        <v>215</v>
      </c>
      <c r="AM88" s="1"/>
    </row>
    <row r="89" spans="1:39" x14ac:dyDescent="0.3">
      <c r="A89" s="1">
        <v>742863</v>
      </c>
      <c r="B89" s="1">
        <v>602252</v>
      </c>
      <c r="C89" s="1" t="s">
        <v>1189</v>
      </c>
      <c r="D89" s="38" t="s">
        <v>1608</v>
      </c>
      <c r="E89" s="4">
        <v>17899</v>
      </c>
      <c r="F89" s="1">
        <v>77</v>
      </c>
      <c r="G89" s="1" t="s">
        <v>212</v>
      </c>
      <c r="H89" s="1" t="s">
        <v>1501</v>
      </c>
      <c r="I89" s="1" t="s">
        <v>1501</v>
      </c>
      <c r="J89" s="1">
        <v>8529</v>
      </c>
      <c r="K89" s="1" t="s">
        <v>82</v>
      </c>
      <c r="L89" s="1" t="s">
        <v>19</v>
      </c>
      <c r="M89" s="1" t="s">
        <v>13</v>
      </c>
      <c r="N89" s="1" t="s">
        <v>20</v>
      </c>
      <c r="O89" s="1" t="s">
        <v>216</v>
      </c>
      <c r="P89" s="1" t="s">
        <v>53</v>
      </c>
      <c r="Q89" s="1" t="s">
        <v>19</v>
      </c>
      <c r="R89" s="1" t="s">
        <v>8</v>
      </c>
      <c r="S89" s="1" t="s">
        <v>21</v>
      </c>
      <c r="T89" s="1" t="s">
        <v>53</v>
      </c>
      <c r="U89" s="1" t="s">
        <v>8</v>
      </c>
      <c r="V89" s="1" t="str">
        <f>IF(pilgrims[[#This Row],[packages.second_hotel_name]]="",pilgrims[[#This Row],[packages.first_hotel_name]],pilgrims[[#This Row],[packages.second_hotel_name]])</f>
        <v>Swissotel Makkah Hotel</v>
      </c>
      <c r="W89" s="1" t="str">
        <f>IF(pilgrims[[#This Row],[packages.second_hotel_name]]="",pilgrims[[#This Row],[packages.first_hotel_check_in]],pilgrims[[#This Row],[packages.second_hotel_check_in]])</f>
        <v>2026-05-21</v>
      </c>
      <c r="X89" s="1" t="str">
        <f>IF(pilgrims[[#This Row],[packages.second_hotel_name]]="",pilgrims[[#This Row],[packages.first_hotel_check_out]],pilgrims[[#This Row],[packages.second_hotel_check_out]])</f>
        <v>2026-05-25</v>
      </c>
      <c r="Y89" s="1" t="s">
        <v>16</v>
      </c>
      <c r="Z89" s="1" t="s">
        <v>214</v>
      </c>
      <c r="AA89" s="1" t="s">
        <v>1202</v>
      </c>
      <c r="AB89" s="1" t="s">
        <v>1202</v>
      </c>
      <c r="AC89" s="1" t="s">
        <v>212</v>
      </c>
      <c r="AD89" s="1" t="s">
        <v>136</v>
      </c>
      <c r="AE89" s="1" t="s">
        <v>1281</v>
      </c>
      <c r="AF89" s="4">
        <v>46160</v>
      </c>
      <c r="AG89" s="5">
        <v>0.1076388888888889</v>
      </c>
      <c r="AH89" s="1" t="s">
        <v>71</v>
      </c>
      <c r="AI89" s="1" t="s">
        <v>1280</v>
      </c>
      <c r="AJ89" s="4">
        <v>46172</v>
      </c>
      <c r="AK89" s="5">
        <v>0.40972222222222221</v>
      </c>
      <c r="AL89" s="1" t="s">
        <v>215</v>
      </c>
      <c r="AM89" s="1"/>
    </row>
    <row r="90" spans="1:39" x14ac:dyDescent="0.3">
      <c r="A90" s="1">
        <v>390321</v>
      </c>
      <c r="B90" s="1">
        <v>306854</v>
      </c>
      <c r="C90" s="1" t="s">
        <v>1189</v>
      </c>
      <c r="D90" s="38" t="s">
        <v>1609</v>
      </c>
      <c r="E90" s="4">
        <v>20581</v>
      </c>
      <c r="F90" s="1">
        <v>69</v>
      </c>
      <c r="G90" s="1" t="s">
        <v>212</v>
      </c>
      <c r="H90" s="1" t="s">
        <v>1501</v>
      </c>
      <c r="I90" s="1" t="s">
        <v>1501</v>
      </c>
      <c r="J90" s="1">
        <v>8538</v>
      </c>
      <c r="K90" s="1" t="s">
        <v>88</v>
      </c>
      <c r="L90" s="1" t="s">
        <v>8</v>
      </c>
      <c r="M90" s="1" t="s">
        <v>4</v>
      </c>
      <c r="N90" s="1" t="s">
        <v>15</v>
      </c>
      <c r="O90" s="1" t="s">
        <v>216</v>
      </c>
      <c r="P90" s="1" t="s">
        <v>53</v>
      </c>
      <c r="Q90" s="1" t="s">
        <v>8</v>
      </c>
      <c r="R90" s="1" t="s">
        <v>16</v>
      </c>
      <c r="S90" s="1" t="s">
        <v>5</v>
      </c>
      <c r="T90" s="1" t="s">
        <v>53</v>
      </c>
      <c r="U90" s="1" t="s">
        <v>6</v>
      </c>
      <c r="V90" s="1" t="str">
        <f>IF(pilgrims[[#This Row],[packages.second_hotel_name]]="",pilgrims[[#This Row],[packages.first_hotel_name]],pilgrims[[#This Row],[packages.second_hotel_name]])</f>
        <v>Movenpick Anwar Almadinah Hotel</v>
      </c>
      <c r="W90" s="1" t="str">
        <f>IF(pilgrims[[#This Row],[packages.second_hotel_name]]="",pilgrims[[#This Row],[packages.first_hotel_check_in]],pilgrims[[#This Row],[packages.second_hotel_check_in]])</f>
        <v>2026-05-30</v>
      </c>
      <c r="X90" s="1" t="str">
        <f>IF(pilgrims[[#This Row],[packages.second_hotel_name]]="",pilgrims[[#This Row],[packages.first_hotel_check_out]],pilgrims[[#This Row],[packages.second_hotel_check_out]])</f>
        <v>2026-06-02</v>
      </c>
      <c r="Y90" s="1" t="s">
        <v>4</v>
      </c>
      <c r="Z90" s="1" t="s">
        <v>214</v>
      </c>
      <c r="AA90" s="1" t="s">
        <v>1191</v>
      </c>
      <c r="AB90" s="1" t="s">
        <v>1191</v>
      </c>
      <c r="AC90" s="1" t="s">
        <v>212</v>
      </c>
      <c r="AD90" s="1" t="s">
        <v>57</v>
      </c>
      <c r="AE90" s="1" t="s">
        <v>1280</v>
      </c>
      <c r="AF90" s="4">
        <v>46163</v>
      </c>
      <c r="AG90" s="5">
        <v>0.2361111111111111</v>
      </c>
      <c r="AH90" s="1" t="s">
        <v>76</v>
      </c>
      <c r="AI90" s="1" t="s">
        <v>1281</v>
      </c>
      <c r="AJ90" s="4">
        <v>46175</v>
      </c>
      <c r="AK90" s="5">
        <v>0.93055555555555558</v>
      </c>
      <c r="AL90" s="1" t="s">
        <v>215</v>
      </c>
      <c r="AM90" s="1" t="b">
        <v>1</v>
      </c>
    </row>
    <row r="91" spans="1:39" x14ac:dyDescent="0.3">
      <c r="A91" s="1">
        <v>764275</v>
      </c>
      <c r="B91" s="1">
        <v>619792</v>
      </c>
      <c r="C91" s="1" t="s">
        <v>1188</v>
      </c>
      <c r="D91" s="38" t="s">
        <v>1610</v>
      </c>
      <c r="E91" s="4">
        <v>22208</v>
      </c>
      <c r="F91" s="1">
        <v>65</v>
      </c>
      <c r="G91" s="1" t="s">
        <v>212</v>
      </c>
      <c r="H91" s="1" t="s">
        <v>1501</v>
      </c>
      <c r="I91" s="1" t="s">
        <v>1501</v>
      </c>
      <c r="J91" s="1">
        <v>8530</v>
      </c>
      <c r="K91" s="1" t="s">
        <v>83</v>
      </c>
      <c r="L91" s="1" t="s">
        <v>19</v>
      </c>
      <c r="M91" s="1" t="s">
        <v>13</v>
      </c>
      <c r="N91" s="1" t="s">
        <v>5</v>
      </c>
      <c r="O91" s="1" t="s">
        <v>216</v>
      </c>
      <c r="P91" s="1" t="s">
        <v>53</v>
      </c>
      <c r="Q91" s="1" t="s">
        <v>19</v>
      </c>
      <c r="R91" s="1" t="s">
        <v>8</v>
      </c>
      <c r="S91" s="1" t="s">
        <v>15</v>
      </c>
      <c r="T91" s="1" t="s">
        <v>53</v>
      </c>
      <c r="U91" s="1" t="s">
        <v>8</v>
      </c>
      <c r="V91" s="1" t="str">
        <f>IF(pilgrims[[#This Row],[packages.second_hotel_name]]="",pilgrims[[#This Row],[packages.first_hotel_name]],pilgrims[[#This Row],[packages.second_hotel_name]])</f>
        <v>Swissotel Al Maqam Makkah</v>
      </c>
      <c r="W91" s="1" t="str">
        <f>IF(pilgrims[[#This Row],[packages.second_hotel_name]]="",pilgrims[[#This Row],[packages.first_hotel_check_in]],pilgrims[[#This Row],[packages.second_hotel_check_in]])</f>
        <v>2026-05-21</v>
      </c>
      <c r="X91" s="1" t="str">
        <f>IF(pilgrims[[#This Row],[packages.second_hotel_name]]="",pilgrims[[#This Row],[packages.first_hotel_check_out]],pilgrims[[#This Row],[packages.second_hotel_check_out]])</f>
        <v>2026-05-25</v>
      </c>
      <c r="Y91" s="1" t="s">
        <v>16</v>
      </c>
      <c r="Z91" s="1" t="s">
        <v>214</v>
      </c>
      <c r="AA91" s="1" t="s">
        <v>1190</v>
      </c>
      <c r="AB91" s="1" t="s">
        <v>1190</v>
      </c>
      <c r="AC91" s="1" t="s">
        <v>212</v>
      </c>
      <c r="AD91" s="1" t="s">
        <v>133</v>
      </c>
      <c r="AE91" s="1" t="s">
        <v>1281</v>
      </c>
      <c r="AF91" s="4">
        <v>46160</v>
      </c>
      <c r="AG91" s="5">
        <v>0.3923611111111111</v>
      </c>
      <c r="AH91" s="1" t="s">
        <v>60</v>
      </c>
      <c r="AI91" s="1" t="s">
        <v>1280</v>
      </c>
      <c r="AJ91" s="4">
        <v>46173</v>
      </c>
      <c r="AK91" s="5">
        <v>0.12847222222222221</v>
      </c>
      <c r="AL91" s="1" t="s">
        <v>215</v>
      </c>
      <c r="AM91" s="1"/>
    </row>
    <row r="92" spans="1:39" x14ac:dyDescent="0.3">
      <c r="A92" s="1">
        <v>611051</v>
      </c>
      <c r="B92" s="1">
        <v>492910</v>
      </c>
      <c r="C92" s="1" t="s">
        <v>1189</v>
      </c>
      <c r="D92" s="38" t="s">
        <v>1611</v>
      </c>
      <c r="E92" s="4">
        <v>23427</v>
      </c>
      <c r="F92" s="1">
        <v>62</v>
      </c>
      <c r="G92" s="1" t="s">
        <v>212</v>
      </c>
      <c r="H92" s="1" t="s">
        <v>1501</v>
      </c>
      <c r="I92" s="1" t="s">
        <v>1501</v>
      </c>
      <c r="J92" s="1">
        <v>8529</v>
      </c>
      <c r="K92" s="1" t="s">
        <v>82</v>
      </c>
      <c r="L92" s="1" t="s">
        <v>19</v>
      </c>
      <c r="M92" s="1" t="s">
        <v>13</v>
      </c>
      <c r="N92" s="1" t="s">
        <v>20</v>
      </c>
      <c r="O92" s="1" t="s">
        <v>216</v>
      </c>
      <c r="P92" s="1" t="s">
        <v>53</v>
      </c>
      <c r="Q92" s="1" t="s">
        <v>19</v>
      </c>
      <c r="R92" s="1" t="s">
        <v>8</v>
      </c>
      <c r="S92" s="1" t="s">
        <v>21</v>
      </c>
      <c r="T92" s="1" t="s">
        <v>53</v>
      </c>
      <c r="U92" s="1" t="s">
        <v>8</v>
      </c>
      <c r="V92" s="1" t="str">
        <f>IF(pilgrims[[#This Row],[packages.second_hotel_name]]="",pilgrims[[#This Row],[packages.first_hotel_name]],pilgrims[[#This Row],[packages.second_hotel_name]])</f>
        <v>Swissotel Makkah Hotel</v>
      </c>
      <c r="W92" s="1" t="str">
        <f>IF(pilgrims[[#This Row],[packages.second_hotel_name]]="",pilgrims[[#This Row],[packages.first_hotel_check_in]],pilgrims[[#This Row],[packages.second_hotel_check_in]])</f>
        <v>2026-05-21</v>
      </c>
      <c r="X92" s="1" t="str">
        <f>IF(pilgrims[[#This Row],[packages.second_hotel_name]]="",pilgrims[[#This Row],[packages.first_hotel_check_out]],pilgrims[[#This Row],[packages.second_hotel_check_out]])</f>
        <v>2026-05-25</v>
      </c>
      <c r="Y92" s="1" t="s">
        <v>16</v>
      </c>
      <c r="Z92" s="1" t="s">
        <v>214</v>
      </c>
      <c r="AA92" s="1" t="s">
        <v>1202</v>
      </c>
      <c r="AB92" s="1" t="s">
        <v>1202</v>
      </c>
      <c r="AC92" s="1" t="s">
        <v>212</v>
      </c>
      <c r="AD92" s="1" t="s">
        <v>136</v>
      </c>
      <c r="AE92" s="1" t="s">
        <v>1281</v>
      </c>
      <c r="AF92" s="4">
        <v>46160</v>
      </c>
      <c r="AG92" s="5">
        <v>0.1076388888888889</v>
      </c>
      <c r="AH92" s="1" t="s">
        <v>71</v>
      </c>
      <c r="AI92" s="1" t="s">
        <v>1280</v>
      </c>
      <c r="AJ92" s="4">
        <v>46172</v>
      </c>
      <c r="AK92" s="5">
        <v>0.40972222222222221</v>
      </c>
      <c r="AL92" s="1" t="s">
        <v>215</v>
      </c>
      <c r="AM92" s="1"/>
    </row>
    <row r="93" spans="1:39" x14ac:dyDescent="0.3">
      <c r="A93" s="1">
        <v>784074</v>
      </c>
      <c r="B93" s="1">
        <v>635124</v>
      </c>
      <c r="C93" s="1" t="s">
        <v>1189</v>
      </c>
      <c r="D93" s="38" t="s">
        <v>1612</v>
      </c>
      <c r="E93" s="4">
        <v>26698</v>
      </c>
      <c r="F93" s="1">
        <v>53</v>
      </c>
      <c r="G93" s="1" t="s">
        <v>212</v>
      </c>
      <c r="H93" s="1" t="s">
        <v>1502</v>
      </c>
      <c r="I93" s="1" t="s">
        <v>1502</v>
      </c>
      <c r="J93" s="1">
        <v>8530</v>
      </c>
      <c r="K93" s="1" t="s">
        <v>83</v>
      </c>
      <c r="L93" s="1" t="s">
        <v>19</v>
      </c>
      <c r="M93" s="1" t="s">
        <v>13</v>
      </c>
      <c r="N93" s="1" t="s">
        <v>5</v>
      </c>
      <c r="O93" s="1" t="s">
        <v>216</v>
      </c>
      <c r="P93" s="1" t="s">
        <v>53</v>
      </c>
      <c r="Q93" s="1" t="s">
        <v>19</v>
      </c>
      <c r="R93" s="1" t="s">
        <v>8</v>
      </c>
      <c r="S93" s="1" t="s">
        <v>15</v>
      </c>
      <c r="T93" s="1" t="s">
        <v>53</v>
      </c>
      <c r="U93" s="1" t="s">
        <v>8</v>
      </c>
      <c r="V93" s="1" t="str">
        <f>IF(pilgrims[[#This Row],[packages.second_hotel_name]]="",pilgrims[[#This Row],[packages.first_hotel_name]],pilgrims[[#This Row],[packages.second_hotel_name]])</f>
        <v>Swissotel Al Maqam Makkah</v>
      </c>
      <c r="W93" s="1" t="str">
        <f>IF(pilgrims[[#This Row],[packages.second_hotel_name]]="",pilgrims[[#This Row],[packages.first_hotel_check_in]],pilgrims[[#This Row],[packages.second_hotel_check_in]])</f>
        <v>2026-05-21</v>
      </c>
      <c r="X93" s="1" t="str">
        <f>IF(pilgrims[[#This Row],[packages.second_hotel_name]]="",pilgrims[[#This Row],[packages.first_hotel_check_out]],pilgrims[[#This Row],[packages.second_hotel_check_out]])</f>
        <v>2026-05-25</v>
      </c>
      <c r="Y93" s="1" t="s">
        <v>16</v>
      </c>
      <c r="Z93" s="1" t="s">
        <v>261</v>
      </c>
      <c r="AA93" s="1" t="s">
        <v>371</v>
      </c>
      <c r="AB93" s="1" t="s">
        <v>1454</v>
      </c>
      <c r="AC93" s="1" t="s">
        <v>372</v>
      </c>
      <c r="AD93" s="1" t="s">
        <v>1455</v>
      </c>
      <c r="AE93" s="1" t="s">
        <v>1281</v>
      </c>
      <c r="AF93" s="4">
        <v>46160</v>
      </c>
      <c r="AG93" s="5">
        <v>0.67708333333333337</v>
      </c>
      <c r="AH93" s="1" t="s">
        <v>1456</v>
      </c>
      <c r="AI93" s="1" t="s">
        <v>1280</v>
      </c>
      <c r="AJ93" s="4">
        <v>46173</v>
      </c>
      <c r="AK93" s="5">
        <v>0.3263888888888889</v>
      </c>
      <c r="AL93" s="1" t="s">
        <v>215</v>
      </c>
      <c r="AM93" s="1"/>
    </row>
    <row r="94" spans="1:39" x14ac:dyDescent="0.3">
      <c r="A94" s="1">
        <v>489480</v>
      </c>
      <c r="B94" s="1">
        <v>385038</v>
      </c>
      <c r="C94" s="1" t="s">
        <v>1188</v>
      </c>
      <c r="D94" s="38" t="s">
        <v>1613</v>
      </c>
      <c r="E94" s="4">
        <v>37125</v>
      </c>
      <c r="F94" s="1">
        <v>24</v>
      </c>
      <c r="G94" s="1" t="s">
        <v>212</v>
      </c>
      <c r="H94" s="1" t="s">
        <v>1502</v>
      </c>
      <c r="I94" s="1" t="s">
        <v>1502</v>
      </c>
      <c r="J94" s="1">
        <v>8529</v>
      </c>
      <c r="K94" s="1" t="s">
        <v>82</v>
      </c>
      <c r="L94" s="1" t="s">
        <v>19</v>
      </c>
      <c r="M94" s="1" t="s">
        <v>13</v>
      </c>
      <c r="N94" s="1" t="s">
        <v>20</v>
      </c>
      <c r="O94" s="1" t="s">
        <v>216</v>
      </c>
      <c r="P94" s="1" t="s">
        <v>53</v>
      </c>
      <c r="Q94" s="1" t="s">
        <v>19</v>
      </c>
      <c r="R94" s="1" t="s">
        <v>8</v>
      </c>
      <c r="S94" s="1" t="s">
        <v>21</v>
      </c>
      <c r="T94" s="1" t="s">
        <v>53</v>
      </c>
      <c r="U94" s="1" t="s">
        <v>8</v>
      </c>
      <c r="V94" s="1" t="str">
        <f>IF(pilgrims[[#This Row],[packages.second_hotel_name]]="",pilgrims[[#This Row],[packages.first_hotel_name]],pilgrims[[#This Row],[packages.second_hotel_name]])</f>
        <v>Swissotel Makkah Hotel</v>
      </c>
      <c r="W94" s="1" t="str">
        <f>IF(pilgrims[[#This Row],[packages.second_hotel_name]]="",pilgrims[[#This Row],[packages.first_hotel_check_in]],pilgrims[[#This Row],[packages.second_hotel_check_in]])</f>
        <v>2026-05-21</v>
      </c>
      <c r="X94" s="1" t="str">
        <f>IF(pilgrims[[#This Row],[packages.second_hotel_name]]="",pilgrims[[#This Row],[packages.first_hotel_check_out]],pilgrims[[#This Row],[packages.second_hotel_check_out]])</f>
        <v>2026-05-25</v>
      </c>
      <c r="Y94" s="1" t="s">
        <v>16</v>
      </c>
      <c r="Z94" s="1" t="s">
        <v>214</v>
      </c>
      <c r="AA94" s="1" t="s">
        <v>1207</v>
      </c>
      <c r="AB94" s="1" t="s">
        <v>1207</v>
      </c>
      <c r="AC94" s="1" t="s">
        <v>212</v>
      </c>
      <c r="AD94" s="1" t="s">
        <v>135</v>
      </c>
      <c r="AE94" s="1" t="s">
        <v>1281</v>
      </c>
      <c r="AF94" s="4">
        <v>46160</v>
      </c>
      <c r="AG94" s="5">
        <v>0.89236111111111116</v>
      </c>
      <c r="AH94" s="1" t="s">
        <v>68</v>
      </c>
      <c r="AI94" s="1" t="s">
        <v>1280</v>
      </c>
      <c r="AJ94" s="4">
        <v>46172</v>
      </c>
      <c r="AK94" s="5">
        <v>0.38541666666666669</v>
      </c>
      <c r="AL94" s="1" t="s">
        <v>215</v>
      </c>
      <c r="AM94" s="1"/>
    </row>
    <row r="95" spans="1:39" x14ac:dyDescent="0.3">
      <c r="A95" s="1">
        <v>785495</v>
      </c>
      <c r="B95" s="1">
        <v>635124</v>
      </c>
      <c r="C95" s="1" t="s">
        <v>1188</v>
      </c>
      <c r="D95" s="38" t="s">
        <v>1614</v>
      </c>
      <c r="E95" s="4">
        <v>23051</v>
      </c>
      <c r="F95" s="1">
        <v>63</v>
      </c>
      <c r="G95" s="1" t="s">
        <v>212</v>
      </c>
      <c r="H95" s="1" t="s">
        <v>1502</v>
      </c>
      <c r="I95" s="1" t="s">
        <v>1502</v>
      </c>
      <c r="J95" s="1">
        <v>8530</v>
      </c>
      <c r="K95" s="1" t="s">
        <v>83</v>
      </c>
      <c r="L95" s="1" t="s">
        <v>19</v>
      </c>
      <c r="M95" s="1" t="s">
        <v>13</v>
      </c>
      <c r="N95" s="1" t="s">
        <v>5</v>
      </c>
      <c r="O95" s="1" t="s">
        <v>216</v>
      </c>
      <c r="P95" s="1" t="s">
        <v>53</v>
      </c>
      <c r="Q95" s="1" t="s">
        <v>19</v>
      </c>
      <c r="R95" s="1" t="s">
        <v>8</v>
      </c>
      <c r="S95" s="1" t="s">
        <v>15</v>
      </c>
      <c r="T95" s="1" t="s">
        <v>53</v>
      </c>
      <c r="U95" s="1" t="s">
        <v>8</v>
      </c>
      <c r="V95" s="1" t="str">
        <f>IF(pilgrims[[#This Row],[packages.second_hotel_name]]="",pilgrims[[#This Row],[packages.first_hotel_name]],pilgrims[[#This Row],[packages.second_hotel_name]])</f>
        <v>Swissotel Al Maqam Makkah</v>
      </c>
      <c r="W95" s="1" t="str">
        <f>IF(pilgrims[[#This Row],[packages.second_hotel_name]]="",pilgrims[[#This Row],[packages.first_hotel_check_in]],pilgrims[[#This Row],[packages.second_hotel_check_in]])</f>
        <v>2026-05-21</v>
      </c>
      <c r="X95" s="1" t="str">
        <f>IF(pilgrims[[#This Row],[packages.second_hotel_name]]="",pilgrims[[#This Row],[packages.first_hotel_check_out]],pilgrims[[#This Row],[packages.second_hotel_check_out]])</f>
        <v>2026-05-25</v>
      </c>
      <c r="Y95" s="1" t="s">
        <v>16</v>
      </c>
      <c r="Z95" s="1" t="s">
        <v>261</v>
      </c>
      <c r="AA95" s="1" t="s">
        <v>371</v>
      </c>
      <c r="AB95" s="1" t="s">
        <v>1454</v>
      </c>
      <c r="AC95" s="1" t="s">
        <v>372</v>
      </c>
      <c r="AD95" s="1" t="s">
        <v>1455</v>
      </c>
      <c r="AE95" s="1" t="s">
        <v>1281</v>
      </c>
      <c r="AF95" s="4">
        <v>46160</v>
      </c>
      <c r="AG95" s="5">
        <v>0.67708333333333337</v>
      </c>
      <c r="AH95" s="1" t="s">
        <v>1456</v>
      </c>
      <c r="AI95" s="1" t="s">
        <v>1280</v>
      </c>
      <c r="AJ95" s="4">
        <v>46173</v>
      </c>
      <c r="AK95" s="5">
        <v>0.3263888888888889</v>
      </c>
      <c r="AL95" s="1" t="s">
        <v>215</v>
      </c>
      <c r="AM95" s="1"/>
    </row>
    <row r="96" spans="1:39" x14ac:dyDescent="0.3">
      <c r="A96" s="1">
        <v>715702</v>
      </c>
      <c r="B96" s="1">
        <v>385038</v>
      </c>
      <c r="C96" s="1" t="s">
        <v>1189</v>
      </c>
      <c r="D96" s="38" t="s">
        <v>1615</v>
      </c>
      <c r="E96" s="4">
        <v>26632</v>
      </c>
      <c r="F96" s="1">
        <v>53</v>
      </c>
      <c r="G96" s="1" t="s">
        <v>212</v>
      </c>
      <c r="H96" s="1" t="s">
        <v>1502</v>
      </c>
      <c r="I96" s="1" t="s">
        <v>1502</v>
      </c>
      <c r="J96" s="1">
        <v>8529</v>
      </c>
      <c r="K96" s="1" t="s">
        <v>82</v>
      </c>
      <c r="L96" s="1" t="s">
        <v>19</v>
      </c>
      <c r="M96" s="1" t="s">
        <v>13</v>
      </c>
      <c r="N96" s="1" t="s">
        <v>20</v>
      </c>
      <c r="O96" s="1" t="s">
        <v>216</v>
      </c>
      <c r="P96" s="1" t="s">
        <v>53</v>
      </c>
      <c r="Q96" s="1" t="s">
        <v>19</v>
      </c>
      <c r="R96" s="1" t="s">
        <v>8</v>
      </c>
      <c r="S96" s="1" t="s">
        <v>21</v>
      </c>
      <c r="T96" s="1" t="s">
        <v>53</v>
      </c>
      <c r="U96" s="1" t="s">
        <v>8</v>
      </c>
      <c r="V96" s="1" t="str">
        <f>IF(pilgrims[[#This Row],[packages.second_hotel_name]]="",pilgrims[[#This Row],[packages.first_hotel_name]],pilgrims[[#This Row],[packages.second_hotel_name]])</f>
        <v>Swissotel Makkah Hotel</v>
      </c>
      <c r="W96" s="1" t="str">
        <f>IF(pilgrims[[#This Row],[packages.second_hotel_name]]="",pilgrims[[#This Row],[packages.first_hotel_check_in]],pilgrims[[#This Row],[packages.second_hotel_check_in]])</f>
        <v>2026-05-21</v>
      </c>
      <c r="X96" s="1" t="str">
        <f>IF(pilgrims[[#This Row],[packages.second_hotel_name]]="",pilgrims[[#This Row],[packages.first_hotel_check_out]],pilgrims[[#This Row],[packages.second_hotel_check_out]])</f>
        <v>2026-05-25</v>
      </c>
      <c r="Y96" s="1" t="s">
        <v>16</v>
      </c>
      <c r="Z96" s="1" t="s">
        <v>214</v>
      </c>
      <c r="AA96" s="1" t="s">
        <v>1207</v>
      </c>
      <c r="AB96" s="1" t="s">
        <v>1207</v>
      </c>
      <c r="AC96" s="1" t="s">
        <v>212</v>
      </c>
      <c r="AD96" s="1" t="s">
        <v>135</v>
      </c>
      <c r="AE96" s="1" t="s">
        <v>1281</v>
      </c>
      <c r="AF96" s="4">
        <v>46160</v>
      </c>
      <c r="AG96" s="5">
        <v>0.89236111111111116</v>
      </c>
      <c r="AH96" s="1" t="s">
        <v>68</v>
      </c>
      <c r="AI96" s="1" t="s">
        <v>1280</v>
      </c>
      <c r="AJ96" s="4">
        <v>46172</v>
      </c>
      <c r="AK96" s="5">
        <v>0.38541666666666669</v>
      </c>
      <c r="AL96" s="1" t="s">
        <v>215</v>
      </c>
      <c r="AM96" s="1"/>
    </row>
    <row r="97" spans="1:39" x14ac:dyDescent="0.3">
      <c r="A97" s="1">
        <v>90379</v>
      </c>
      <c r="B97" s="1">
        <v>72718</v>
      </c>
      <c r="C97" s="1" t="s">
        <v>1189</v>
      </c>
      <c r="D97" s="38" t="s">
        <v>1616</v>
      </c>
      <c r="E97" s="4">
        <v>28759</v>
      </c>
      <c r="F97" s="1">
        <v>47</v>
      </c>
      <c r="G97" s="1" t="s">
        <v>212</v>
      </c>
      <c r="H97" s="1" t="s">
        <v>1501</v>
      </c>
      <c r="I97" s="1" t="s">
        <v>1501</v>
      </c>
      <c r="J97" s="1">
        <v>8540</v>
      </c>
      <c r="K97" s="1" t="s">
        <v>78</v>
      </c>
      <c r="L97" s="1" t="s">
        <v>8</v>
      </c>
      <c r="M97" s="1" t="s">
        <v>13</v>
      </c>
      <c r="N97" s="1" t="s">
        <v>5</v>
      </c>
      <c r="O97" s="1" t="s">
        <v>216</v>
      </c>
      <c r="P97" s="1" t="s">
        <v>53</v>
      </c>
      <c r="Q97" s="1" t="s">
        <v>8</v>
      </c>
      <c r="R97" s="1" t="s">
        <v>11</v>
      </c>
      <c r="S97" s="1"/>
      <c r="T97" s="1"/>
      <c r="U97" s="1"/>
      <c r="V97" s="1" t="str">
        <f>IF(pilgrims[[#This Row],[packages.second_hotel_name]]="",pilgrims[[#This Row],[packages.first_hotel_name]],pilgrims[[#This Row],[packages.second_hotel_name]])</f>
        <v>Movenpick Anwar Almadinah Hotel</v>
      </c>
      <c r="W97" s="1" t="str">
        <f>IF(pilgrims[[#This Row],[packages.second_hotel_name]]="",pilgrims[[#This Row],[packages.first_hotel_check_in]],pilgrims[[#This Row],[packages.second_hotel_check_in]])</f>
        <v>2026-05-21</v>
      </c>
      <c r="X97" s="1" t="str">
        <f>IF(pilgrims[[#This Row],[packages.second_hotel_name]]="",pilgrims[[#This Row],[packages.first_hotel_check_out]],pilgrims[[#This Row],[packages.second_hotel_check_out]])</f>
        <v>2026-05-24</v>
      </c>
      <c r="Y97" s="1"/>
      <c r="Z97" s="1" t="s">
        <v>261</v>
      </c>
      <c r="AA97" s="1" t="s">
        <v>377</v>
      </c>
      <c r="AB97" s="1" t="s">
        <v>1470</v>
      </c>
      <c r="AC97" s="1" t="s">
        <v>378</v>
      </c>
      <c r="AD97" s="1" t="s">
        <v>1308</v>
      </c>
      <c r="AE97" s="1" t="s">
        <v>1281</v>
      </c>
      <c r="AF97" s="4">
        <v>46163</v>
      </c>
      <c r="AG97" s="5">
        <v>0.78472222222222221</v>
      </c>
      <c r="AH97" s="1" t="s">
        <v>1320</v>
      </c>
      <c r="AI97" s="1" t="s">
        <v>1280</v>
      </c>
      <c r="AJ97" s="4">
        <v>46173</v>
      </c>
      <c r="AK97" s="5">
        <v>0.29166666666666669</v>
      </c>
      <c r="AL97" s="1" t="s">
        <v>215</v>
      </c>
      <c r="AM97" s="1"/>
    </row>
    <row r="98" spans="1:39" x14ac:dyDescent="0.3">
      <c r="A98" s="1">
        <v>138400</v>
      </c>
      <c r="B98" s="1">
        <v>105732</v>
      </c>
      <c r="C98" s="1" t="s">
        <v>1188</v>
      </c>
      <c r="D98" s="38" t="s">
        <v>1617</v>
      </c>
      <c r="E98" s="4">
        <v>28977</v>
      </c>
      <c r="F98" s="1">
        <v>46</v>
      </c>
      <c r="G98" s="1" t="s">
        <v>212</v>
      </c>
      <c r="H98" s="1" t="s">
        <v>1501</v>
      </c>
      <c r="I98" s="1" t="s">
        <v>1501</v>
      </c>
      <c r="J98" s="1">
        <v>8530</v>
      </c>
      <c r="K98" s="1" t="s">
        <v>83</v>
      </c>
      <c r="L98" s="1" t="s">
        <v>19</v>
      </c>
      <c r="M98" s="1" t="s">
        <v>13</v>
      </c>
      <c r="N98" s="1" t="s">
        <v>5</v>
      </c>
      <c r="O98" s="1" t="s">
        <v>216</v>
      </c>
      <c r="P98" s="1" t="s">
        <v>53</v>
      </c>
      <c r="Q98" s="1" t="s">
        <v>19</v>
      </c>
      <c r="R98" s="1" t="s">
        <v>8</v>
      </c>
      <c r="S98" s="1" t="s">
        <v>15</v>
      </c>
      <c r="T98" s="1" t="s">
        <v>53</v>
      </c>
      <c r="U98" s="1" t="s">
        <v>8</v>
      </c>
      <c r="V98" s="1" t="str">
        <f>IF(pilgrims[[#This Row],[packages.second_hotel_name]]="",pilgrims[[#This Row],[packages.first_hotel_name]],pilgrims[[#This Row],[packages.second_hotel_name]])</f>
        <v>Swissotel Al Maqam Makkah</v>
      </c>
      <c r="W98" s="1" t="str">
        <f>IF(pilgrims[[#This Row],[packages.second_hotel_name]]="",pilgrims[[#This Row],[packages.first_hotel_check_in]],pilgrims[[#This Row],[packages.second_hotel_check_in]])</f>
        <v>2026-05-21</v>
      </c>
      <c r="X98" s="1" t="str">
        <f>IF(pilgrims[[#This Row],[packages.second_hotel_name]]="",pilgrims[[#This Row],[packages.first_hotel_check_out]],pilgrims[[#This Row],[packages.second_hotel_check_out]])</f>
        <v>2026-05-25</v>
      </c>
      <c r="Y98" s="1" t="s">
        <v>16</v>
      </c>
      <c r="Z98" s="1" t="s">
        <v>214</v>
      </c>
      <c r="AA98" s="1" t="s">
        <v>1190</v>
      </c>
      <c r="AB98" s="1" t="s">
        <v>1190</v>
      </c>
      <c r="AC98" s="1" t="s">
        <v>212</v>
      </c>
      <c r="AD98" s="1" t="s">
        <v>133</v>
      </c>
      <c r="AE98" s="1" t="s">
        <v>1281</v>
      </c>
      <c r="AF98" s="4">
        <v>46160</v>
      </c>
      <c r="AG98" s="5">
        <v>0.3923611111111111</v>
      </c>
      <c r="AH98" s="1" t="s">
        <v>60</v>
      </c>
      <c r="AI98" s="1" t="s">
        <v>1280</v>
      </c>
      <c r="AJ98" s="4">
        <v>46173</v>
      </c>
      <c r="AK98" s="5">
        <v>0.12847222222222221</v>
      </c>
      <c r="AL98" s="1" t="s">
        <v>215</v>
      </c>
      <c r="AM98" s="1"/>
    </row>
    <row r="99" spans="1:39" x14ac:dyDescent="0.3">
      <c r="A99" s="1">
        <v>753896</v>
      </c>
      <c r="B99" s="1">
        <v>610608</v>
      </c>
      <c r="C99" s="1" t="s">
        <v>1188</v>
      </c>
      <c r="D99" s="38" t="s">
        <v>1618</v>
      </c>
      <c r="E99" s="4">
        <v>20712</v>
      </c>
      <c r="F99" s="1">
        <v>69</v>
      </c>
      <c r="G99" s="1" t="s">
        <v>212</v>
      </c>
      <c r="H99" s="1" t="s">
        <v>1501</v>
      </c>
      <c r="I99" s="1" t="s">
        <v>1501</v>
      </c>
      <c r="J99" s="1">
        <v>8530</v>
      </c>
      <c r="K99" s="1" t="s">
        <v>83</v>
      </c>
      <c r="L99" s="1" t="s">
        <v>19</v>
      </c>
      <c r="M99" s="1" t="s">
        <v>13</v>
      </c>
      <c r="N99" s="1" t="s">
        <v>5</v>
      </c>
      <c r="O99" s="1" t="s">
        <v>216</v>
      </c>
      <c r="P99" s="1" t="s">
        <v>53</v>
      </c>
      <c r="Q99" s="1" t="s">
        <v>19</v>
      </c>
      <c r="R99" s="1" t="s">
        <v>8</v>
      </c>
      <c r="S99" s="1" t="s">
        <v>15</v>
      </c>
      <c r="T99" s="1" t="s">
        <v>53</v>
      </c>
      <c r="U99" s="1" t="s">
        <v>8</v>
      </c>
      <c r="V99" s="1" t="str">
        <f>IF(pilgrims[[#This Row],[packages.second_hotel_name]]="",pilgrims[[#This Row],[packages.first_hotel_name]],pilgrims[[#This Row],[packages.second_hotel_name]])</f>
        <v>Swissotel Al Maqam Makkah</v>
      </c>
      <c r="W99" s="1" t="str">
        <f>IF(pilgrims[[#This Row],[packages.second_hotel_name]]="",pilgrims[[#This Row],[packages.first_hotel_check_in]],pilgrims[[#This Row],[packages.second_hotel_check_in]])</f>
        <v>2026-05-21</v>
      </c>
      <c r="X99" s="1" t="str">
        <f>IF(pilgrims[[#This Row],[packages.second_hotel_name]]="",pilgrims[[#This Row],[packages.first_hotel_check_out]],pilgrims[[#This Row],[packages.second_hotel_check_out]])</f>
        <v>2026-05-25</v>
      </c>
      <c r="Y99" s="1" t="s">
        <v>16</v>
      </c>
      <c r="Z99" s="1" t="s">
        <v>214</v>
      </c>
      <c r="AA99" s="1" t="s">
        <v>1190</v>
      </c>
      <c r="AB99" s="1" t="s">
        <v>1190</v>
      </c>
      <c r="AC99" s="1" t="s">
        <v>212</v>
      </c>
      <c r="AD99" s="1" t="s">
        <v>133</v>
      </c>
      <c r="AE99" s="1" t="s">
        <v>1281</v>
      </c>
      <c r="AF99" s="4">
        <v>46160</v>
      </c>
      <c r="AG99" s="5">
        <v>0.3923611111111111</v>
      </c>
      <c r="AH99" s="1" t="s">
        <v>60</v>
      </c>
      <c r="AI99" s="1" t="s">
        <v>1280</v>
      </c>
      <c r="AJ99" s="4">
        <v>46173</v>
      </c>
      <c r="AK99" s="5">
        <v>0.12847222222222221</v>
      </c>
      <c r="AL99" s="1" t="s">
        <v>215</v>
      </c>
      <c r="AM99" s="1"/>
    </row>
    <row r="100" spans="1:39" x14ac:dyDescent="0.3">
      <c r="A100" s="1">
        <v>754448</v>
      </c>
      <c r="B100" s="1">
        <v>610608</v>
      </c>
      <c r="C100" s="1" t="s">
        <v>1189</v>
      </c>
      <c r="D100" s="38" t="s">
        <v>1619</v>
      </c>
      <c r="E100" s="4">
        <v>21356</v>
      </c>
      <c r="F100" s="1">
        <v>67</v>
      </c>
      <c r="G100" s="1" t="s">
        <v>212</v>
      </c>
      <c r="H100" s="1" t="s">
        <v>1501</v>
      </c>
      <c r="I100" s="1" t="s">
        <v>1501</v>
      </c>
      <c r="J100" s="1">
        <v>8530</v>
      </c>
      <c r="K100" s="1" t="s">
        <v>83</v>
      </c>
      <c r="L100" s="1" t="s">
        <v>19</v>
      </c>
      <c r="M100" s="1" t="s">
        <v>13</v>
      </c>
      <c r="N100" s="1" t="s">
        <v>5</v>
      </c>
      <c r="O100" s="1" t="s">
        <v>216</v>
      </c>
      <c r="P100" s="1" t="s">
        <v>53</v>
      </c>
      <c r="Q100" s="1" t="s">
        <v>19</v>
      </c>
      <c r="R100" s="1" t="s">
        <v>8</v>
      </c>
      <c r="S100" s="1" t="s">
        <v>15</v>
      </c>
      <c r="T100" s="1" t="s">
        <v>53</v>
      </c>
      <c r="U100" s="1" t="s">
        <v>8</v>
      </c>
      <c r="V100" s="1" t="str">
        <f>IF(pilgrims[[#This Row],[packages.second_hotel_name]]="",pilgrims[[#This Row],[packages.first_hotel_name]],pilgrims[[#This Row],[packages.second_hotel_name]])</f>
        <v>Swissotel Al Maqam Makkah</v>
      </c>
      <c r="W100" s="1" t="str">
        <f>IF(pilgrims[[#This Row],[packages.second_hotel_name]]="",pilgrims[[#This Row],[packages.first_hotel_check_in]],pilgrims[[#This Row],[packages.second_hotel_check_in]])</f>
        <v>2026-05-21</v>
      </c>
      <c r="X100" s="1" t="str">
        <f>IF(pilgrims[[#This Row],[packages.second_hotel_name]]="",pilgrims[[#This Row],[packages.first_hotel_check_out]],pilgrims[[#This Row],[packages.second_hotel_check_out]])</f>
        <v>2026-05-25</v>
      </c>
      <c r="Y100" s="1" t="s">
        <v>16</v>
      </c>
      <c r="Z100" s="1" t="s">
        <v>214</v>
      </c>
      <c r="AA100" s="1" t="s">
        <v>1190</v>
      </c>
      <c r="AB100" s="1" t="s">
        <v>1190</v>
      </c>
      <c r="AC100" s="1" t="s">
        <v>212</v>
      </c>
      <c r="AD100" s="1" t="s">
        <v>133</v>
      </c>
      <c r="AE100" s="1" t="s">
        <v>1281</v>
      </c>
      <c r="AF100" s="4">
        <v>46160</v>
      </c>
      <c r="AG100" s="5">
        <v>0.3923611111111111</v>
      </c>
      <c r="AH100" s="1" t="s">
        <v>60</v>
      </c>
      <c r="AI100" s="1" t="s">
        <v>1280</v>
      </c>
      <c r="AJ100" s="4">
        <v>46173</v>
      </c>
      <c r="AK100" s="5">
        <v>0.12847222222222221</v>
      </c>
      <c r="AL100" s="1" t="s">
        <v>215</v>
      </c>
      <c r="AM100" s="1"/>
    </row>
    <row r="101" spans="1:39" x14ac:dyDescent="0.3">
      <c r="A101" s="1">
        <v>755596</v>
      </c>
      <c r="B101" s="1">
        <v>610608</v>
      </c>
      <c r="C101" s="1" t="s">
        <v>1189</v>
      </c>
      <c r="D101" s="38" t="s">
        <v>1620</v>
      </c>
      <c r="E101" s="4">
        <v>20133</v>
      </c>
      <c r="F101" s="1">
        <v>71</v>
      </c>
      <c r="G101" s="1" t="s">
        <v>212</v>
      </c>
      <c r="H101" s="1" t="s">
        <v>1501</v>
      </c>
      <c r="I101" s="1" t="s">
        <v>1501</v>
      </c>
      <c r="J101" s="1">
        <v>8530</v>
      </c>
      <c r="K101" s="1" t="s">
        <v>83</v>
      </c>
      <c r="L101" s="1" t="s">
        <v>19</v>
      </c>
      <c r="M101" s="1" t="s">
        <v>13</v>
      </c>
      <c r="N101" s="1" t="s">
        <v>5</v>
      </c>
      <c r="O101" s="1" t="s">
        <v>216</v>
      </c>
      <c r="P101" s="1" t="s">
        <v>53</v>
      </c>
      <c r="Q101" s="1" t="s">
        <v>19</v>
      </c>
      <c r="R101" s="1" t="s">
        <v>8</v>
      </c>
      <c r="S101" s="1" t="s">
        <v>15</v>
      </c>
      <c r="T101" s="1" t="s">
        <v>53</v>
      </c>
      <c r="U101" s="1" t="s">
        <v>8</v>
      </c>
      <c r="V101" s="1" t="str">
        <f>IF(pilgrims[[#This Row],[packages.second_hotel_name]]="",pilgrims[[#This Row],[packages.first_hotel_name]],pilgrims[[#This Row],[packages.second_hotel_name]])</f>
        <v>Swissotel Al Maqam Makkah</v>
      </c>
      <c r="W101" s="1" t="str">
        <f>IF(pilgrims[[#This Row],[packages.second_hotel_name]]="",pilgrims[[#This Row],[packages.first_hotel_check_in]],pilgrims[[#This Row],[packages.second_hotel_check_in]])</f>
        <v>2026-05-21</v>
      </c>
      <c r="X101" s="1" t="str">
        <f>IF(pilgrims[[#This Row],[packages.second_hotel_name]]="",pilgrims[[#This Row],[packages.first_hotel_check_out]],pilgrims[[#This Row],[packages.second_hotel_check_out]])</f>
        <v>2026-05-25</v>
      </c>
      <c r="Y101" s="1" t="s">
        <v>16</v>
      </c>
      <c r="Z101" s="1" t="s">
        <v>214</v>
      </c>
      <c r="AA101" s="1" t="s">
        <v>1190</v>
      </c>
      <c r="AB101" s="1" t="s">
        <v>1190</v>
      </c>
      <c r="AC101" s="1" t="s">
        <v>212</v>
      </c>
      <c r="AD101" s="1" t="s">
        <v>133</v>
      </c>
      <c r="AE101" s="1" t="s">
        <v>1281</v>
      </c>
      <c r="AF101" s="4">
        <v>46160</v>
      </c>
      <c r="AG101" s="5">
        <v>0.3923611111111111</v>
      </c>
      <c r="AH101" s="1" t="s">
        <v>60</v>
      </c>
      <c r="AI101" s="1" t="s">
        <v>1280</v>
      </c>
      <c r="AJ101" s="4">
        <v>46173</v>
      </c>
      <c r="AK101" s="5">
        <v>0.12847222222222221</v>
      </c>
      <c r="AL101" s="1" t="s">
        <v>215</v>
      </c>
      <c r="AM101" s="1"/>
    </row>
    <row r="102" spans="1:39" x14ac:dyDescent="0.3">
      <c r="A102" s="1">
        <v>663326</v>
      </c>
      <c r="B102" s="1">
        <v>539117</v>
      </c>
      <c r="C102" s="1" t="s">
        <v>1188</v>
      </c>
      <c r="D102" s="38" t="s">
        <v>1621</v>
      </c>
      <c r="E102" s="4">
        <v>24675</v>
      </c>
      <c r="F102" s="1">
        <v>58</v>
      </c>
      <c r="G102" s="1" t="s">
        <v>212</v>
      </c>
      <c r="H102" s="1" t="s">
        <v>1501</v>
      </c>
      <c r="I102" s="1" t="s">
        <v>1501</v>
      </c>
      <c r="J102" s="1">
        <v>8530</v>
      </c>
      <c r="K102" s="1" t="s">
        <v>83</v>
      </c>
      <c r="L102" s="1" t="s">
        <v>19</v>
      </c>
      <c r="M102" s="1" t="s">
        <v>13</v>
      </c>
      <c r="N102" s="1" t="s">
        <v>5</v>
      </c>
      <c r="O102" s="1" t="s">
        <v>216</v>
      </c>
      <c r="P102" s="1" t="s">
        <v>53</v>
      </c>
      <c r="Q102" s="1" t="s">
        <v>19</v>
      </c>
      <c r="R102" s="1" t="s">
        <v>8</v>
      </c>
      <c r="S102" s="1" t="s">
        <v>15</v>
      </c>
      <c r="T102" s="1" t="s">
        <v>53</v>
      </c>
      <c r="U102" s="1" t="s">
        <v>8</v>
      </c>
      <c r="V102" s="1" t="str">
        <f>IF(pilgrims[[#This Row],[packages.second_hotel_name]]="",pilgrims[[#This Row],[packages.first_hotel_name]],pilgrims[[#This Row],[packages.second_hotel_name]])</f>
        <v>Swissotel Al Maqam Makkah</v>
      </c>
      <c r="W102" s="1" t="str">
        <f>IF(pilgrims[[#This Row],[packages.second_hotel_name]]="",pilgrims[[#This Row],[packages.first_hotel_check_in]],pilgrims[[#This Row],[packages.second_hotel_check_in]])</f>
        <v>2026-05-21</v>
      </c>
      <c r="X102" s="1" t="str">
        <f>IF(pilgrims[[#This Row],[packages.second_hotel_name]]="",pilgrims[[#This Row],[packages.first_hotel_check_out]],pilgrims[[#This Row],[packages.second_hotel_check_out]])</f>
        <v>2026-05-25</v>
      </c>
      <c r="Y102" s="1" t="s">
        <v>16</v>
      </c>
      <c r="Z102" s="1" t="s">
        <v>214</v>
      </c>
      <c r="AA102" s="1" t="s">
        <v>1202</v>
      </c>
      <c r="AB102" s="1" t="s">
        <v>1202</v>
      </c>
      <c r="AC102" s="1" t="s">
        <v>212</v>
      </c>
      <c r="AD102" s="1" t="s">
        <v>136</v>
      </c>
      <c r="AE102" s="1" t="s">
        <v>1281</v>
      </c>
      <c r="AF102" s="4">
        <v>46160</v>
      </c>
      <c r="AG102" s="5">
        <v>0.1076388888888889</v>
      </c>
      <c r="AH102" s="1" t="s">
        <v>71</v>
      </c>
      <c r="AI102" s="1" t="s">
        <v>1280</v>
      </c>
      <c r="AJ102" s="4">
        <v>46172</v>
      </c>
      <c r="AK102" s="5">
        <v>0.40972222222222221</v>
      </c>
      <c r="AL102" s="1" t="s">
        <v>215</v>
      </c>
      <c r="AM102" s="1"/>
    </row>
    <row r="103" spans="1:39" x14ac:dyDescent="0.3">
      <c r="A103" s="1">
        <v>663631</v>
      </c>
      <c r="B103" s="1">
        <v>539117</v>
      </c>
      <c r="C103" s="1" t="s">
        <v>1188</v>
      </c>
      <c r="D103" s="38" t="s">
        <v>1622</v>
      </c>
      <c r="E103" s="4">
        <v>38869</v>
      </c>
      <c r="F103" s="1">
        <v>19</v>
      </c>
      <c r="G103" s="1" t="s">
        <v>212</v>
      </c>
      <c r="H103" s="1" t="s">
        <v>1501</v>
      </c>
      <c r="I103" s="1" t="s">
        <v>1501</v>
      </c>
      <c r="J103" s="1">
        <v>8530</v>
      </c>
      <c r="K103" s="1" t="s">
        <v>83</v>
      </c>
      <c r="L103" s="1" t="s">
        <v>19</v>
      </c>
      <c r="M103" s="1" t="s">
        <v>13</v>
      </c>
      <c r="N103" s="1" t="s">
        <v>5</v>
      </c>
      <c r="O103" s="1" t="s">
        <v>216</v>
      </c>
      <c r="P103" s="1" t="s">
        <v>53</v>
      </c>
      <c r="Q103" s="1" t="s">
        <v>19</v>
      </c>
      <c r="R103" s="1" t="s">
        <v>8</v>
      </c>
      <c r="S103" s="1" t="s">
        <v>15</v>
      </c>
      <c r="T103" s="1" t="s">
        <v>53</v>
      </c>
      <c r="U103" s="1" t="s">
        <v>8</v>
      </c>
      <c r="V103" s="1" t="str">
        <f>IF(pilgrims[[#This Row],[packages.second_hotel_name]]="",pilgrims[[#This Row],[packages.first_hotel_name]],pilgrims[[#This Row],[packages.second_hotel_name]])</f>
        <v>Swissotel Al Maqam Makkah</v>
      </c>
      <c r="W103" s="1" t="str">
        <f>IF(pilgrims[[#This Row],[packages.second_hotel_name]]="",pilgrims[[#This Row],[packages.first_hotel_check_in]],pilgrims[[#This Row],[packages.second_hotel_check_in]])</f>
        <v>2026-05-21</v>
      </c>
      <c r="X103" s="1" t="str">
        <f>IF(pilgrims[[#This Row],[packages.second_hotel_name]]="",pilgrims[[#This Row],[packages.first_hotel_check_out]],pilgrims[[#This Row],[packages.second_hotel_check_out]])</f>
        <v>2026-05-25</v>
      </c>
      <c r="Y103" s="1" t="s">
        <v>16</v>
      </c>
      <c r="Z103" s="1" t="s">
        <v>214</v>
      </c>
      <c r="AA103" s="1" t="s">
        <v>1202</v>
      </c>
      <c r="AB103" s="1" t="s">
        <v>1202</v>
      </c>
      <c r="AC103" s="1" t="s">
        <v>212</v>
      </c>
      <c r="AD103" s="1" t="s">
        <v>136</v>
      </c>
      <c r="AE103" s="1" t="s">
        <v>1281</v>
      </c>
      <c r="AF103" s="4">
        <v>46160</v>
      </c>
      <c r="AG103" s="5">
        <v>0.1076388888888889</v>
      </c>
      <c r="AH103" s="1" t="s">
        <v>71</v>
      </c>
      <c r="AI103" s="1" t="s">
        <v>1280</v>
      </c>
      <c r="AJ103" s="4">
        <v>46172</v>
      </c>
      <c r="AK103" s="5">
        <v>0.40972222222222221</v>
      </c>
      <c r="AL103" s="1" t="s">
        <v>215</v>
      </c>
      <c r="AM103" s="1"/>
    </row>
    <row r="104" spans="1:39" x14ac:dyDescent="0.3">
      <c r="A104" s="1">
        <v>674924</v>
      </c>
      <c r="B104" s="1">
        <v>539117</v>
      </c>
      <c r="C104" s="1" t="s">
        <v>1189</v>
      </c>
      <c r="D104" s="38" t="s">
        <v>1623</v>
      </c>
      <c r="E104" s="4">
        <v>26723</v>
      </c>
      <c r="F104" s="1">
        <v>53</v>
      </c>
      <c r="G104" s="1" t="s">
        <v>212</v>
      </c>
      <c r="H104" s="1" t="s">
        <v>1501</v>
      </c>
      <c r="I104" s="1" t="s">
        <v>1501</v>
      </c>
      <c r="J104" s="1">
        <v>8530</v>
      </c>
      <c r="K104" s="1" t="s">
        <v>83</v>
      </c>
      <c r="L104" s="1" t="s">
        <v>19</v>
      </c>
      <c r="M104" s="1" t="s">
        <v>13</v>
      </c>
      <c r="N104" s="1" t="s">
        <v>5</v>
      </c>
      <c r="O104" s="1" t="s">
        <v>216</v>
      </c>
      <c r="P104" s="1" t="s">
        <v>53</v>
      </c>
      <c r="Q104" s="1" t="s">
        <v>19</v>
      </c>
      <c r="R104" s="1" t="s">
        <v>8</v>
      </c>
      <c r="S104" s="1" t="s">
        <v>15</v>
      </c>
      <c r="T104" s="1" t="s">
        <v>53</v>
      </c>
      <c r="U104" s="1" t="s">
        <v>8</v>
      </c>
      <c r="V104" s="1" t="str">
        <f>IF(pilgrims[[#This Row],[packages.second_hotel_name]]="",pilgrims[[#This Row],[packages.first_hotel_name]],pilgrims[[#This Row],[packages.second_hotel_name]])</f>
        <v>Swissotel Al Maqam Makkah</v>
      </c>
      <c r="W104" s="1" t="str">
        <f>IF(pilgrims[[#This Row],[packages.second_hotel_name]]="",pilgrims[[#This Row],[packages.first_hotel_check_in]],pilgrims[[#This Row],[packages.second_hotel_check_in]])</f>
        <v>2026-05-21</v>
      </c>
      <c r="X104" s="1" t="str">
        <f>IF(pilgrims[[#This Row],[packages.second_hotel_name]]="",pilgrims[[#This Row],[packages.first_hotel_check_out]],pilgrims[[#This Row],[packages.second_hotel_check_out]])</f>
        <v>2026-05-25</v>
      </c>
      <c r="Y104" s="1" t="s">
        <v>16</v>
      </c>
      <c r="Z104" s="1" t="s">
        <v>214</v>
      </c>
      <c r="AA104" s="1" t="s">
        <v>1202</v>
      </c>
      <c r="AB104" s="1" t="s">
        <v>1202</v>
      </c>
      <c r="AC104" s="1" t="s">
        <v>212</v>
      </c>
      <c r="AD104" s="1" t="s">
        <v>136</v>
      </c>
      <c r="AE104" s="1" t="s">
        <v>1281</v>
      </c>
      <c r="AF104" s="4">
        <v>46160</v>
      </c>
      <c r="AG104" s="5">
        <v>0.1076388888888889</v>
      </c>
      <c r="AH104" s="1" t="s">
        <v>71</v>
      </c>
      <c r="AI104" s="1" t="s">
        <v>1280</v>
      </c>
      <c r="AJ104" s="4">
        <v>46172</v>
      </c>
      <c r="AK104" s="5">
        <v>0.40972222222222221</v>
      </c>
      <c r="AL104" s="1" t="s">
        <v>215</v>
      </c>
      <c r="AM104" s="1"/>
    </row>
    <row r="105" spans="1:39" x14ac:dyDescent="0.3">
      <c r="A105" s="1">
        <v>616963</v>
      </c>
      <c r="B105" s="1">
        <v>498038</v>
      </c>
      <c r="C105" s="1" t="s">
        <v>1188</v>
      </c>
      <c r="D105" s="38" t="s">
        <v>1624</v>
      </c>
      <c r="E105" s="4">
        <v>32793</v>
      </c>
      <c r="F105" s="1">
        <v>36</v>
      </c>
      <c r="G105" s="1" t="s">
        <v>212</v>
      </c>
      <c r="H105" s="1" t="s">
        <v>1506</v>
      </c>
      <c r="I105" s="1" t="s">
        <v>1506</v>
      </c>
      <c r="J105" s="1">
        <v>8728</v>
      </c>
      <c r="K105" s="1" t="s">
        <v>97</v>
      </c>
      <c r="L105" s="1" t="s">
        <v>8</v>
      </c>
      <c r="M105" s="1" t="s">
        <v>4</v>
      </c>
      <c r="N105" s="1" t="s">
        <v>12</v>
      </c>
      <c r="O105" s="1" t="s">
        <v>216</v>
      </c>
      <c r="P105" s="1" t="s">
        <v>53</v>
      </c>
      <c r="Q105" s="1" t="s">
        <v>8</v>
      </c>
      <c r="R105" s="1" t="s">
        <v>16</v>
      </c>
      <c r="S105" s="1" t="s">
        <v>28</v>
      </c>
      <c r="T105" s="1" t="s">
        <v>52</v>
      </c>
      <c r="U105" s="1" t="s">
        <v>6</v>
      </c>
      <c r="V105" s="1" t="str">
        <f>IF(pilgrims[[#This Row],[packages.second_hotel_name]]="",pilgrims[[#This Row],[packages.first_hotel_name]],pilgrims[[#This Row],[packages.second_hotel_name]])</f>
        <v>Madinah Hilton Hotel</v>
      </c>
      <c r="W105" s="1" t="str">
        <f>IF(pilgrims[[#This Row],[packages.second_hotel_name]]="",pilgrims[[#This Row],[packages.first_hotel_check_in]],pilgrims[[#This Row],[packages.second_hotel_check_in]])</f>
        <v>2026-05-30</v>
      </c>
      <c r="X105" s="1" t="str">
        <f>IF(pilgrims[[#This Row],[packages.second_hotel_name]]="",pilgrims[[#This Row],[packages.first_hotel_check_out]],pilgrims[[#This Row],[packages.second_hotel_check_out]])</f>
        <v>2026-06-02</v>
      </c>
      <c r="Y105" s="1" t="s">
        <v>4</v>
      </c>
      <c r="Z105" s="1" t="s">
        <v>261</v>
      </c>
      <c r="AA105" s="1" t="s">
        <v>397</v>
      </c>
      <c r="AB105" s="1" t="s">
        <v>1471</v>
      </c>
      <c r="AC105" s="1" t="s">
        <v>398</v>
      </c>
      <c r="AD105" s="1" t="s">
        <v>1400</v>
      </c>
      <c r="AE105" s="1" t="s">
        <v>1280</v>
      </c>
      <c r="AF105" s="4">
        <v>46163</v>
      </c>
      <c r="AG105" s="5">
        <v>0.95486111111111116</v>
      </c>
      <c r="AH105" s="1" t="s">
        <v>1472</v>
      </c>
      <c r="AI105" s="1" t="s">
        <v>1280</v>
      </c>
      <c r="AJ105" s="4">
        <v>46175</v>
      </c>
      <c r="AK105" s="5">
        <v>0.58333333333333337</v>
      </c>
      <c r="AL105" s="1" t="s">
        <v>215</v>
      </c>
      <c r="AM105" s="1"/>
    </row>
    <row r="106" spans="1:39" x14ac:dyDescent="0.3">
      <c r="A106" s="1">
        <v>819297</v>
      </c>
      <c r="B106" s="1">
        <v>662395</v>
      </c>
      <c r="C106" s="1" t="s">
        <v>1188</v>
      </c>
      <c r="D106" s="38" t="s">
        <v>1625</v>
      </c>
      <c r="E106" s="4">
        <v>25782</v>
      </c>
      <c r="F106" s="1">
        <v>55</v>
      </c>
      <c r="G106" s="1" t="s">
        <v>212</v>
      </c>
      <c r="H106" s="1" t="s">
        <v>1501</v>
      </c>
      <c r="I106" s="1" t="s">
        <v>1501</v>
      </c>
      <c r="J106" s="1">
        <v>8529</v>
      </c>
      <c r="K106" s="1" t="s">
        <v>82</v>
      </c>
      <c r="L106" s="1" t="s">
        <v>19</v>
      </c>
      <c r="M106" s="1" t="s">
        <v>13</v>
      </c>
      <c r="N106" s="1" t="s">
        <v>20</v>
      </c>
      <c r="O106" s="1" t="s">
        <v>216</v>
      </c>
      <c r="P106" s="1" t="s">
        <v>53</v>
      </c>
      <c r="Q106" s="1" t="s">
        <v>19</v>
      </c>
      <c r="R106" s="1" t="s">
        <v>8</v>
      </c>
      <c r="S106" s="1" t="s">
        <v>21</v>
      </c>
      <c r="T106" s="1" t="s">
        <v>53</v>
      </c>
      <c r="U106" s="1" t="s">
        <v>8</v>
      </c>
      <c r="V106" s="1" t="str">
        <f>IF(pilgrims[[#This Row],[packages.second_hotel_name]]="",pilgrims[[#This Row],[packages.first_hotel_name]],pilgrims[[#This Row],[packages.second_hotel_name]])</f>
        <v>Swissotel Makkah Hotel</v>
      </c>
      <c r="W106" s="1" t="str">
        <f>IF(pilgrims[[#This Row],[packages.second_hotel_name]]="",pilgrims[[#This Row],[packages.first_hotel_check_in]],pilgrims[[#This Row],[packages.second_hotel_check_in]])</f>
        <v>2026-05-21</v>
      </c>
      <c r="X106" s="1" t="str">
        <f>IF(pilgrims[[#This Row],[packages.second_hotel_name]]="",pilgrims[[#This Row],[packages.first_hotel_check_out]],pilgrims[[#This Row],[packages.second_hotel_check_out]])</f>
        <v>2026-05-25</v>
      </c>
      <c r="Y106" s="1" t="s">
        <v>16</v>
      </c>
      <c r="Z106" s="1" t="s">
        <v>214</v>
      </c>
      <c r="AA106" s="1" t="s">
        <v>1190</v>
      </c>
      <c r="AB106" s="1" t="s">
        <v>1190</v>
      </c>
      <c r="AC106" s="1" t="s">
        <v>212</v>
      </c>
      <c r="AD106" s="1" t="s">
        <v>133</v>
      </c>
      <c r="AE106" s="1" t="s">
        <v>1281</v>
      </c>
      <c r="AF106" s="4">
        <v>46160</v>
      </c>
      <c r="AG106" s="5">
        <v>0.3923611111111111</v>
      </c>
      <c r="AH106" s="1" t="s">
        <v>60</v>
      </c>
      <c r="AI106" s="1" t="s">
        <v>1280</v>
      </c>
      <c r="AJ106" s="4">
        <v>46173</v>
      </c>
      <c r="AK106" s="5">
        <v>0.12847222222222221</v>
      </c>
      <c r="AL106" s="1" t="s">
        <v>215</v>
      </c>
      <c r="AM106" s="1"/>
    </row>
    <row r="107" spans="1:39" x14ac:dyDescent="0.3">
      <c r="A107" s="1">
        <v>617094</v>
      </c>
      <c r="B107" s="1">
        <v>498038</v>
      </c>
      <c r="C107" s="1" t="s">
        <v>1189</v>
      </c>
      <c r="D107" s="38" t="s">
        <v>1626</v>
      </c>
      <c r="E107" s="4">
        <v>33442</v>
      </c>
      <c r="F107" s="1">
        <v>34</v>
      </c>
      <c r="G107" s="1" t="s">
        <v>212</v>
      </c>
      <c r="H107" s="1" t="s">
        <v>1506</v>
      </c>
      <c r="I107" s="1" t="s">
        <v>1506</v>
      </c>
      <c r="J107" s="1">
        <v>8728</v>
      </c>
      <c r="K107" s="1" t="s">
        <v>97</v>
      </c>
      <c r="L107" s="1" t="s">
        <v>8</v>
      </c>
      <c r="M107" s="1" t="s">
        <v>4</v>
      </c>
      <c r="N107" s="1" t="s">
        <v>12</v>
      </c>
      <c r="O107" s="1" t="s">
        <v>216</v>
      </c>
      <c r="P107" s="1" t="s">
        <v>53</v>
      </c>
      <c r="Q107" s="1" t="s">
        <v>8</v>
      </c>
      <c r="R107" s="1" t="s">
        <v>16</v>
      </c>
      <c r="S107" s="1" t="s">
        <v>28</v>
      </c>
      <c r="T107" s="1" t="s">
        <v>52</v>
      </c>
      <c r="U107" s="1" t="s">
        <v>6</v>
      </c>
      <c r="V107" s="1" t="str">
        <f>IF(pilgrims[[#This Row],[packages.second_hotel_name]]="",pilgrims[[#This Row],[packages.first_hotel_name]],pilgrims[[#This Row],[packages.second_hotel_name]])</f>
        <v>Madinah Hilton Hotel</v>
      </c>
      <c r="W107" s="1" t="str">
        <f>IF(pilgrims[[#This Row],[packages.second_hotel_name]]="",pilgrims[[#This Row],[packages.first_hotel_check_in]],pilgrims[[#This Row],[packages.second_hotel_check_in]])</f>
        <v>2026-05-30</v>
      </c>
      <c r="X107" s="1" t="str">
        <f>IF(pilgrims[[#This Row],[packages.second_hotel_name]]="",pilgrims[[#This Row],[packages.first_hotel_check_out]],pilgrims[[#This Row],[packages.second_hotel_check_out]])</f>
        <v>2026-06-02</v>
      </c>
      <c r="Y107" s="1" t="s">
        <v>4</v>
      </c>
      <c r="Z107" s="1" t="s">
        <v>261</v>
      </c>
      <c r="AA107" s="1" t="s">
        <v>397</v>
      </c>
      <c r="AB107" s="1" t="s">
        <v>1471</v>
      </c>
      <c r="AC107" s="1" t="s">
        <v>398</v>
      </c>
      <c r="AD107" s="1" t="s">
        <v>1400</v>
      </c>
      <c r="AE107" s="1" t="s">
        <v>1280</v>
      </c>
      <c r="AF107" s="4">
        <v>46163</v>
      </c>
      <c r="AG107" s="5">
        <v>0.95486111111111116</v>
      </c>
      <c r="AH107" s="1" t="s">
        <v>1472</v>
      </c>
      <c r="AI107" s="1" t="s">
        <v>1280</v>
      </c>
      <c r="AJ107" s="4">
        <v>46175</v>
      </c>
      <c r="AK107" s="5">
        <v>0.58333333333333337</v>
      </c>
      <c r="AL107" s="1" t="s">
        <v>215</v>
      </c>
      <c r="AM107" s="1"/>
    </row>
    <row r="108" spans="1:39" x14ac:dyDescent="0.3">
      <c r="A108" s="1">
        <v>831289</v>
      </c>
      <c r="B108" s="1">
        <v>662395</v>
      </c>
      <c r="C108" s="1" t="s">
        <v>1189</v>
      </c>
      <c r="D108" s="38" t="s">
        <v>1627</v>
      </c>
      <c r="E108" s="4">
        <v>17786</v>
      </c>
      <c r="F108" s="1">
        <v>77</v>
      </c>
      <c r="G108" s="1" t="s">
        <v>212</v>
      </c>
      <c r="H108" s="1" t="s">
        <v>1501</v>
      </c>
      <c r="I108" s="1" t="s">
        <v>1513</v>
      </c>
      <c r="J108" s="1">
        <v>8529</v>
      </c>
      <c r="K108" s="1" t="s">
        <v>82</v>
      </c>
      <c r="L108" s="1" t="s">
        <v>19</v>
      </c>
      <c r="M108" s="1" t="s">
        <v>13</v>
      </c>
      <c r="N108" s="1" t="s">
        <v>20</v>
      </c>
      <c r="O108" s="1" t="s">
        <v>216</v>
      </c>
      <c r="P108" s="1" t="s">
        <v>53</v>
      </c>
      <c r="Q108" s="1" t="s">
        <v>19</v>
      </c>
      <c r="R108" s="1" t="s">
        <v>8</v>
      </c>
      <c r="S108" s="1" t="s">
        <v>21</v>
      </c>
      <c r="T108" s="1" t="s">
        <v>53</v>
      </c>
      <c r="U108" s="1" t="s">
        <v>8</v>
      </c>
      <c r="V108" s="1" t="str">
        <f>IF(pilgrims[[#This Row],[packages.second_hotel_name]]="",pilgrims[[#This Row],[packages.first_hotel_name]],pilgrims[[#This Row],[packages.second_hotel_name]])</f>
        <v>Swissotel Makkah Hotel</v>
      </c>
      <c r="W108" s="1" t="str">
        <f>IF(pilgrims[[#This Row],[packages.second_hotel_name]]="",pilgrims[[#This Row],[packages.first_hotel_check_in]],pilgrims[[#This Row],[packages.second_hotel_check_in]])</f>
        <v>2026-05-21</v>
      </c>
      <c r="X108" s="1" t="str">
        <f>IF(pilgrims[[#This Row],[packages.second_hotel_name]]="",pilgrims[[#This Row],[packages.first_hotel_check_out]],pilgrims[[#This Row],[packages.second_hotel_check_out]])</f>
        <v>2026-05-25</v>
      </c>
      <c r="Y108" s="1" t="s">
        <v>16</v>
      </c>
      <c r="Z108" s="1" t="s">
        <v>214</v>
      </c>
      <c r="AA108" s="1" t="s">
        <v>1190</v>
      </c>
      <c r="AB108" s="1" t="s">
        <v>1190</v>
      </c>
      <c r="AC108" s="1" t="s">
        <v>212</v>
      </c>
      <c r="AD108" s="1" t="s">
        <v>133</v>
      </c>
      <c r="AE108" s="1" t="s">
        <v>1281</v>
      </c>
      <c r="AF108" s="4">
        <v>46160</v>
      </c>
      <c r="AG108" s="5">
        <v>0.3923611111111111</v>
      </c>
      <c r="AH108" s="1" t="s">
        <v>60</v>
      </c>
      <c r="AI108" s="1" t="s">
        <v>1280</v>
      </c>
      <c r="AJ108" s="4">
        <v>46173</v>
      </c>
      <c r="AK108" s="5">
        <v>0.12847222222222221</v>
      </c>
      <c r="AL108" s="1" t="s">
        <v>215</v>
      </c>
      <c r="AM108" s="1"/>
    </row>
    <row r="109" spans="1:39" x14ac:dyDescent="0.3">
      <c r="A109" s="1">
        <v>618586</v>
      </c>
      <c r="B109" s="1">
        <v>499490</v>
      </c>
      <c r="C109" s="1" t="s">
        <v>1188</v>
      </c>
      <c r="D109" s="38" t="s">
        <v>1628</v>
      </c>
      <c r="E109" s="4">
        <v>35802</v>
      </c>
      <c r="F109" s="1">
        <v>28</v>
      </c>
      <c r="G109" s="1" t="s">
        <v>212</v>
      </c>
      <c r="H109" s="1" t="s">
        <v>1506</v>
      </c>
      <c r="I109" s="1" t="s">
        <v>1506</v>
      </c>
      <c r="J109" s="1">
        <v>8728</v>
      </c>
      <c r="K109" s="1" t="s">
        <v>97</v>
      </c>
      <c r="L109" s="1" t="s">
        <v>8</v>
      </c>
      <c r="M109" s="1" t="s">
        <v>4</v>
      </c>
      <c r="N109" s="1" t="s">
        <v>12</v>
      </c>
      <c r="O109" s="1" t="s">
        <v>216</v>
      </c>
      <c r="P109" s="1" t="s">
        <v>53</v>
      </c>
      <c r="Q109" s="1" t="s">
        <v>8</v>
      </c>
      <c r="R109" s="1" t="s">
        <v>16</v>
      </c>
      <c r="S109" s="1" t="s">
        <v>28</v>
      </c>
      <c r="T109" s="1" t="s">
        <v>52</v>
      </c>
      <c r="U109" s="1" t="s">
        <v>6</v>
      </c>
      <c r="V109" s="1" t="str">
        <f>IF(pilgrims[[#This Row],[packages.second_hotel_name]]="",pilgrims[[#This Row],[packages.first_hotel_name]],pilgrims[[#This Row],[packages.second_hotel_name]])</f>
        <v>Madinah Hilton Hotel</v>
      </c>
      <c r="W109" s="1" t="str">
        <f>IF(pilgrims[[#This Row],[packages.second_hotel_name]]="",pilgrims[[#This Row],[packages.first_hotel_check_in]],pilgrims[[#This Row],[packages.second_hotel_check_in]])</f>
        <v>2026-05-30</v>
      </c>
      <c r="X109" s="1" t="str">
        <f>IF(pilgrims[[#This Row],[packages.second_hotel_name]]="",pilgrims[[#This Row],[packages.first_hotel_check_out]],pilgrims[[#This Row],[packages.second_hotel_check_out]])</f>
        <v>2026-06-02</v>
      </c>
      <c r="Y109" s="1" t="s">
        <v>4</v>
      </c>
      <c r="Z109" s="1" t="s">
        <v>261</v>
      </c>
      <c r="AA109" s="1" t="s">
        <v>402</v>
      </c>
      <c r="AB109" s="1" t="s">
        <v>1358</v>
      </c>
      <c r="AC109" s="1" t="s">
        <v>403</v>
      </c>
      <c r="AD109" s="1" t="s">
        <v>1322</v>
      </c>
      <c r="AE109" s="1" t="s">
        <v>1280</v>
      </c>
      <c r="AF109" s="4">
        <v>46163</v>
      </c>
      <c r="AG109" s="5">
        <v>0.80902777777777779</v>
      </c>
      <c r="AH109" s="1" t="s">
        <v>1359</v>
      </c>
      <c r="AI109" s="1" t="s">
        <v>1280</v>
      </c>
      <c r="AJ109" s="4">
        <v>46175</v>
      </c>
      <c r="AK109" s="5">
        <v>0.41666666666666669</v>
      </c>
      <c r="AL109" s="1" t="s">
        <v>215</v>
      </c>
      <c r="AM109" s="1"/>
    </row>
    <row r="110" spans="1:39" x14ac:dyDescent="0.3">
      <c r="A110" s="1">
        <v>341071</v>
      </c>
      <c r="B110" s="1">
        <v>268827</v>
      </c>
      <c r="C110" s="1" t="s">
        <v>1188</v>
      </c>
      <c r="D110" s="38" t="s">
        <v>1629</v>
      </c>
      <c r="E110" s="4">
        <v>20811</v>
      </c>
      <c r="F110" s="1">
        <v>69</v>
      </c>
      <c r="G110" s="1" t="s">
        <v>212</v>
      </c>
      <c r="H110" s="1" t="s">
        <v>1501</v>
      </c>
      <c r="I110" s="1" t="s">
        <v>1501</v>
      </c>
      <c r="J110" s="1">
        <v>8728</v>
      </c>
      <c r="K110" s="1" t="s">
        <v>97</v>
      </c>
      <c r="L110" s="1" t="s">
        <v>8</v>
      </c>
      <c r="M110" s="1" t="s">
        <v>4</v>
      </c>
      <c r="N110" s="1" t="s">
        <v>12</v>
      </c>
      <c r="O110" s="1" t="s">
        <v>216</v>
      </c>
      <c r="P110" s="1" t="s">
        <v>53</v>
      </c>
      <c r="Q110" s="1" t="s">
        <v>8</v>
      </c>
      <c r="R110" s="1" t="s">
        <v>16</v>
      </c>
      <c r="S110" s="1" t="s">
        <v>28</v>
      </c>
      <c r="T110" s="1" t="s">
        <v>52</v>
      </c>
      <c r="U110" s="1" t="s">
        <v>6</v>
      </c>
      <c r="V110" s="1" t="str">
        <f>IF(pilgrims[[#This Row],[packages.second_hotel_name]]="",pilgrims[[#This Row],[packages.first_hotel_name]],pilgrims[[#This Row],[packages.second_hotel_name]])</f>
        <v>Madinah Hilton Hotel</v>
      </c>
      <c r="W110" s="1" t="str">
        <f>IF(pilgrims[[#This Row],[packages.second_hotel_name]]="",pilgrims[[#This Row],[packages.first_hotel_check_in]],pilgrims[[#This Row],[packages.second_hotel_check_in]])</f>
        <v>2026-05-30</v>
      </c>
      <c r="X110" s="1" t="str">
        <f>IF(pilgrims[[#This Row],[packages.second_hotel_name]]="",pilgrims[[#This Row],[packages.first_hotel_check_out]],pilgrims[[#This Row],[packages.second_hotel_check_out]])</f>
        <v>2026-06-02</v>
      </c>
      <c r="Y110" s="1" t="s">
        <v>4</v>
      </c>
      <c r="Z110" s="1" t="s">
        <v>214</v>
      </c>
      <c r="AA110" s="1" t="s">
        <v>1196</v>
      </c>
      <c r="AB110" s="1" t="s">
        <v>1196</v>
      </c>
      <c r="AC110" s="1" t="s">
        <v>212</v>
      </c>
      <c r="AD110" s="1" t="s">
        <v>61</v>
      </c>
      <c r="AE110" s="1" t="s">
        <v>1280</v>
      </c>
      <c r="AF110" s="4">
        <v>46164</v>
      </c>
      <c r="AG110" s="5">
        <v>0.57986111111111116</v>
      </c>
      <c r="AH110" s="1" t="s">
        <v>72</v>
      </c>
      <c r="AI110" s="1" t="s">
        <v>1281</v>
      </c>
      <c r="AJ110" s="4">
        <v>46172</v>
      </c>
      <c r="AK110" s="5">
        <v>0.25347222222222221</v>
      </c>
      <c r="AL110" s="1" t="s">
        <v>215</v>
      </c>
      <c r="AM110" s="1"/>
    </row>
    <row r="111" spans="1:39" x14ac:dyDescent="0.3">
      <c r="A111" s="1">
        <v>752184</v>
      </c>
      <c r="B111" s="1">
        <v>499490</v>
      </c>
      <c r="C111" s="1" t="s">
        <v>1189</v>
      </c>
      <c r="D111" s="38" t="s">
        <v>1630</v>
      </c>
      <c r="E111" s="4">
        <v>36303</v>
      </c>
      <c r="F111" s="1">
        <v>26</v>
      </c>
      <c r="G111" s="1" t="s">
        <v>212</v>
      </c>
      <c r="H111" s="1" t="s">
        <v>1506</v>
      </c>
      <c r="I111" s="1" t="s">
        <v>1506</v>
      </c>
      <c r="J111" s="1">
        <v>8728</v>
      </c>
      <c r="K111" s="1" t="s">
        <v>97</v>
      </c>
      <c r="L111" s="1" t="s">
        <v>8</v>
      </c>
      <c r="M111" s="1" t="s">
        <v>4</v>
      </c>
      <c r="N111" s="1" t="s">
        <v>12</v>
      </c>
      <c r="O111" s="1" t="s">
        <v>216</v>
      </c>
      <c r="P111" s="1" t="s">
        <v>53</v>
      </c>
      <c r="Q111" s="1" t="s">
        <v>8</v>
      </c>
      <c r="R111" s="1" t="s">
        <v>16</v>
      </c>
      <c r="S111" s="1" t="s">
        <v>28</v>
      </c>
      <c r="T111" s="1" t="s">
        <v>52</v>
      </c>
      <c r="U111" s="1" t="s">
        <v>6</v>
      </c>
      <c r="V111" s="1" t="str">
        <f>IF(pilgrims[[#This Row],[packages.second_hotel_name]]="",pilgrims[[#This Row],[packages.first_hotel_name]],pilgrims[[#This Row],[packages.second_hotel_name]])</f>
        <v>Madinah Hilton Hotel</v>
      </c>
      <c r="W111" s="1" t="str">
        <f>IF(pilgrims[[#This Row],[packages.second_hotel_name]]="",pilgrims[[#This Row],[packages.first_hotel_check_in]],pilgrims[[#This Row],[packages.second_hotel_check_in]])</f>
        <v>2026-05-30</v>
      </c>
      <c r="X111" s="1" t="str">
        <f>IF(pilgrims[[#This Row],[packages.second_hotel_name]]="",pilgrims[[#This Row],[packages.first_hotel_check_out]],pilgrims[[#This Row],[packages.second_hotel_check_out]])</f>
        <v>2026-06-02</v>
      </c>
      <c r="Y111" s="1" t="s">
        <v>4</v>
      </c>
      <c r="Z111" s="1" t="s">
        <v>261</v>
      </c>
      <c r="AA111" s="1" t="s">
        <v>402</v>
      </c>
      <c r="AB111" s="1" t="s">
        <v>1358</v>
      </c>
      <c r="AC111" s="1" t="s">
        <v>403</v>
      </c>
      <c r="AD111" s="1" t="s">
        <v>1322</v>
      </c>
      <c r="AE111" s="1" t="s">
        <v>1280</v>
      </c>
      <c r="AF111" s="4">
        <v>46163</v>
      </c>
      <c r="AG111" s="5">
        <v>0.80902777777777779</v>
      </c>
      <c r="AH111" s="1" t="s">
        <v>1359</v>
      </c>
      <c r="AI111" s="1" t="s">
        <v>1280</v>
      </c>
      <c r="AJ111" s="4">
        <v>46175</v>
      </c>
      <c r="AK111" s="5">
        <v>0.41666666666666669</v>
      </c>
      <c r="AL111" s="1" t="s">
        <v>215</v>
      </c>
      <c r="AM111" s="1"/>
    </row>
    <row r="112" spans="1:39" x14ac:dyDescent="0.3">
      <c r="A112" s="1">
        <v>663772</v>
      </c>
      <c r="B112" s="1">
        <v>268827</v>
      </c>
      <c r="C112" s="1" t="s">
        <v>1189</v>
      </c>
      <c r="D112" s="38" t="s">
        <v>1631</v>
      </c>
      <c r="E112" s="4">
        <v>23850</v>
      </c>
      <c r="F112" s="1">
        <v>60</v>
      </c>
      <c r="G112" s="1" t="s">
        <v>212</v>
      </c>
      <c r="H112" s="1" t="s">
        <v>1501</v>
      </c>
      <c r="I112" s="1" t="s">
        <v>1501</v>
      </c>
      <c r="J112" s="1">
        <v>8728</v>
      </c>
      <c r="K112" s="1" t="s">
        <v>97</v>
      </c>
      <c r="L112" s="1" t="s">
        <v>8</v>
      </c>
      <c r="M112" s="1" t="s">
        <v>4</v>
      </c>
      <c r="N112" s="1" t="s">
        <v>12</v>
      </c>
      <c r="O112" s="1" t="s">
        <v>216</v>
      </c>
      <c r="P112" s="1" t="s">
        <v>53</v>
      </c>
      <c r="Q112" s="1" t="s">
        <v>8</v>
      </c>
      <c r="R112" s="1" t="s">
        <v>16</v>
      </c>
      <c r="S112" s="1" t="s">
        <v>28</v>
      </c>
      <c r="T112" s="1" t="s">
        <v>52</v>
      </c>
      <c r="U112" s="1" t="s">
        <v>6</v>
      </c>
      <c r="V112" s="1" t="str">
        <f>IF(pilgrims[[#This Row],[packages.second_hotel_name]]="",pilgrims[[#This Row],[packages.first_hotel_name]],pilgrims[[#This Row],[packages.second_hotel_name]])</f>
        <v>Madinah Hilton Hotel</v>
      </c>
      <c r="W112" s="1" t="str">
        <f>IF(pilgrims[[#This Row],[packages.second_hotel_name]]="",pilgrims[[#This Row],[packages.first_hotel_check_in]],pilgrims[[#This Row],[packages.second_hotel_check_in]])</f>
        <v>2026-05-30</v>
      </c>
      <c r="X112" s="1" t="str">
        <f>IF(pilgrims[[#This Row],[packages.second_hotel_name]]="",pilgrims[[#This Row],[packages.first_hotel_check_out]],pilgrims[[#This Row],[packages.second_hotel_check_out]])</f>
        <v>2026-06-02</v>
      </c>
      <c r="Y112" s="1" t="s">
        <v>4</v>
      </c>
      <c r="Z112" s="1" t="s">
        <v>214</v>
      </c>
      <c r="AA112" s="1" t="s">
        <v>1196</v>
      </c>
      <c r="AB112" s="1" t="s">
        <v>1196</v>
      </c>
      <c r="AC112" s="1" t="s">
        <v>212</v>
      </c>
      <c r="AD112" s="1" t="s">
        <v>61</v>
      </c>
      <c r="AE112" s="1" t="s">
        <v>1280</v>
      </c>
      <c r="AF112" s="4">
        <v>46164</v>
      </c>
      <c r="AG112" s="5">
        <v>0.57986111111111116</v>
      </c>
      <c r="AH112" s="1" t="s">
        <v>72</v>
      </c>
      <c r="AI112" s="1" t="s">
        <v>1281</v>
      </c>
      <c r="AJ112" s="4">
        <v>46172</v>
      </c>
      <c r="AK112" s="5">
        <v>0.25347222222222221</v>
      </c>
      <c r="AL112" s="1" t="s">
        <v>215</v>
      </c>
      <c r="AM112" s="1"/>
    </row>
    <row r="113" spans="1:39" x14ac:dyDescent="0.3">
      <c r="A113" s="1">
        <v>310986</v>
      </c>
      <c r="B113" s="1">
        <v>243931</v>
      </c>
      <c r="C113" s="1" t="s">
        <v>1188</v>
      </c>
      <c r="D113" s="38" t="s">
        <v>1632</v>
      </c>
      <c r="E113" s="4">
        <v>30622</v>
      </c>
      <c r="F113" s="1">
        <v>42</v>
      </c>
      <c r="G113" s="1" t="s">
        <v>212</v>
      </c>
      <c r="H113" s="1" t="s">
        <v>1501</v>
      </c>
      <c r="I113" s="1" t="s">
        <v>1501</v>
      </c>
      <c r="J113" s="1">
        <v>8729</v>
      </c>
      <c r="K113" s="1" t="s">
        <v>100</v>
      </c>
      <c r="L113" s="1" t="s">
        <v>8</v>
      </c>
      <c r="M113" s="1" t="s">
        <v>9</v>
      </c>
      <c r="N113" s="1" t="s">
        <v>10</v>
      </c>
      <c r="O113" s="1" t="s">
        <v>216</v>
      </c>
      <c r="P113" s="1" t="s">
        <v>52</v>
      </c>
      <c r="Q113" s="1" t="s">
        <v>8</v>
      </c>
      <c r="R113" s="1" t="s">
        <v>11</v>
      </c>
      <c r="S113" s="1" t="s">
        <v>21</v>
      </c>
      <c r="T113" s="1" t="s">
        <v>53</v>
      </c>
      <c r="U113" s="1" t="s">
        <v>13</v>
      </c>
      <c r="V113" s="1" t="str">
        <f>IF(pilgrims[[#This Row],[packages.second_hotel_name]]="",pilgrims[[#This Row],[packages.first_hotel_name]],pilgrims[[#This Row],[packages.second_hotel_name]])</f>
        <v>Swissotel Makkah Hotel</v>
      </c>
      <c r="W113" s="1" t="str">
        <f>IF(pilgrims[[#This Row],[packages.second_hotel_name]]="",pilgrims[[#This Row],[packages.first_hotel_check_in]],pilgrims[[#This Row],[packages.second_hotel_check_in]])</f>
        <v>2026-05-31</v>
      </c>
      <c r="X113" s="1" t="str">
        <f>IF(pilgrims[[#This Row],[packages.second_hotel_name]]="",pilgrims[[#This Row],[packages.first_hotel_check_out]],pilgrims[[#This Row],[packages.second_hotel_check_out]])</f>
        <v>2026-06-06</v>
      </c>
      <c r="Y113" s="1" t="s">
        <v>9</v>
      </c>
      <c r="Z113" s="1" t="s">
        <v>261</v>
      </c>
      <c r="AA113" s="1" t="s">
        <v>407</v>
      </c>
      <c r="AB113" s="1" t="s">
        <v>1397</v>
      </c>
      <c r="AC113" s="1" t="s">
        <v>408</v>
      </c>
      <c r="AD113" s="1" t="s">
        <v>1340</v>
      </c>
      <c r="AE113" s="1" t="s">
        <v>1281</v>
      </c>
      <c r="AF113" s="4">
        <v>46163</v>
      </c>
      <c r="AG113" s="5">
        <v>0.13541666666666666</v>
      </c>
      <c r="AH113" s="1" t="s">
        <v>1398</v>
      </c>
      <c r="AI113" s="1" t="s">
        <v>1281</v>
      </c>
      <c r="AJ113" s="4">
        <v>46179</v>
      </c>
      <c r="AK113" s="5">
        <v>0.19791666666666666</v>
      </c>
      <c r="AL113" s="1" t="s">
        <v>215</v>
      </c>
      <c r="AM113" s="1"/>
    </row>
    <row r="114" spans="1:39" x14ac:dyDescent="0.3">
      <c r="A114" s="1">
        <v>666589</v>
      </c>
      <c r="B114" s="1">
        <v>268827</v>
      </c>
      <c r="C114" s="1" t="s">
        <v>1188</v>
      </c>
      <c r="D114" s="38" t="s">
        <v>1633</v>
      </c>
      <c r="E114" s="4">
        <v>36467</v>
      </c>
      <c r="F114" s="1">
        <v>26</v>
      </c>
      <c r="G114" s="1" t="s">
        <v>212</v>
      </c>
      <c r="H114" s="1" t="s">
        <v>1501</v>
      </c>
      <c r="I114" s="1" t="s">
        <v>1501</v>
      </c>
      <c r="J114" s="1">
        <v>8728</v>
      </c>
      <c r="K114" s="1" t="s">
        <v>97</v>
      </c>
      <c r="L114" s="1" t="s">
        <v>8</v>
      </c>
      <c r="M114" s="1" t="s">
        <v>4</v>
      </c>
      <c r="N114" s="1" t="s">
        <v>12</v>
      </c>
      <c r="O114" s="1" t="s">
        <v>216</v>
      </c>
      <c r="P114" s="1" t="s">
        <v>53</v>
      </c>
      <c r="Q114" s="1" t="s">
        <v>8</v>
      </c>
      <c r="R114" s="1" t="s">
        <v>16</v>
      </c>
      <c r="S114" s="1" t="s">
        <v>28</v>
      </c>
      <c r="T114" s="1" t="s">
        <v>52</v>
      </c>
      <c r="U114" s="1" t="s">
        <v>6</v>
      </c>
      <c r="V114" s="1" t="str">
        <f>IF(pilgrims[[#This Row],[packages.second_hotel_name]]="",pilgrims[[#This Row],[packages.first_hotel_name]],pilgrims[[#This Row],[packages.second_hotel_name]])</f>
        <v>Madinah Hilton Hotel</v>
      </c>
      <c r="W114" s="1" t="str">
        <f>IF(pilgrims[[#This Row],[packages.second_hotel_name]]="",pilgrims[[#This Row],[packages.first_hotel_check_in]],pilgrims[[#This Row],[packages.second_hotel_check_in]])</f>
        <v>2026-05-30</v>
      </c>
      <c r="X114" s="1" t="str">
        <f>IF(pilgrims[[#This Row],[packages.second_hotel_name]]="",pilgrims[[#This Row],[packages.first_hotel_check_out]],pilgrims[[#This Row],[packages.second_hotel_check_out]])</f>
        <v>2026-06-02</v>
      </c>
      <c r="Y114" s="1" t="s">
        <v>4</v>
      </c>
      <c r="Z114" s="1" t="s">
        <v>214</v>
      </c>
      <c r="AA114" s="1" t="s">
        <v>1196</v>
      </c>
      <c r="AB114" s="1" t="s">
        <v>1196</v>
      </c>
      <c r="AC114" s="1" t="s">
        <v>212</v>
      </c>
      <c r="AD114" s="1" t="s">
        <v>61</v>
      </c>
      <c r="AE114" s="1" t="s">
        <v>1280</v>
      </c>
      <c r="AF114" s="4">
        <v>46164</v>
      </c>
      <c r="AG114" s="5">
        <v>0.57986111111111116</v>
      </c>
      <c r="AH114" s="1" t="s">
        <v>72</v>
      </c>
      <c r="AI114" s="1" t="s">
        <v>1281</v>
      </c>
      <c r="AJ114" s="4">
        <v>46172</v>
      </c>
      <c r="AK114" s="5">
        <v>0.25347222222222221</v>
      </c>
      <c r="AL114" s="1" t="s">
        <v>215</v>
      </c>
      <c r="AM114" s="1"/>
    </row>
    <row r="115" spans="1:39" x14ac:dyDescent="0.3">
      <c r="A115" s="1">
        <v>791046</v>
      </c>
      <c r="B115" s="1">
        <v>243931</v>
      </c>
      <c r="C115" s="1" t="s">
        <v>1189</v>
      </c>
      <c r="D115" s="38" t="s">
        <v>1634</v>
      </c>
      <c r="E115" s="4">
        <v>20868</v>
      </c>
      <c r="F115" s="1">
        <v>69</v>
      </c>
      <c r="G115" s="1" t="s">
        <v>212</v>
      </c>
      <c r="H115" s="1" t="s">
        <v>1501</v>
      </c>
      <c r="I115" s="1" t="s">
        <v>1501</v>
      </c>
      <c r="J115" s="1">
        <v>8729</v>
      </c>
      <c r="K115" s="1" t="s">
        <v>100</v>
      </c>
      <c r="L115" s="1" t="s">
        <v>8</v>
      </c>
      <c r="M115" s="1" t="s">
        <v>9</v>
      </c>
      <c r="N115" s="1" t="s">
        <v>10</v>
      </c>
      <c r="O115" s="1" t="s">
        <v>216</v>
      </c>
      <c r="P115" s="1" t="s">
        <v>52</v>
      </c>
      <c r="Q115" s="1" t="s">
        <v>8</v>
      </c>
      <c r="R115" s="1" t="s">
        <v>11</v>
      </c>
      <c r="S115" s="1" t="s">
        <v>21</v>
      </c>
      <c r="T115" s="1" t="s">
        <v>53</v>
      </c>
      <c r="U115" s="1" t="s">
        <v>13</v>
      </c>
      <c r="V115" s="1" t="str">
        <f>IF(pilgrims[[#This Row],[packages.second_hotel_name]]="",pilgrims[[#This Row],[packages.first_hotel_name]],pilgrims[[#This Row],[packages.second_hotel_name]])</f>
        <v>Swissotel Makkah Hotel</v>
      </c>
      <c r="W115" s="1" t="str">
        <f>IF(pilgrims[[#This Row],[packages.second_hotel_name]]="",pilgrims[[#This Row],[packages.first_hotel_check_in]],pilgrims[[#This Row],[packages.second_hotel_check_in]])</f>
        <v>2026-05-31</v>
      </c>
      <c r="X115" s="1" t="str">
        <f>IF(pilgrims[[#This Row],[packages.second_hotel_name]]="",pilgrims[[#This Row],[packages.first_hotel_check_out]],pilgrims[[#This Row],[packages.second_hotel_check_out]])</f>
        <v>2026-06-06</v>
      </c>
      <c r="Y115" s="1" t="s">
        <v>9</v>
      </c>
      <c r="Z115" s="1" t="s">
        <v>261</v>
      </c>
      <c r="AA115" s="1" t="s">
        <v>407</v>
      </c>
      <c r="AB115" s="1" t="s">
        <v>1397</v>
      </c>
      <c r="AC115" s="1" t="s">
        <v>408</v>
      </c>
      <c r="AD115" s="1" t="s">
        <v>1340</v>
      </c>
      <c r="AE115" s="1" t="s">
        <v>1281</v>
      </c>
      <c r="AF115" s="4">
        <v>46163</v>
      </c>
      <c r="AG115" s="5">
        <v>0.13541666666666666</v>
      </c>
      <c r="AH115" s="1" t="s">
        <v>1398</v>
      </c>
      <c r="AI115" s="1" t="s">
        <v>1281</v>
      </c>
      <c r="AJ115" s="4">
        <v>46179</v>
      </c>
      <c r="AK115" s="5">
        <v>0.19791666666666666</v>
      </c>
      <c r="AL115" s="1" t="s">
        <v>215</v>
      </c>
      <c r="AM115" s="1"/>
    </row>
    <row r="116" spans="1:39" x14ac:dyDescent="0.3">
      <c r="A116" s="1">
        <v>715161</v>
      </c>
      <c r="B116" s="1">
        <v>580252</v>
      </c>
      <c r="C116" s="1" t="s">
        <v>1188</v>
      </c>
      <c r="D116" s="38" t="s">
        <v>1635</v>
      </c>
      <c r="E116" s="4">
        <v>23673</v>
      </c>
      <c r="F116" s="1">
        <v>61</v>
      </c>
      <c r="G116" s="1" t="s">
        <v>212</v>
      </c>
      <c r="H116" s="1" t="s">
        <v>1501</v>
      </c>
      <c r="I116" s="1" t="s">
        <v>1501</v>
      </c>
      <c r="J116" s="1">
        <v>8728</v>
      </c>
      <c r="K116" s="1" t="s">
        <v>97</v>
      </c>
      <c r="L116" s="1" t="s">
        <v>8</v>
      </c>
      <c r="M116" s="1" t="s">
        <v>4</v>
      </c>
      <c r="N116" s="1" t="s">
        <v>12</v>
      </c>
      <c r="O116" s="1" t="s">
        <v>216</v>
      </c>
      <c r="P116" s="1" t="s">
        <v>53</v>
      </c>
      <c r="Q116" s="1" t="s">
        <v>8</v>
      </c>
      <c r="R116" s="1" t="s">
        <v>16</v>
      </c>
      <c r="S116" s="1" t="s">
        <v>28</v>
      </c>
      <c r="T116" s="1" t="s">
        <v>52</v>
      </c>
      <c r="U116" s="1" t="s">
        <v>6</v>
      </c>
      <c r="V116" s="1" t="str">
        <f>IF(pilgrims[[#This Row],[packages.second_hotel_name]]="",pilgrims[[#This Row],[packages.first_hotel_name]],pilgrims[[#This Row],[packages.second_hotel_name]])</f>
        <v>Madinah Hilton Hotel</v>
      </c>
      <c r="W116" s="1" t="str">
        <f>IF(pilgrims[[#This Row],[packages.second_hotel_name]]="",pilgrims[[#This Row],[packages.first_hotel_check_in]],pilgrims[[#This Row],[packages.second_hotel_check_in]])</f>
        <v>2026-05-30</v>
      </c>
      <c r="X116" s="1" t="str">
        <f>IF(pilgrims[[#This Row],[packages.second_hotel_name]]="",pilgrims[[#This Row],[packages.first_hotel_check_out]],pilgrims[[#This Row],[packages.second_hotel_check_out]])</f>
        <v>2026-06-02</v>
      </c>
      <c r="Y116" s="1" t="s">
        <v>4</v>
      </c>
      <c r="Z116" s="1" t="s">
        <v>214</v>
      </c>
      <c r="AA116" s="1" t="s">
        <v>1191</v>
      </c>
      <c r="AB116" s="1" t="s">
        <v>1191</v>
      </c>
      <c r="AC116" s="1" t="s">
        <v>212</v>
      </c>
      <c r="AD116" s="1" t="s">
        <v>57</v>
      </c>
      <c r="AE116" s="1" t="s">
        <v>1280</v>
      </c>
      <c r="AF116" s="4">
        <v>46163</v>
      </c>
      <c r="AG116" s="5">
        <v>0.2361111111111111</v>
      </c>
      <c r="AH116" s="1" t="s">
        <v>76</v>
      </c>
      <c r="AI116" s="1" t="s">
        <v>1281</v>
      </c>
      <c r="AJ116" s="4">
        <v>46175</v>
      </c>
      <c r="AK116" s="5">
        <v>0.93055555555555558</v>
      </c>
      <c r="AL116" s="1" t="s">
        <v>215</v>
      </c>
      <c r="AM116" s="1"/>
    </row>
    <row r="117" spans="1:39" x14ac:dyDescent="0.3">
      <c r="A117" s="1">
        <v>356008</v>
      </c>
      <c r="B117" s="1">
        <v>280532</v>
      </c>
      <c r="C117" s="1" t="s">
        <v>1188</v>
      </c>
      <c r="D117" s="38" t="s">
        <v>1636</v>
      </c>
      <c r="E117" s="4">
        <v>30083</v>
      </c>
      <c r="F117" s="1">
        <v>43</v>
      </c>
      <c r="G117" s="1" t="s">
        <v>212</v>
      </c>
      <c r="H117" s="1" t="s">
        <v>1501</v>
      </c>
      <c r="I117" s="1" t="s">
        <v>1501</v>
      </c>
      <c r="J117" s="1">
        <v>8540</v>
      </c>
      <c r="K117" s="1" t="s">
        <v>78</v>
      </c>
      <c r="L117" s="1" t="s">
        <v>8</v>
      </c>
      <c r="M117" s="1" t="s">
        <v>13</v>
      </c>
      <c r="N117" s="1" t="s">
        <v>5</v>
      </c>
      <c r="O117" s="1" t="s">
        <v>216</v>
      </c>
      <c r="P117" s="1" t="s">
        <v>53</v>
      </c>
      <c r="Q117" s="1" t="s">
        <v>8</v>
      </c>
      <c r="R117" s="1" t="s">
        <v>11</v>
      </c>
      <c r="S117" s="1"/>
      <c r="T117" s="1"/>
      <c r="U117" s="1"/>
      <c r="V117" s="1" t="str">
        <f>IF(pilgrims[[#This Row],[packages.second_hotel_name]]="",pilgrims[[#This Row],[packages.first_hotel_name]],pilgrims[[#This Row],[packages.second_hotel_name]])</f>
        <v>Movenpick Anwar Almadinah Hotel</v>
      </c>
      <c r="W117" s="1" t="str">
        <f>IF(pilgrims[[#This Row],[packages.second_hotel_name]]="",pilgrims[[#This Row],[packages.first_hotel_check_in]],pilgrims[[#This Row],[packages.second_hotel_check_in]])</f>
        <v>2026-05-21</v>
      </c>
      <c r="X117" s="1" t="str">
        <f>IF(pilgrims[[#This Row],[packages.second_hotel_name]]="",pilgrims[[#This Row],[packages.first_hotel_check_out]],pilgrims[[#This Row],[packages.second_hotel_check_out]])</f>
        <v>2026-05-24</v>
      </c>
      <c r="Y117" s="1"/>
      <c r="Z117" s="1" t="s">
        <v>261</v>
      </c>
      <c r="AA117" s="1" t="s">
        <v>413</v>
      </c>
      <c r="AB117" s="1" t="s">
        <v>1342</v>
      </c>
      <c r="AC117" s="1" t="s">
        <v>414</v>
      </c>
      <c r="AD117" s="1" t="s">
        <v>1343</v>
      </c>
      <c r="AE117" s="1" t="s">
        <v>1281</v>
      </c>
      <c r="AF117" s="4">
        <v>46163</v>
      </c>
      <c r="AG117" s="5">
        <v>0.88888888888888884</v>
      </c>
      <c r="AH117" s="1" t="s">
        <v>1292</v>
      </c>
      <c r="AI117" s="1" t="s">
        <v>1280</v>
      </c>
      <c r="AJ117" s="4">
        <v>46173</v>
      </c>
      <c r="AK117" s="5">
        <v>2.7777777777777776E-2</v>
      </c>
      <c r="AL117" s="1" t="s">
        <v>215</v>
      </c>
      <c r="AM117" s="1" t="b">
        <v>1</v>
      </c>
    </row>
    <row r="118" spans="1:39" x14ac:dyDescent="0.3">
      <c r="A118" s="1">
        <v>716055</v>
      </c>
      <c r="B118" s="1">
        <v>580252</v>
      </c>
      <c r="C118" s="1" t="s">
        <v>1189</v>
      </c>
      <c r="D118" s="38" t="s">
        <v>1637</v>
      </c>
      <c r="E118" s="4">
        <v>27227</v>
      </c>
      <c r="F118" s="1">
        <v>51</v>
      </c>
      <c r="G118" s="1" t="s">
        <v>212</v>
      </c>
      <c r="H118" s="1" t="s">
        <v>1501</v>
      </c>
      <c r="I118" s="1" t="s">
        <v>1501</v>
      </c>
      <c r="J118" s="1">
        <v>8728</v>
      </c>
      <c r="K118" s="1" t="s">
        <v>97</v>
      </c>
      <c r="L118" s="1" t="s">
        <v>8</v>
      </c>
      <c r="M118" s="1" t="s">
        <v>4</v>
      </c>
      <c r="N118" s="1" t="s">
        <v>12</v>
      </c>
      <c r="O118" s="1" t="s">
        <v>216</v>
      </c>
      <c r="P118" s="1" t="s">
        <v>53</v>
      </c>
      <c r="Q118" s="1" t="s">
        <v>8</v>
      </c>
      <c r="R118" s="1" t="s">
        <v>16</v>
      </c>
      <c r="S118" s="1" t="s">
        <v>28</v>
      </c>
      <c r="T118" s="1" t="s">
        <v>52</v>
      </c>
      <c r="U118" s="1" t="s">
        <v>6</v>
      </c>
      <c r="V118" s="1" t="str">
        <f>IF(pilgrims[[#This Row],[packages.second_hotel_name]]="",pilgrims[[#This Row],[packages.first_hotel_name]],pilgrims[[#This Row],[packages.second_hotel_name]])</f>
        <v>Madinah Hilton Hotel</v>
      </c>
      <c r="W118" s="1" t="str">
        <f>IF(pilgrims[[#This Row],[packages.second_hotel_name]]="",pilgrims[[#This Row],[packages.first_hotel_check_in]],pilgrims[[#This Row],[packages.second_hotel_check_in]])</f>
        <v>2026-05-30</v>
      </c>
      <c r="X118" s="1" t="str">
        <f>IF(pilgrims[[#This Row],[packages.second_hotel_name]]="",pilgrims[[#This Row],[packages.first_hotel_check_out]],pilgrims[[#This Row],[packages.second_hotel_check_out]])</f>
        <v>2026-06-02</v>
      </c>
      <c r="Y118" s="1" t="s">
        <v>4</v>
      </c>
      <c r="Z118" s="1" t="s">
        <v>214</v>
      </c>
      <c r="AA118" s="1" t="s">
        <v>1191</v>
      </c>
      <c r="AB118" s="1" t="s">
        <v>1191</v>
      </c>
      <c r="AC118" s="1" t="s">
        <v>212</v>
      </c>
      <c r="AD118" s="1" t="s">
        <v>57</v>
      </c>
      <c r="AE118" s="1" t="s">
        <v>1280</v>
      </c>
      <c r="AF118" s="4">
        <v>46163</v>
      </c>
      <c r="AG118" s="5">
        <v>0.2361111111111111</v>
      </c>
      <c r="AH118" s="1" t="s">
        <v>76</v>
      </c>
      <c r="AI118" s="1" t="s">
        <v>1281</v>
      </c>
      <c r="AJ118" s="4">
        <v>46175</v>
      </c>
      <c r="AK118" s="5">
        <v>0.93055555555555558</v>
      </c>
      <c r="AL118" s="1" t="s">
        <v>215</v>
      </c>
      <c r="AM118" s="1"/>
    </row>
    <row r="119" spans="1:39" x14ac:dyDescent="0.3">
      <c r="A119" s="1">
        <v>778442</v>
      </c>
      <c r="B119" s="1">
        <v>280532</v>
      </c>
      <c r="C119" s="1" t="s">
        <v>1189</v>
      </c>
      <c r="D119" s="38" t="s">
        <v>1638</v>
      </c>
      <c r="E119" s="4">
        <v>30509</v>
      </c>
      <c r="F119" s="1">
        <v>42</v>
      </c>
      <c r="G119" s="1" t="s">
        <v>212</v>
      </c>
      <c r="H119" s="1" t="s">
        <v>1501</v>
      </c>
      <c r="I119" s="1" t="s">
        <v>1501</v>
      </c>
      <c r="J119" s="1">
        <v>8540</v>
      </c>
      <c r="K119" s="1" t="s">
        <v>78</v>
      </c>
      <c r="L119" s="1" t="s">
        <v>8</v>
      </c>
      <c r="M119" s="1" t="s">
        <v>13</v>
      </c>
      <c r="N119" s="1" t="s">
        <v>5</v>
      </c>
      <c r="O119" s="1" t="s">
        <v>216</v>
      </c>
      <c r="P119" s="1" t="s">
        <v>53</v>
      </c>
      <c r="Q119" s="1" t="s">
        <v>8</v>
      </c>
      <c r="R119" s="1" t="s">
        <v>11</v>
      </c>
      <c r="S119" s="1"/>
      <c r="T119" s="1"/>
      <c r="U119" s="1"/>
      <c r="V119" s="1" t="str">
        <f>IF(pilgrims[[#This Row],[packages.second_hotel_name]]="",pilgrims[[#This Row],[packages.first_hotel_name]],pilgrims[[#This Row],[packages.second_hotel_name]])</f>
        <v>Movenpick Anwar Almadinah Hotel</v>
      </c>
      <c r="W119" s="1" t="str">
        <f>IF(pilgrims[[#This Row],[packages.second_hotel_name]]="",pilgrims[[#This Row],[packages.first_hotel_check_in]],pilgrims[[#This Row],[packages.second_hotel_check_in]])</f>
        <v>2026-05-21</v>
      </c>
      <c r="X119" s="1" t="str">
        <f>IF(pilgrims[[#This Row],[packages.second_hotel_name]]="",pilgrims[[#This Row],[packages.first_hotel_check_out]],pilgrims[[#This Row],[packages.second_hotel_check_out]])</f>
        <v>2026-05-24</v>
      </c>
      <c r="Y119" s="1"/>
      <c r="Z119" s="1" t="s">
        <v>261</v>
      </c>
      <c r="AA119" s="1" t="s">
        <v>413</v>
      </c>
      <c r="AB119" s="1" t="s">
        <v>1342</v>
      </c>
      <c r="AC119" s="1" t="s">
        <v>414</v>
      </c>
      <c r="AD119" s="1" t="s">
        <v>1343</v>
      </c>
      <c r="AE119" s="1" t="s">
        <v>1281</v>
      </c>
      <c r="AF119" s="4">
        <v>46163</v>
      </c>
      <c r="AG119" s="5">
        <v>0.88888888888888884</v>
      </c>
      <c r="AH119" s="1" t="s">
        <v>1292</v>
      </c>
      <c r="AI119" s="1" t="s">
        <v>1280</v>
      </c>
      <c r="AJ119" s="4">
        <v>46173</v>
      </c>
      <c r="AK119" s="5">
        <v>2.7777777777777776E-2</v>
      </c>
      <c r="AL119" s="1" t="s">
        <v>215</v>
      </c>
      <c r="AM119" s="1"/>
    </row>
    <row r="120" spans="1:39" x14ac:dyDescent="0.3">
      <c r="A120" s="1">
        <v>454528</v>
      </c>
      <c r="B120" s="1">
        <v>356008</v>
      </c>
      <c r="C120" s="1" t="s">
        <v>1188</v>
      </c>
      <c r="D120" s="38" t="s">
        <v>1639</v>
      </c>
      <c r="E120" s="4">
        <v>30683</v>
      </c>
      <c r="F120" s="1">
        <v>42</v>
      </c>
      <c r="G120" s="1" t="s">
        <v>212</v>
      </c>
      <c r="H120" s="1" t="s">
        <v>1501</v>
      </c>
      <c r="I120" s="1" t="s">
        <v>1501</v>
      </c>
      <c r="J120" s="1">
        <v>8530</v>
      </c>
      <c r="K120" s="1" t="s">
        <v>83</v>
      </c>
      <c r="L120" s="1" t="s">
        <v>19</v>
      </c>
      <c r="M120" s="1" t="s">
        <v>13</v>
      </c>
      <c r="N120" s="1" t="s">
        <v>5</v>
      </c>
      <c r="O120" s="1" t="s">
        <v>216</v>
      </c>
      <c r="P120" s="1" t="s">
        <v>53</v>
      </c>
      <c r="Q120" s="1" t="s">
        <v>19</v>
      </c>
      <c r="R120" s="1" t="s">
        <v>8</v>
      </c>
      <c r="S120" s="1" t="s">
        <v>15</v>
      </c>
      <c r="T120" s="1" t="s">
        <v>53</v>
      </c>
      <c r="U120" s="1" t="s">
        <v>8</v>
      </c>
      <c r="V120" s="1" t="str">
        <f>IF(pilgrims[[#This Row],[packages.second_hotel_name]]="",pilgrims[[#This Row],[packages.first_hotel_name]],pilgrims[[#This Row],[packages.second_hotel_name]])</f>
        <v>Swissotel Al Maqam Makkah</v>
      </c>
      <c r="W120" s="1" t="str">
        <f>IF(pilgrims[[#This Row],[packages.second_hotel_name]]="",pilgrims[[#This Row],[packages.first_hotel_check_in]],pilgrims[[#This Row],[packages.second_hotel_check_in]])</f>
        <v>2026-05-21</v>
      </c>
      <c r="X120" s="1" t="str">
        <f>IF(pilgrims[[#This Row],[packages.second_hotel_name]]="",pilgrims[[#This Row],[packages.first_hotel_check_out]],pilgrims[[#This Row],[packages.second_hotel_check_out]])</f>
        <v>2026-05-25</v>
      </c>
      <c r="Y120" s="1" t="s">
        <v>16</v>
      </c>
      <c r="Z120" s="1" t="s">
        <v>214</v>
      </c>
      <c r="AA120" s="1" t="s">
        <v>1193</v>
      </c>
      <c r="AB120" s="1" t="s">
        <v>1193</v>
      </c>
      <c r="AC120" s="1" t="s">
        <v>212</v>
      </c>
      <c r="AD120" s="1" t="s">
        <v>134</v>
      </c>
      <c r="AE120" s="1" t="s">
        <v>1281</v>
      </c>
      <c r="AF120" s="4">
        <v>46160</v>
      </c>
      <c r="AG120" s="5">
        <v>0.73958333333333337</v>
      </c>
      <c r="AH120" s="1" t="s">
        <v>63</v>
      </c>
      <c r="AI120" s="1" t="s">
        <v>1280</v>
      </c>
      <c r="AJ120" s="4">
        <v>46172</v>
      </c>
      <c r="AK120" s="5">
        <v>0.35069444444444442</v>
      </c>
      <c r="AL120" s="1" t="s">
        <v>215</v>
      </c>
      <c r="AM120" s="1"/>
    </row>
    <row r="121" spans="1:39" x14ac:dyDescent="0.3">
      <c r="A121" s="1">
        <v>220723</v>
      </c>
      <c r="B121" s="1">
        <v>169492</v>
      </c>
      <c r="C121" s="1" t="s">
        <v>1188</v>
      </c>
      <c r="D121" s="38" t="s">
        <v>1640</v>
      </c>
      <c r="E121" s="4">
        <v>30152</v>
      </c>
      <c r="F121" s="1">
        <v>43</v>
      </c>
      <c r="G121" s="1" t="s">
        <v>212</v>
      </c>
      <c r="H121" s="1" t="s">
        <v>1506</v>
      </c>
      <c r="I121" s="1" t="s">
        <v>1506</v>
      </c>
      <c r="J121" s="1">
        <v>8529</v>
      </c>
      <c r="K121" s="1" t="s">
        <v>82</v>
      </c>
      <c r="L121" s="1" t="s">
        <v>19</v>
      </c>
      <c r="M121" s="1" t="s">
        <v>13</v>
      </c>
      <c r="N121" s="1" t="s">
        <v>20</v>
      </c>
      <c r="O121" s="1" t="s">
        <v>216</v>
      </c>
      <c r="P121" s="1" t="s">
        <v>53</v>
      </c>
      <c r="Q121" s="1" t="s">
        <v>19</v>
      </c>
      <c r="R121" s="1" t="s">
        <v>8</v>
      </c>
      <c r="S121" s="1" t="s">
        <v>21</v>
      </c>
      <c r="T121" s="1" t="s">
        <v>53</v>
      </c>
      <c r="U121" s="1" t="s">
        <v>8</v>
      </c>
      <c r="V121" s="1" t="str">
        <f>IF(pilgrims[[#This Row],[packages.second_hotel_name]]="",pilgrims[[#This Row],[packages.first_hotel_name]],pilgrims[[#This Row],[packages.second_hotel_name]])</f>
        <v>Swissotel Makkah Hotel</v>
      </c>
      <c r="W121" s="1" t="str">
        <f>IF(pilgrims[[#This Row],[packages.second_hotel_name]]="",pilgrims[[#This Row],[packages.first_hotel_check_in]],pilgrims[[#This Row],[packages.second_hotel_check_in]])</f>
        <v>2026-05-21</v>
      </c>
      <c r="X121" s="1" t="str">
        <f>IF(pilgrims[[#This Row],[packages.second_hotel_name]]="",pilgrims[[#This Row],[packages.first_hotel_check_out]],pilgrims[[#This Row],[packages.second_hotel_check_out]])</f>
        <v>2026-05-25</v>
      </c>
      <c r="Y121" s="1" t="s">
        <v>16</v>
      </c>
      <c r="Z121" s="1" t="s">
        <v>261</v>
      </c>
      <c r="AA121" s="1" t="s">
        <v>419</v>
      </c>
      <c r="AB121" s="1" t="s">
        <v>1401</v>
      </c>
      <c r="AC121" s="1" t="s">
        <v>420</v>
      </c>
      <c r="AD121" s="1" t="s">
        <v>1402</v>
      </c>
      <c r="AE121" s="1" t="s">
        <v>1280</v>
      </c>
      <c r="AF121" s="4">
        <v>46160</v>
      </c>
      <c r="AG121" s="5">
        <v>0.81944444444444442</v>
      </c>
      <c r="AH121" s="1" t="s">
        <v>1403</v>
      </c>
      <c r="AI121" s="1" t="s">
        <v>1280</v>
      </c>
      <c r="AJ121" s="4">
        <v>46173</v>
      </c>
      <c r="AK121" s="5">
        <v>0.57986111111111116</v>
      </c>
      <c r="AL121" s="1" t="s">
        <v>215</v>
      </c>
      <c r="AM121" s="1"/>
    </row>
    <row r="122" spans="1:39" x14ac:dyDescent="0.3">
      <c r="A122" s="1">
        <v>454596</v>
      </c>
      <c r="B122" s="1">
        <v>356008</v>
      </c>
      <c r="C122" s="1" t="s">
        <v>1189</v>
      </c>
      <c r="D122" s="38" t="s">
        <v>1641</v>
      </c>
      <c r="E122" s="4">
        <v>30764</v>
      </c>
      <c r="F122" s="1">
        <v>41</v>
      </c>
      <c r="G122" s="1" t="s">
        <v>212</v>
      </c>
      <c r="H122" s="1" t="s">
        <v>1501</v>
      </c>
      <c r="I122" s="1" t="s">
        <v>1501</v>
      </c>
      <c r="J122" s="1">
        <v>8530</v>
      </c>
      <c r="K122" s="1" t="s">
        <v>83</v>
      </c>
      <c r="L122" s="1" t="s">
        <v>19</v>
      </c>
      <c r="M122" s="1" t="s">
        <v>13</v>
      </c>
      <c r="N122" s="1" t="s">
        <v>5</v>
      </c>
      <c r="O122" s="1" t="s">
        <v>216</v>
      </c>
      <c r="P122" s="1" t="s">
        <v>53</v>
      </c>
      <c r="Q122" s="1" t="s">
        <v>19</v>
      </c>
      <c r="R122" s="1" t="s">
        <v>8</v>
      </c>
      <c r="S122" s="1" t="s">
        <v>15</v>
      </c>
      <c r="T122" s="1" t="s">
        <v>53</v>
      </c>
      <c r="U122" s="1" t="s">
        <v>8</v>
      </c>
      <c r="V122" s="1" t="str">
        <f>IF(pilgrims[[#This Row],[packages.second_hotel_name]]="",pilgrims[[#This Row],[packages.first_hotel_name]],pilgrims[[#This Row],[packages.second_hotel_name]])</f>
        <v>Swissotel Al Maqam Makkah</v>
      </c>
      <c r="W122" s="1" t="str">
        <f>IF(pilgrims[[#This Row],[packages.second_hotel_name]]="",pilgrims[[#This Row],[packages.first_hotel_check_in]],pilgrims[[#This Row],[packages.second_hotel_check_in]])</f>
        <v>2026-05-21</v>
      </c>
      <c r="X122" s="1" t="str">
        <f>IF(pilgrims[[#This Row],[packages.second_hotel_name]]="",pilgrims[[#This Row],[packages.first_hotel_check_out]],pilgrims[[#This Row],[packages.second_hotel_check_out]])</f>
        <v>2026-05-25</v>
      </c>
      <c r="Y122" s="1" t="s">
        <v>16</v>
      </c>
      <c r="Z122" s="1" t="s">
        <v>214</v>
      </c>
      <c r="AA122" s="1" t="s">
        <v>1193</v>
      </c>
      <c r="AB122" s="1" t="s">
        <v>1193</v>
      </c>
      <c r="AC122" s="1" t="s">
        <v>212</v>
      </c>
      <c r="AD122" s="1" t="s">
        <v>134</v>
      </c>
      <c r="AE122" s="1" t="s">
        <v>1281</v>
      </c>
      <c r="AF122" s="4">
        <v>46160</v>
      </c>
      <c r="AG122" s="5">
        <v>0.73958333333333337</v>
      </c>
      <c r="AH122" s="1" t="s">
        <v>63</v>
      </c>
      <c r="AI122" s="1" t="s">
        <v>1280</v>
      </c>
      <c r="AJ122" s="4">
        <v>46172</v>
      </c>
      <c r="AK122" s="5">
        <v>0.35069444444444442</v>
      </c>
      <c r="AL122" s="1" t="s">
        <v>215</v>
      </c>
      <c r="AM122" s="1"/>
    </row>
    <row r="123" spans="1:39" x14ac:dyDescent="0.3">
      <c r="A123" s="1">
        <v>690848</v>
      </c>
      <c r="B123" s="1">
        <v>169492</v>
      </c>
      <c r="C123" s="1" t="s">
        <v>1189</v>
      </c>
      <c r="D123" s="38" t="s">
        <v>1642</v>
      </c>
      <c r="E123" s="4">
        <v>30448</v>
      </c>
      <c r="F123" s="1">
        <v>42</v>
      </c>
      <c r="G123" s="1" t="s">
        <v>212</v>
      </c>
      <c r="H123" s="1" t="s">
        <v>1506</v>
      </c>
      <c r="I123" s="1" t="s">
        <v>1506</v>
      </c>
      <c r="J123" s="1">
        <v>8529</v>
      </c>
      <c r="K123" s="1" t="s">
        <v>82</v>
      </c>
      <c r="L123" s="1" t="s">
        <v>19</v>
      </c>
      <c r="M123" s="1" t="s">
        <v>13</v>
      </c>
      <c r="N123" s="1" t="s">
        <v>20</v>
      </c>
      <c r="O123" s="1" t="s">
        <v>216</v>
      </c>
      <c r="P123" s="1" t="s">
        <v>53</v>
      </c>
      <c r="Q123" s="1" t="s">
        <v>19</v>
      </c>
      <c r="R123" s="1" t="s">
        <v>8</v>
      </c>
      <c r="S123" s="1" t="s">
        <v>21</v>
      </c>
      <c r="T123" s="1" t="s">
        <v>53</v>
      </c>
      <c r="U123" s="1" t="s">
        <v>8</v>
      </c>
      <c r="V123" s="1" t="str">
        <f>IF(pilgrims[[#This Row],[packages.second_hotel_name]]="",pilgrims[[#This Row],[packages.first_hotel_name]],pilgrims[[#This Row],[packages.second_hotel_name]])</f>
        <v>Swissotel Makkah Hotel</v>
      </c>
      <c r="W123" s="1" t="str">
        <f>IF(pilgrims[[#This Row],[packages.second_hotel_name]]="",pilgrims[[#This Row],[packages.first_hotel_check_in]],pilgrims[[#This Row],[packages.second_hotel_check_in]])</f>
        <v>2026-05-21</v>
      </c>
      <c r="X123" s="1" t="str">
        <f>IF(pilgrims[[#This Row],[packages.second_hotel_name]]="",pilgrims[[#This Row],[packages.first_hotel_check_out]],pilgrims[[#This Row],[packages.second_hotel_check_out]])</f>
        <v>2026-05-25</v>
      </c>
      <c r="Y123" s="1" t="s">
        <v>16</v>
      </c>
      <c r="Z123" s="1" t="s">
        <v>261</v>
      </c>
      <c r="AA123" s="1" t="s">
        <v>419</v>
      </c>
      <c r="AB123" s="1" t="s">
        <v>1401</v>
      </c>
      <c r="AC123" s="1" t="s">
        <v>420</v>
      </c>
      <c r="AD123" s="1" t="s">
        <v>1402</v>
      </c>
      <c r="AE123" s="1" t="s">
        <v>1280</v>
      </c>
      <c r="AF123" s="4">
        <v>46160</v>
      </c>
      <c r="AG123" s="5">
        <v>0.81944444444444442</v>
      </c>
      <c r="AH123" s="1" t="s">
        <v>1403</v>
      </c>
      <c r="AI123" s="1" t="s">
        <v>1280</v>
      </c>
      <c r="AJ123" s="4">
        <v>46173</v>
      </c>
      <c r="AK123" s="5">
        <v>0.57986111111111116</v>
      </c>
      <c r="AL123" s="1" t="s">
        <v>215</v>
      </c>
      <c r="AM123" s="1"/>
    </row>
    <row r="124" spans="1:39" x14ac:dyDescent="0.3">
      <c r="A124" s="1">
        <v>704176</v>
      </c>
      <c r="B124" s="1">
        <v>571857</v>
      </c>
      <c r="C124" s="1" t="s">
        <v>1189</v>
      </c>
      <c r="D124" s="38" t="s">
        <v>1643</v>
      </c>
      <c r="E124" s="4">
        <v>26713</v>
      </c>
      <c r="F124" s="1">
        <v>53</v>
      </c>
      <c r="G124" s="1" t="s">
        <v>212</v>
      </c>
      <c r="H124" s="1" t="s">
        <v>1502</v>
      </c>
      <c r="I124" s="1" t="s">
        <v>1502</v>
      </c>
      <c r="J124" s="1">
        <v>8530</v>
      </c>
      <c r="K124" s="1" t="s">
        <v>83</v>
      </c>
      <c r="L124" s="1" t="s">
        <v>19</v>
      </c>
      <c r="M124" s="1" t="s">
        <v>13</v>
      </c>
      <c r="N124" s="1" t="s">
        <v>5</v>
      </c>
      <c r="O124" s="1" t="s">
        <v>216</v>
      </c>
      <c r="P124" s="1" t="s">
        <v>53</v>
      </c>
      <c r="Q124" s="1" t="s">
        <v>19</v>
      </c>
      <c r="R124" s="1" t="s">
        <v>8</v>
      </c>
      <c r="S124" s="1" t="s">
        <v>15</v>
      </c>
      <c r="T124" s="1" t="s">
        <v>53</v>
      </c>
      <c r="U124" s="1" t="s">
        <v>8</v>
      </c>
      <c r="V124" s="1" t="str">
        <f>IF(pilgrims[[#This Row],[packages.second_hotel_name]]="",pilgrims[[#This Row],[packages.first_hotel_name]],pilgrims[[#This Row],[packages.second_hotel_name]])</f>
        <v>Swissotel Al Maqam Makkah</v>
      </c>
      <c r="W124" s="1" t="str">
        <f>IF(pilgrims[[#This Row],[packages.second_hotel_name]]="",pilgrims[[#This Row],[packages.first_hotel_check_in]],pilgrims[[#This Row],[packages.second_hotel_check_in]])</f>
        <v>2026-05-21</v>
      </c>
      <c r="X124" s="1" t="str">
        <f>IF(pilgrims[[#This Row],[packages.second_hotel_name]]="",pilgrims[[#This Row],[packages.first_hotel_check_out]],pilgrims[[#This Row],[packages.second_hotel_check_out]])</f>
        <v>2026-05-25</v>
      </c>
      <c r="Y124" s="1" t="s">
        <v>16</v>
      </c>
      <c r="Z124" s="1" t="s">
        <v>214</v>
      </c>
      <c r="AA124" s="1" t="s">
        <v>1209</v>
      </c>
      <c r="AB124" s="1" t="s">
        <v>1209</v>
      </c>
      <c r="AC124" s="1" t="s">
        <v>212</v>
      </c>
      <c r="AD124" s="1" t="s">
        <v>134</v>
      </c>
      <c r="AE124" s="1" t="s">
        <v>1281</v>
      </c>
      <c r="AF124" s="4">
        <v>46160</v>
      </c>
      <c r="AG124" s="5">
        <v>0.73958333333333337</v>
      </c>
      <c r="AH124" s="1" t="s">
        <v>68</v>
      </c>
      <c r="AI124" s="1" t="s">
        <v>1280</v>
      </c>
      <c r="AJ124" s="4">
        <v>46172</v>
      </c>
      <c r="AK124" s="5">
        <v>0.38541666666666669</v>
      </c>
      <c r="AL124" s="1" t="s">
        <v>215</v>
      </c>
      <c r="AM124" s="1"/>
    </row>
    <row r="125" spans="1:39" x14ac:dyDescent="0.3">
      <c r="A125" s="1">
        <v>705685</v>
      </c>
      <c r="B125" s="1">
        <v>571857</v>
      </c>
      <c r="C125" s="1" t="s">
        <v>1188</v>
      </c>
      <c r="D125" s="38" t="s">
        <v>1644</v>
      </c>
      <c r="E125" s="4">
        <v>25740</v>
      </c>
      <c r="F125" s="1">
        <v>55</v>
      </c>
      <c r="G125" s="1" t="s">
        <v>212</v>
      </c>
      <c r="H125" s="1" t="s">
        <v>1502</v>
      </c>
      <c r="I125" s="1" t="s">
        <v>1502</v>
      </c>
      <c r="J125" s="1">
        <v>8530</v>
      </c>
      <c r="K125" s="1" t="s">
        <v>83</v>
      </c>
      <c r="L125" s="1" t="s">
        <v>19</v>
      </c>
      <c r="M125" s="1" t="s">
        <v>13</v>
      </c>
      <c r="N125" s="1" t="s">
        <v>5</v>
      </c>
      <c r="O125" s="1" t="s">
        <v>216</v>
      </c>
      <c r="P125" s="1" t="s">
        <v>53</v>
      </c>
      <c r="Q125" s="1" t="s">
        <v>19</v>
      </c>
      <c r="R125" s="1" t="s">
        <v>8</v>
      </c>
      <c r="S125" s="1" t="s">
        <v>15</v>
      </c>
      <c r="T125" s="1" t="s">
        <v>53</v>
      </c>
      <c r="U125" s="1" t="s">
        <v>8</v>
      </c>
      <c r="V125" s="1" t="str">
        <f>IF(pilgrims[[#This Row],[packages.second_hotel_name]]="",pilgrims[[#This Row],[packages.first_hotel_name]],pilgrims[[#This Row],[packages.second_hotel_name]])</f>
        <v>Swissotel Al Maqam Makkah</v>
      </c>
      <c r="W125" s="1" t="str">
        <f>IF(pilgrims[[#This Row],[packages.second_hotel_name]]="",pilgrims[[#This Row],[packages.first_hotel_check_in]],pilgrims[[#This Row],[packages.second_hotel_check_in]])</f>
        <v>2026-05-21</v>
      </c>
      <c r="X125" s="1" t="str">
        <f>IF(pilgrims[[#This Row],[packages.second_hotel_name]]="",pilgrims[[#This Row],[packages.first_hotel_check_out]],pilgrims[[#This Row],[packages.second_hotel_check_out]])</f>
        <v>2026-05-25</v>
      </c>
      <c r="Y125" s="1" t="s">
        <v>16</v>
      </c>
      <c r="Z125" s="1" t="s">
        <v>214</v>
      </c>
      <c r="AA125" s="1" t="s">
        <v>1209</v>
      </c>
      <c r="AB125" s="1" t="s">
        <v>1209</v>
      </c>
      <c r="AC125" s="1" t="s">
        <v>212</v>
      </c>
      <c r="AD125" s="1" t="s">
        <v>134</v>
      </c>
      <c r="AE125" s="1" t="s">
        <v>1281</v>
      </c>
      <c r="AF125" s="4">
        <v>46160</v>
      </c>
      <c r="AG125" s="5">
        <v>0.73958333333333337</v>
      </c>
      <c r="AH125" s="1" t="s">
        <v>68</v>
      </c>
      <c r="AI125" s="1" t="s">
        <v>1280</v>
      </c>
      <c r="AJ125" s="4">
        <v>46172</v>
      </c>
      <c r="AK125" s="5">
        <v>0.38541666666666669</v>
      </c>
      <c r="AL125" s="1" t="s">
        <v>215</v>
      </c>
      <c r="AM125" s="1"/>
    </row>
    <row r="126" spans="1:39" x14ac:dyDescent="0.3">
      <c r="A126" s="1">
        <v>93892</v>
      </c>
      <c r="B126" s="1">
        <v>75167</v>
      </c>
      <c r="C126" s="1" t="s">
        <v>1189</v>
      </c>
      <c r="D126" s="38" t="s">
        <v>1645</v>
      </c>
      <c r="E126" s="4">
        <v>30355</v>
      </c>
      <c r="F126" s="1">
        <v>43</v>
      </c>
      <c r="G126" s="1" t="s">
        <v>212</v>
      </c>
      <c r="H126" s="1" t="s">
        <v>1501</v>
      </c>
      <c r="I126" s="1" t="s">
        <v>1514</v>
      </c>
      <c r="J126" s="1">
        <v>8525</v>
      </c>
      <c r="K126" s="1" t="s">
        <v>77</v>
      </c>
      <c r="L126" s="1" t="s">
        <v>19</v>
      </c>
      <c r="M126" s="1" t="s">
        <v>13</v>
      </c>
      <c r="N126" s="1" t="s">
        <v>10</v>
      </c>
      <c r="O126" s="1" t="s">
        <v>216</v>
      </c>
      <c r="P126" s="1" t="s">
        <v>52</v>
      </c>
      <c r="Q126" s="1" t="s">
        <v>19</v>
      </c>
      <c r="R126" s="1" t="s">
        <v>8</v>
      </c>
      <c r="S126" s="1" t="s">
        <v>12</v>
      </c>
      <c r="T126" s="1" t="s">
        <v>53</v>
      </c>
      <c r="U126" s="1" t="s">
        <v>8</v>
      </c>
      <c r="V126" s="1" t="str">
        <f>IF(pilgrims[[#This Row],[packages.second_hotel_name]]="",pilgrims[[#This Row],[packages.first_hotel_name]],pilgrims[[#This Row],[packages.second_hotel_name]])</f>
        <v>Makkah Clock Royal Tower A Fairmont Hotel</v>
      </c>
      <c r="W126" s="1" t="str">
        <f>IF(pilgrims[[#This Row],[packages.second_hotel_name]]="",pilgrims[[#This Row],[packages.first_hotel_check_in]],pilgrims[[#This Row],[packages.second_hotel_check_in]])</f>
        <v>2026-05-21</v>
      </c>
      <c r="X126" s="1" t="str">
        <f>IF(pilgrims[[#This Row],[packages.second_hotel_name]]="",pilgrims[[#This Row],[packages.first_hotel_check_out]],pilgrims[[#This Row],[packages.second_hotel_check_out]])</f>
        <v>2026-05-24</v>
      </c>
      <c r="Y126" s="1" t="s">
        <v>11</v>
      </c>
      <c r="Z126" s="1" t="s">
        <v>214</v>
      </c>
      <c r="AA126" s="1" t="s">
        <v>1190</v>
      </c>
      <c r="AB126" s="1" t="s">
        <v>1190</v>
      </c>
      <c r="AC126" s="1" t="s">
        <v>212</v>
      </c>
      <c r="AD126" s="1" t="s">
        <v>133</v>
      </c>
      <c r="AE126" s="1" t="s">
        <v>1281</v>
      </c>
      <c r="AF126" s="4">
        <v>46160</v>
      </c>
      <c r="AG126" s="5">
        <v>0.3923611111111111</v>
      </c>
      <c r="AH126" s="1" t="s">
        <v>60</v>
      </c>
      <c r="AI126" s="1" t="s">
        <v>1280</v>
      </c>
      <c r="AJ126" s="4">
        <v>46173</v>
      </c>
      <c r="AK126" s="5">
        <v>0.12847222222222221</v>
      </c>
      <c r="AL126" s="1" t="s">
        <v>215</v>
      </c>
      <c r="AM126" s="1" t="b">
        <v>1</v>
      </c>
    </row>
    <row r="127" spans="1:39" x14ac:dyDescent="0.3">
      <c r="A127" s="1">
        <v>165900</v>
      </c>
      <c r="B127" s="1">
        <v>126985</v>
      </c>
      <c r="C127" s="1" t="s">
        <v>1189</v>
      </c>
      <c r="D127" s="38" t="s">
        <v>1646</v>
      </c>
      <c r="E127" s="4">
        <v>25448</v>
      </c>
      <c r="F127" s="1">
        <v>56</v>
      </c>
      <c r="G127" s="1" t="s">
        <v>212</v>
      </c>
      <c r="H127" s="1" t="s">
        <v>1501</v>
      </c>
      <c r="I127" s="1" t="s">
        <v>1501</v>
      </c>
      <c r="J127" s="1">
        <v>8531</v>
      </c>
      <c r="K127" s="1" t="s">
        <v>84</v>
      </c>
      <c r="L127" s="1" t="s">
        <v>8</v>
      </c>
      <c r="M127" s="1" t="s">
        <v>9</v>
      </c>
      <c r="N127" s="1" t="s">
        <v>20</v>
      </c>
      <c r="O127" s="1" t="s">
        <v>216</v>
      </c>
      <c r="P127" s="1" t="s">
        <v>53</v>
      </c>
      <c r="Q127" s="1" t="s">
        <v>8</v>
      </c>
      <c r="R127" s="1" t="s">
        <v>11</v>
      </c>
      <c r="S127" s="1" t="s">
        <v>12</v>
      </c>
      <c r="T127" s="1" t="s">
        <v>53</v>
      </c>
      <c r="U127" s="1" t="s">
        <v>13</v>
      </c>
      <c r="V127" s="1" t="str">
        <f>IF(pilgrims[[#This Row],[packages.second_hotel_name]]="",pilgrims[[#This Row],[packages.first_hotel_name]],pilgrims[[#This Row],[packages.second_hotel_name]])</f>
        <v>Makkah Clock Royal Tower A Fairmont Hotel</v>
      </c>
      <c r="W127" s="1" t="str">
        <f>IF(pilgrims[[#This Row],[packages.second_hotel_name]]="",pilgrims[[#This Row],[packages.first_hotel_check_in]],pilgrims[[#This Row],[packages.second_hotel_check_in]])</f>
        <v>2026-05-31</v>
      </c>
      <c r="X127" s="1" t="str">
        <f>IF(pilgrims[[#This Row],[packages.second_hotel_name]]="",pilgrims[[#This Row],[packages.first_hotel_check_out]],pilgrims[[#This Row],[packages.second_hotel_check_out]])</f>
        <v>2026-06-06</v>
      </c>
      <c r="Y127" s="1" t="s">
        <v>9</v>
      </c>
      <c r="Z127" s="1" t="s">
        <v>214</v>
      </c>
      <c r="AA127" s="1" t="s">
        <v>1201</v>
      </c>
      <c r="AB127" s="1" t="s">
        <v>1201</v>
      </c>
      <c r="AC127" s="1" t="s">
        <v>212</v>
      </c>
      <c r="AD127" s="1" t="s">
        <v>69</v>
      </c>
      <c r="AE127" s="1" t="s">
        <v>1280</v>
      </c>
      <c r="AF127" s="4">
        <v>46164</v>
      </c>
      <c r="AG127" s="5">
        <v>0.93055555555555558</v>
      </c>
      <c r="AH127" s="1" t="s">
        <v>73</v>
      </c>
      <c r="AI127" s="1" t="s">
        <v>1281</v>
      </c>
      <c r="AJ127" s="4">
        <v>46177</v>
      </c>
      <c r="AK127" s="5">
        <v>0.14930555555555555</v>
      </c>
      <c r="AL127" s="1" t="s">
        <v>215</v>
      </c>
      <c r="AM127" s="1"/>
    </row>
    <row r="128" spans="1:39" x14ac:dyDescent="0.3">
      <c r="A128" s="1">
        <v>608955</v>
      </c>
      <c r="B128" s="1">
        <v>491067</v>
      </c>
      <c r="C128" s="1" t="s">
        <v>1189</v>
      </c>
      <c r="D128" s="38" t="s">
        <v>1647</v>
      </c>
      <c r="E128" s="4">
        <v>24522</v>
      </c>
      <c r="F128" s="1">
        <v>59</v>
      </c>
      <c r="G128" s="1" t="s">
        <v>212</v>
      </c>
      <c r="H128" s="1" t="s">
        <v>1501</v>
      </c>
      <c r="I128" s="1" t="s">
        <v>1501</v>
      </c>
      <c r="J128" s="1">
        <v>8535</v>
      </c>
      <c r="K128" s="1" t="s">
        <v>86</v>
      </c>
      <c r="L128" s="1" t="s">
        <v>8</v>
      </c>
      <c r="M128" s="1" t="s">
        <v>4</v>
      </c>
      <c r="N128" s="1" t="s">
        <v>12</v>
      </c>
      <c r="O128" s="1" t="s">
        <v>216</v>
      </c>
      <c r="P128" s="1" t="s">
        <v>53</v>
      </c>
      <c r="Q128" s="1" t="s">
        <v>8</v>
      </c>
      <c r="R128" s="1" t="s">
        <v>11</v>
      </c>
      <c r="S128" s="1" t="s">
        <v>20</v>
      </c>
      <c r="T128" s="1" t="s">
        <v>53</v>
      </c>
      <c r="U128" s="1" t="s">
        <v>6</v>
      </c>
      <c r="V128" s="1" t="str">
        <f>IF(pilgrims[[#This Row],[packages.second_hotel_name]]="",pilgrims[[#This Row],[packages.first_hotel_name]],pilgrims[[#This Row],[packages.second_hotel_name]])</f>
        <v>Daral Taqwa Hotel</v>
      </c>
      <c r="W128" s="1" t="str">
        <f>IF(pilgrims[[#This Row],[packages.second_hotel_name]]="",pilgrims[[#This Row],[packages.first_hotel_check_in]],pilgrims[[#This Row],[packages.second_hotel_check_in]])</f>
        <v>2026-05-30</v>
      </c>
      <c r="X128" s="1" t="str">
        <f>IF(pilgrims[[#This Row],[packages.second_hotel_name]]="",pilgrims[[#This Row],[packages.first_hotel_check_out]],pilgrims[[#This Row],[packages.second_hotel_check_out]])</f>
        <v>2026-06-02</v>
      </c>
      <c r="Y128" s="1" t="s">
        <v>4</v>
      </c>
      <c r="Z128" s="1" t="s">
        <v>214</v>
      </c>
      <c r="AA128" s="1" t="s">
        <v>1196</v>
      </c>
      <c r="AB128" s="1" t="s">
        <v>1196</v>
      </c>
      <c r="AC128" s="1" t="s">
        <v>212</v>
      </c>
      <c r="AD128" s="1" t="s">
        <v>61</v>
      </c>
      <c r="AE128" s="1" t="s">
        <v>1280</v>
      </c>
      <c r="AF128" s="4">
        <v>46164</v>
      </c>
      <c r="AG128" s="5">
        <v>0.57986111111111116</v>
      </c>
      <c r="AH128" s="1" t="s">
        <v>72</v>
      </c>
      <c r="AI128" s="1" t="s">
        <v>1281</v>
      </c>
      <c r="AJ128" s="4">
        <v>46172</v>
      </c>
      <c r="AK128" s="5">
        <v>0.25347222222222221</v>
      </c>
      <c r="AL128" s="1" t="s">
        <v>215</v>
      </c>
      <c r="AM128" s="1"/>
    </row>
    <row r="129" spans="1:39" x14ac:dyDescent="0.3">
      <c r="A129" s="1">
        <v>24287</v>
      </c>
      <c r="B129" s="1">
        <v>21992</v>
      </c>
      <c r="C129" s="1" t="s">
        <v>1188</v>
      </c>
      <c r="D129" s="38" t="s">
        <v>1648</v>
      </c>
      <c r="E129" s="4">
        <v>22427</v>
      </c>
      <c r="F129" s="1">
        <v>64</v>
      </c>
      <c r="G129" s="1" t="s">
        <v>212</v>
      </c>
      <c r="H129" s="1" t="s">
        <v>1501</v>
      </c>
      <c r="I129" s="1" t="s">
        <v>1501</v>
      </c>
      <c r="J129" s="1">
        <v>8529</v>
      </c>
      <c r="K129" s="1" t="s">
        <v>82</v>
      </c>
      <c r="L129" s="1" t="s">
        <v>19</v>
      </c>
      <c r="M129" s="1" t="s">
        <v>13</v>
      </c>
      <c r="N129" s="1" t="s">
        <v>20</v>
      </c>
      <c r="O129" s="1" t="s">
        <v>216</v>
      </c>
      <c r="P129" s="1" t="s">
        <v>53</v>
      </c>
      <c r="Q129" s="1" t="s">
        <v>19</v>
      </c>
      <c r="R129" s="1" t="s">
        <v>8</v>
      </c>
      <c r="S129" s="1" t="s">
        <v>21</v>
      </c>
      <c r="T129" s="1" t="s">
        <v>53</v>
      </c>
      <c r="U129" s="1" t="s">
        <v>8</v>
      </c>
      <c r="V129" s="1" t="str">
        <f>IF(pilgrims[[#This Row],[packages.second_hotel_name]]="",pilgrims[[#This Row],[packages.first_hotel_name]],pilgrims[[#This Row],[packages.second_hotel_name]])</f>
        <v>Swissotel Makkah Hotel</v>
      </c>
      <c r="W129" s="1" t="str">
        <f>IF(pilgrims[[#This Row],[packages.second_hotel_name]]="",pilgrims[[#This Row],[packages.first_hotel_check_in]],pilgrims[[#This Row],[packages.second_hotel_check_in]])</f>
        <v>2026-05-21</v>
      </c>
      <c r="X129" s="1" t="str">
        <f>IF(pilgrims[[#This Row],[packages.second_hotel_name]]="",pilgrims[[#This Row],[packages.first_hotel_check_out]],pilgrims[[#This Row],[packages.second_hotel_check_out]])</f>
        <v>2026-05-25</v>
      </c>
      <c r="Y129" s="1" t="s">
        <v>16</v>
      </c>
      <c r="Z129" s="1" t="s">
        <v>214</v>
      </c>
      <c r="AA129" s="1" t="s">
        <v>1194</v>
      </c>
      <c r="AB129" s="1" t="s">
        <v>1194</v>
      </c>
      <c r="AC129" s="1" t="s">
        <v>212</v>
      </c>
      <c r="AD129" s="1" t="s">
        <v>137</v>
      </c>
      <c r="AE129" s="1" t="s">
        <v>1281</v>
      </c>
      <c r="AF129" s="4">
        <v>46161</v>
      </c>
      <c r="AG129" s="5">
        <v>0.87847222222222221</v>
      </c>
      <c r="AH129" s="1" t="s">
        <v>63</v>
      </c>
      <c r="AI129" s="1" t="s">
        <v>1280</v>
      </c>
      <c r="AJ129" s="4">
        <v>46173</v>
      </c>
      <c r="AK129" s="5">
        <v>0.3923611111111111</v>
      </c>
      <c r="AL129" s="1" t="s">
        <v>215</v>
      </c>
      <c r="AM129" s="1"/>
    </row>
    <row r="130" spans="1:39" x14ac:dyDescent="0.3">
      <c r="A130" s="1">
        <v>549432</v>
      </c>
      <c r="B130" s="1">
        <v>440202</v>
      </c>
      <c r="C130" s="1" t="s">
        <v>1188</v>
      </c>
      <c r="D130" s="38" t="s">
        <v>1649</v>
      </c>
      <c r="E130" s="4">
        <v>30534</v>
      </c>
      <c r="F130" s="1">
        <v>42</v>
      </c>
      <c r="G130" s="1" t="s">
        <v>212</v>
      </c>
      <c r="H130" s="1" t="s">
        <v>1501</v>
      </c>
      <c r="I130" s="1" t="s">
        <v>1501</v>
      </c>
      <c r="J130" s="1">
        <v>8540</v>
      </c>
      <c r="K130" s="1" t="s">
        <v>78</v>
      </c>
      <c r="L130" s="1" t="s">
        <v>8</v>
      </c>
      <c r="M130" s="1" t="s">
        <v>13</v>
      </c>
      <c r="N130" s="1" t="s">
        <v>5</v>
      </c>
      <c r="O130" s="1" t="s">
        <v>216</v>
      </c>
      <c r="P130" s="1" t="s">
        <v>53</v>
      </c>
      <c r="Q130" s="1" t="s">
        <v>8</v>
      </c>
      <c r="R130" s="1" t="s">
        <v>11</v>
      </c>
      <c r="S130" s="1"/>
      <c r="T130" s="1"/>
      <c r="U130" s="1"/>
      <c r="V130" s="1" t="str">
        <f>IF(pilgrims[[#This Row],[packages.second_hotel_name]]="",pilgrims[[#This Row],[packages.first_hotel_name]],pilgrims[[#This Row],[packages.second_hotel_name]])</f>
        <v>Movenpick Anwar Almadinah Hotel</v>
      </c>
      <c r="W130" s="1" t="str">
        <f>IF(pilgrims[[#This Row],[packages.second_hotel_name]]="",pilgrims[[#This Row],[packages.first_hotel_check_in]],pilgrims[[#This Row],[packages.second_hotel_check_in]])</f>
        <v>2026-05-21</v>
      </c>
      <c r="X130" s="1" t="str">
        <f>IF(pilgrims[[#This Row],[packages.second_hotel_name]]="",pilgrims[[#This Row],[packages.first_hotel_check_out]],pilgrims[[#This Row],[packages.second_hotel_check_out]])</f>
        <v>2026-05-24</v>
      </c>
      <c r="Y130" s="1"/>
      <c r="Z130" s="1" t="s">
        <v>261</v>
      </c>
      <c r="AA130" s="1" t="s">
        <v>433</v>
      </c>
      <c r="AB130" s="1" t="s">
        <v>1299</v>
      </c>
      <c r="AC130" s="1" t="s">
        <v>434</v>
      </c>
      <c r="AD130" s="1" t="s">
        <v>1300</v>
      </c>
      <c r="AE130" s="1" t="s">
        <v>1281</v>
      </c>
      <c r="AF130" s="4">
        <v>46163</v>
      </c>
      <c r="AG130" s="5">
        <v>0.35416666666666669</v>
      </c>
      <c r="AH130" s="1" t="s">
        <v>1301</v>
      </c>
      <c r="AI130" s="1" t="s">
        <v>1280</v>
      </c>
      <c r="AJ130" s="4">
        <v>46173</v>
      </c>
      <c r="AK130" s="5">
        <v>0.31944444444444442</v>
      </c>
      <c r="AL130" s="1" t="s">
        <v>215</v>
      </c>
      <c r="AM130" s="1"/>
    </row>
    <row r="131" spans="1:39" x14ac:dyDescent="0.3">
      <c r="A131" s="1">
        <v>24639</v>
      </c>
      <c r="B131" s="1">
        <v>21992</v>
      </c>
      <c r="C131" s="1" t="s">
        <v>1189</v>
      </c>
      <c r="D131" s="38" t="s">
        <v>1650</v>
      </c>
      <c r="E131" s="4">
        <v>22461</v>
      </c>
      <c r="F131" s="1">
        <v>64</v>
      </c>
      <c r="G131" s="1" t="s">
        <v>212</v>
      </c>
      <c r="H131" s="1" t="s">
        <v>1501</v>
      </c>
      <c r="I131" s="1" t="s">
        <v>1501</v>
      </c>
      <c r="J131" s="1">
        <v>8529</v>
      </c>
      <c r="K131" s="1" t="s">
        <v>82</v>
      </c>
      <c r="L131" s="1" t="s">
        <v>19</v>
      </c>
      <c r="M131" s="1" t="s">
        <v>13</v>
      </c>
      <c r="N131" s="1" t="s">
        <v>20</v>
      </c>
      <c r="O131" s="1" t="s">
        <v>216</v>
      </c>
      <c r="P131" s="1" t="s">
        <v>53</v>
      </c>
      <c r="Q131" s="1" t="s">
        <v>19</v>
      </c>
      <c r="R131" s="1" t="s">
        <v>8</v>
      </c>
      <c r="S131" s="1" t="s">
        <v>21</v>
      </c>
      <c r="T131" s="1" t="s">
        <v>53</v>
      </c>
      <c r="U131" s="1" t="s">
        <v>8</v>
      </c>
      <c r="V131" s="1" t="str">
        <f>IF(pilgrims[[#This Row],[packages.second_hotel_name]]="",pilgrims[[#This Row],[packages.first_hotel_name]],pilgrims[[#This Row],[packages.second_hotel_name]])</f>
        <v>Swissotel Makkah Hotel</v>
      </c>
      <c r="W131" s="1" t="str">
        <f>IF(pilgrims[[#This Row],[packages.second_hotel_name]]="",pilgrims[[#This Row],[packages.first_hotel_check_in]],pilgrims[[#This Row],[packages.second_hotel_check_in]])</f>
        <v>2026-05-21</v>
      </c>
      <c r="X131" s="1" t="str">
        <f>IF(pilgrims[[#This Row],[packages.second_hotel_name]]="",pilgrims[[#This Row],[packages.first_hotel_check_out]],pilgrims[[#This Row],[packages.second_hotel_check_out]])</f>
        <v>2026-05-25</v>
      </c>
      <c r="Y131" s="1" t="s">
        <v>16</v>
      </c>
      <c r="Z131" s="1" t="s">
        <v>214</v>
      </c>
      <c r="AA131" s="1" t="s">
        <v>1194</v>
      </c>
      <c r="AB131" s="1" t="s">
        <v>1194</v>
      </c>
      <c r="AC131" s="1" t="s">
        <v>212</v>
      </c>
      <c r="AD131" s="1" t="s">
        <v>137</v>
      </c>
      <c r="AE131" s="1" t="s">
        <v>1281</v>
      </c>
      <c r="AF131" s="4">
        <v>46161</v>
      </c>
      <c r="AG131" s="5">
        <v>0.87847222222222221</v>
      </c>
      <c r="AH131" s="1" t="s">
        <v>63</v>
      </c>
      <c r="AI131" s="1" t="s">
        <v>1280</v>
      </c>
      <c r="AJ131" s="4">
        <v>46173</v>
      </c>
      <c r="AK131" s="5">
        <v>0.3923611111111111</v>
      </c>
      <c r="AL131" s="1" t="s">
        <v>215</v>
      </c>
      <c r="AM131" s="1"/>
    </row>
    <row r="132" spans="1:39" x14ac:dyDescent="0.3">
      <c r="A132" s="1">
        <v>553881</v>
      </c>
      <c r="B132" s="1">
        <v>440202</v>
      </c>
      <c r="C132" s="1" t="s">
        <v>1189</v>
      </c>
      <c r="D132" s="38" t="s">
        <v>1651</v>
      </c>
      <c r="E132" s="4">
        <v>31561</v>
      </c>
      <c r="F132" s="1">
        <v>39</v>
      </c>
      <c r="G132" s="1" t="s">
        <v>212</v>
      </c>
      <c r="H132" s="1" t="s">
        <v>1501</v>
      </c>
      <c r="I132" s="1" t="s">
        <v>1501</v>
      </c>
      <c r="J132" s="1">
        <v>8540</v>
      </c>
      <c r="K132" s="1" t="s">
        <v>78</v>
      </c>
      <c r="L132" s="1" t="s">
        <v>8</v>
      </c>
      <c r="M132" s="1" t="s">
        <v>13</v>
      </c>
      <c r="N132" s="1" t="s">
        <v>5</v>
      </c>
      <c r="O132" s="1" t="s">
        <v>216</v>
      </c>
      <c r="P132" s="1" t="s">
        <v>53</v>
      </c>
      <c r="Q132" s="1" t="s">
        <v>8</v>
      </c>
      <c r="R132" s="1" t="s">
        <v>11</v>
      </c>
      <c r="S132" s="1"/>
      <c r="T132" s="1"/>
      <c r="U132" s="1"/>
      <c r="V132" s="1" t="str">
        <f>IF(pilgrims[[#This Row],[packages.second_hotel_name]]="",pilgrims[[#This Row],[packages.first_hotel_name]],pilgrims[[#This Row],[packages.second_hotel_name]])</f>
        <v>Movenpick Anwar Almadinah Hotel</v>
      </c>
      <c r="W132" s="1" t="str">
        <f>IF(pilgrims[[#This Row],[packages.second_hotel_name]]="",pilgrims[[#This Row],[packages.first_hotel_check_in]],pilgrims[[#This Row],[packages.second_hotel_check_in]])</f>
        <v>2026-05-21</v>
      </c>
      <c r="X132" s="1" t="str">
        <f>IF(pilgrims[[#This Row],[packages.second_hotel_name]]="",pilgrims[[#This Row],[packages.first_hotel_check_out]],pilgrims[[#This Row],[packages.second_hotel_check_out]])</f>
        <v>2026-05-24</v>
      </c>
      <c r="Y132" s="1"/>
      <c r="Z132" s="1" t="s">
        <v>261</v>
      </c>
      <c r="AA132" s="1" t="s">
        <v>433</v>
      </c>
      <c r="AB132" s="1" t="s">
        <v>1299</v>
      </c>
      <c r="AC132" s="1" t="s">
        <v>434</v>
      </c>
      <c r="AD132" s="1" t="s">
        <v>1300</v>
      </c>
      <c r="AE132" s="1" t="s">
        <v>1281</v>
      </c>
      <c r="AF132" s="4">
        <v>46163</v>
      </c>
      <c r="AG132" s="5">
        <v>0.35416666666666669</v>
      </c>
      <c r="AH132" s="1" t="s">
        <v>1301</v>
      </c>
      <c r="AI132" s="1" t="s">
        <v>1280</v>
      </c>
      <c r="AJ132" s="4">
        <v>46173</v>
      </c>
      <c r="AK132" s="5">
        <v>0.31944444444444442</v>
      </c>
      <c r="AL132" s="1" t="s">
        <v>215</v>
      </c>
      <c r="AM132" s="1"/>
    </row>
    <row r="133" spans="1:39" x14ac:dyDescent="0.3">
      <c r="A133" s="1">
        <v>43918</v>
      </c>
      <c r="B133" s="1">
        <v>37578</v>
      </c>
      <c r="C133" s="1" t="s">
        <v>1188</v>
      </c>
      <c r="D133" s="38" t="s">
        <v>1652</v>
      </c>
      <c r="E133" s="4">
        <v>22368</v>
      </c>
      <c r="F133" s="1">
        <v>64</v>
      </c>
      <c r="G133" s="1" t="s">
        <v>212</v>
      </c>
      <c r="H133" s="1" t="s">
        <v>1501</v>
      </c>
      <c r="I133" s="1" t="s">
        <v>1501</v>
      </c>
      <c r="J133" s="1">
        <v>8530</v>
      </c>
      <c r="K133" s="1" t="s">
        <v>83</v>
      </c>
      <c r="L133" s="1" t="s">
        <v>19</v>
      </c>
      <c r="M133" s="1" t="s">
        <v>13</v>
      </c>
      <c r="N133" s="1" t="s">
        <v>5</v>
      </c>
      <c r="O133" s="1" t="s">
        <v>216</v>
      </c>
      <c r="P133" s="1" t="s">
        <v>53</v>
      </c>
      <c r="Q133" s="1" t="s">
        <v>19</v>
      </c>
      <c r="R133" s="1" t="s">
        <v>8</v>
      </c>
      <c r="S133" s="1" t="s">
        <v>15</v>
      </c>
      <c r="T133" s="1" t="s">
        <v>53</v>
      </c>
      <c r="U133" s="1" t="s">
        <v>8</v>
      </c>
      <c r="V133" s="1" t="str">
        <f>IF(pilgrims[[#This Row],[packages.second_hotel_name]]="",pilgrims[[#This Row],[packages.first_hotel_name]],pilgrims[[#This Row],[packages.second_hotel_name]])</f>
        <v>Swissotel Al Maqam Makkah</v>
      </c>
      <c r="W133" s="1" t="str">
        <f>IF(pilgrims[[#This Row],[packages.second_hotel_name]]="",pilgrims[[#This Row],[packages.first_hotel_check_in]],pilgrims[[#This Row],[packages.second_hotel_check_in]])</f>
        <v>2026-05-21</v>
      </c>
      <c r="X133" s="1" t="str">
        <f>IF(pilgrims[[#This Row],[packages.second_hotel_name]]="",pilgrims[[#This Row],[packages.first_hotel_check_out]],pilgrims[[#This Row],[packages.second_hotel_check_out]])</f>
        <v>2026-05-25</v>
      </c>
      <c r="Y133" s="1" t="s">
        <v>16</v>
      </c>
      <c r="Z133" s="1" t="s">
        <v>214</v>
      </c>
      <c r="AA133" s="1" t="s">
        <v>1193</v>
      </c>
      <c r="AB133" s="1" t="s">
        <v>1193</v>
      </c>
      <c r="AC133" s="1" t="s">
        <v>212</v>
      </c>
      <c r="AD133" s="1" t="s">
        <v>134</v>
      </c>
      <c r="AE133" s="1" t="s">
        <v>1281</v>
      </c>
      <c r="AF133" s="4">
        <v>46160</v>
      </c>
      <c r="AG133" s="5">
        <v>0.73958333333333337</v>
      </c>
      <c r="AH133" s="1" t="s">
        <v>63</v>
      </c>
      <c r="AI133" s="1" t="s">
        <v>1280</v>
      </c>
      <c r="AJ133" s="4">
        <v>46172</v>
      </c>
      <c r="AK133" s="5">
        <v>0.35069444444444442</v>
      </c>
      <c r="AL133" s="1" t="s">
        <v>215</v>
      </c>
      <c r="AM133" s="1"/>
    </row>
    <row r="134" spans="1:39" x14ac:dyDescent="0.3">
      <c r="A134" s="1">
        <v>49654</v>
      </c>
      <c r="B134" s="1">
        <v>42022</v>
      </c>
      <c r="C134" s="1" t="s">
        <v>1188</v>
      </c>
      <c r="D134" s="38" t="s">
        <v>1653</v>
      </c>
      <c r="E134" s="4">
        <v>27023</v>
      </c>
      <c r="F134" s="1">
        <v>52</v>
      </c>
      <c r="G134" s="1" t="s">
        <v>212</v>
      </c>
      <c r="H134" s="1" t="s">
        <v>1501</v>
      </c>
      <c r="I134" s="1" t="s">
        <v>1501</v>
      </c>
      <c r="J134" s="1">
        <v>8525</v>
      </c>
      <c r="K134" s="1" t="s">
        <v>77</v>
      </c>
      <c r="L134" s="1" t="s">
        <v>19</v>
      </c>
      <c r="M134" s="1" t="s">
        <v>13</v>
      </c>
      <c r="N134" s="1" t="s">
        <v>10</v>
      </c>
      <c r="O134" s="1" t="s">
        <v>216</v>
      </c>
      <c r="P134" s="1" t="s">
        <v>52</v>
      </c>
      <c r="Q134" s="1" t="s">
        <v>19</v>
      </c>
      <c r="R134" s="1" t="s">
        <v>8</v>
      </c>
      <c r="S134" s="1" t="s">
        <v>12</v>
      </c>
      <c r="T134" s="1" t="s">
        <v>53</v>
      </c>
      <c r="U134" s="1" t="s">
        <v>8</v>
      </c>
      <c r="V134" s="1" t="str">
        <f>IF(pilgrims[[#This Row],[packages.second_hotel_name]]="",pilgrims[[#This Row],[packages.first_hotel_name]],pilgrims[[#This Row],[packages.second_hotel_name]])</f>
        <v>Makkah Clock Royal Tower A Fairmont Hotel</v>
      </c>
      <c r="W134" s="1" t="str">
        <f>IF(pilgrims[[#This Row],[packages.second_hotel_name]]="",pilgrims[[#This Row],[packages.first_hotel_check_in]],pilgrims[[#This Row],[packages.second_hotel_check_in]])</f>
        <v>2026-05-21</v>
      </c>
      <c r="X134" s="1" t="str">
        <f>IF(pilgrims[[#This Row],[packages.second_hotel_name]]="",pilgrims[[#This Row],[packages.first_hotel_check_out]],pilgrims[[#This Row],[packages.second_hotel_check_out]])</f>
        <v>2026-05-24</v>
      </c>
      <c r="Y134" s="1" t="s">
        <v>11</v>
      </c>
      <c r="Z134" s="1" t="s">
        <v>214</v>
      </c>
      <c r="AA134" s="1" t="s">
        <v>1194</v>
      </c>
      <c r="AB134" s="1" t="s">
        <v>1194</v>
      </c>
      <c r="AC134" s="1" t="s">
        <v>212</v>
      </c>
      <c r="AD134" s="1" t="s">
        <v>137</v>
      </c>
      <c r="AE134" s="1" t="s">
        <v>1281</v>
      </c>
      <c r="AF134" s="4">
        <v>46161</v>
      </c>
      <c r="AG134" s="5">
        <v>0.87847222222222221</v>
      </c>
      <c r="AH134" s="1" t="s">
        <v>63</v>
      </c>
      <c r="AI134" s="1" t="s">
        <v>1280</v>
      </c>
      <c r="AJ134" s="4">
        <v>46173</v>
      </c>
      <c r="AK134" s="5">
        <v>0.3923611111111111</v>
      </c>
      <c r="AL134" s="1" t="s">
        <v>215</v>
      </c>
      <c r="AM134" s="1"/>
    </row>
    <row r="135" spans="1:39" x14ac:dyDescent="0.3">
      <c r="A135" s="1">
        <v>70686</v>
      </c>
      <c r="B135" s="1">
        <v>58299</v>
      </c>
      <c r="C135" s="1" t="s">
        <v>1189</v>
      </c>
      <c r="D135" s="38" t="s">
        <v>1654</v>
      </c>
      <c r="E135" s="4">
        <v>21906</v>
      </c>
      <c r="F135" s="1">
        <v>66</v>
      </c>
      <c r="G135" s="1" t="s">
        <v>212</v>
      </c>
      <c r="H135" s="1" t="s">
        <v>1501</v>
      </c>
      <c r="I135" s="1" t="s">
        <v>1501</v>
      </c>
      <c r="J135" s="1">
        <v>8529</v>
      </c>
      <c r="K135" s="1" t="s">
        <v>82</v>
      </c>
      <c r="L135" s="1" t="s">
        <v>19</v>
      </c>
      <c r="M135" s="1" t="s">
        <v>13</v>
      </c>
      <c r="N135" s="1" t="s">
        <v>20</v>
      </c>
      <c r="O135" s="1" t="s">
        <v>216</v>
      </c>
      <c r="P135" s="1" t="s">
        <v>53</v>
      </c>
      <c r="Q135" s="1" t="s">
        <v>19</v>
      </c>
      <c r="R135" s="1" t="s">
        <v>8</v>
      </c>
      <c r="S135" s="1" t="s">
        <v>21</v>
      </c>
      <c r="T135" s="1" t="s">
        <v>53</v>
      </c>
      <c r="U135" s="1" t="s">
        <v>8</v>
      </c>
      <c r="V135" s="1" t="str">
        <f>IF(pilgrims[[#This Row],[packages.second_hotel_name]]="",pilgrims[[#This Row],[packages.first_hotel_name]],pilgrims[[#This Row],[packages.second_hotel_name]])</f>
        <v>Swissotel Makkah Hotel</v>
      </c>
      <c r="W135" s="1" t="str">
        <f>IF(pilgrims[[#This Row],[packages.second_hotel_name]]="",pilgrims[[#This Row],[packages.first_hotel_check_in]],pilgrims[[#This Row],[packages.second_hotel_check_in]])</f>
        <v>2026-05-21</v>
      </c>
      <c r="X135" s="1" t="str">
        <f>IF(pilgrims[[#This Row],[packages.second_hotel_name]]="",pilgrims[[#This Row],[packages.first_hotel_check_out]],pilgrims[[#This Row],[packages.second_hotel_check_out]])</f>
        <v>2026-05-25</v>
      </c>
      <c r="Y135" s="1" t="s">
        <v>16</v>
      </c>
      <c r="Z135" s="1" t="s">
        <v>214</v>
      </c>
      <c r="AA135" s="1" t="s">
        <v>1193</v>
      </c>
      <c r="AB135" s="1" t="s">
        <v>1193</v>
      </c>
      <c r="AC135" s="1" t="s">
        <v>212</v>
      </c>
      <c r="AD135" s="1" t="s">
        <v>134</v>
      </c>
      <c r="AE135" s="1" t="s">
        <v>1281</v>
      </c>
      <c r="AF135" s="4">
        <v>46160</v>
      </c>
      <c r="AG135" s="5">
        <v>0.73958333333333337</v>
      </c>
      <c r="AH135" s="1" t="s">
        <v>63</v>
      </c>
      <c r="AI135" s="1" t="s">
        <v>1280</v>
      </c>
      <c r="AJ135" s="4">
        <v>46172</v>
      </c>
      <c r="AK135" s="5">
        <v>0.35069444444444442</v>
      </c>
      <c r="AL135" s="1" t="s">
        <v>215</v>
      </c>
      <c r="AM135" s="1"/>
    </row>
    <row r="136" spans="1:39" x14ac:dyDescent="0.3">
      <c r="A136" s="1">
        <v>543110</v>
      </c>
      <c r="B136" s="1">
        <v>430614</v>
      </c>
      <c r="C136" s="1" t="s">
        <v>1188</v>
      </c>
      <c r="D136" s="38" t="s">
        <v>1655</v>
      </c>
      <c r="E136" s="4">
        <v>32123</v>
      </c>
      <c r="F136" s="1">
        <v>38</v>
      </c>
      <c r="G136" s="1" t="s">
        <v>212</v>
      </c>
      <c r="H136" s="1" t="s">
        <v>1501</v>
      </c>
      <c r="I136" s="1" t="s">
        <v>1501</v>
      </c>
      <c r="J136" s="1">
        <v>8540</v>
      </c>
      <c r="K136" s="1" t="s">
        <v>78</v>
      </c>
      <c r="L136" s="1" t="s">
        <v>8</v>
      </c>
      <c r="M136" s="1" t="s">
        <v>13</v>
      </c>
      <c r="N136" s="1" t="s">
        <v>5</v>
      </c>
      <c r="O136" s="1" t="s">
        <v>216</v>
      </c>
      <c r="P136" s="1" t="s">
        <v>53</v>
      </c>
      <c r="Q136" s="1" t="s">
        <v>8</v>
      </c>
      <c r="R136" s="1" t="s">
        <v>11</v>
      </c>
      <c r="S136" s="1"/>
      <c r="T136" s="1"/>
      <c r="U136" s="1"/>
      <c r="V136" s="1" t="str">
        <f>IF(pilgrims[[#This Row],[packages.second_hotel_name]]="",pilgrims[[#This Row],[packages.first_hotel_name]],pilgrims[[#This Row],[packages.second_hotel_name]])</f>
        <v>Movenpick Anwar Almadinah Hotel</v>
      </c>
      <c r="W136" s="1" t="str">
        <f>IF(pilgrims[[#This Row],[packages.second_hotel_name]]="",pilgrims[[#This Row],[packages.first_hotel_check_in]],pilgrims[[#This Row],[packages.second_hotel_check_in]])</f>
        <v>2026-05-21</v>
      </c>
      <c r="X136" s="1" t="str">
        <f>IF(pilgrims[[#This Row],[packages.second_hotel_name]]="",pilgrims[[#This Row],[packages.first_hotel_check_out]],pilgrims[[#This Row],[packages.second_hotel_check_out]])</f>
        <v>2026-05-24</v>
      </c>
      <c r="Y136" s="1"/>
      <c r="Z136" s="1" t="s">
        <v>261</v>
      </c>
      <c r="AA136" s="1" t="s">
        <v>443</v>
      </c>
      <c r="AB136" s="1" t="s">
        <v>1473</v>
      </c>
      <c r="AC136" s="1" t="s">
        <v>444</v>
      </c>
      <c r="AD136" s="1" t="s">
        <v>1474</v>
      </c>
      <c r="AE136" s="1" t="s">
        <v>1281</v>
      </c>
      <c r="AF136" s="4">
        <v>46163</v>
      </c>
      <c r="AG136" s="5">
        <v>0.98611111111111116</v>
      </c>
      <c r="AH136" s="1" t="s">
        <v>1475</v>
      </c>
      <c r="AI136" s="1" t="s">
        <v>1281</v>
      </c>
      <c r="AJ136" s="4">
        <v>46173</v>
      </c>
      <c r="AK136" s="5">
        <v>0.22222222222222221</v>
      </c>
      <c r="AL136" s="1" t="s">
        <v>215</v>
      </c>
      <c r="AM136" s="1"/>
    </row>
    <row r="137" spans="1:39" x14ac:dyDescent="0.3">
      <c r="A137" s="1">
        <v>540096</v>
      </c>
      <c r="B137" s="1">
        <v>427839</v>
      </c>
      <c r="C137" s="1" t="s">
        <v>1189</v>
      </c>
      <c r="D137" s="38" t="s">
        <v>1656</v>
      </c>
      <c r="E137" s="4">
        <v>29060</v>
      </c>
      <c r="F137" s="1">
        <v>46</v>
      </c>
      <c r="G137" s="1" t="s">
        <v>212</v>
      </c>
      <c r="H137" s="1" t="s">
        <v>1501</v>
      </c>
      <c r="I137" s="1" t="s">
        <v>1501</v>
      </c>
      <c r="J137" s="1">
        <v>8530</v>
      </c>
      <c r="K137" s="1" t="s">
        <v>83</v>
      </c>
      <c r="L137" s="1" t="s">
        <v>19</v>
      </c>
      <c r="M137" s="1" t="s">
        <v>13</v>
      </c>
      <c r="N137" s="1" t="s">
        <v>5</v>
      </c>
      <c r="O137" s="1" t="s">
        <v>216</v>
      </c>
      <c r="P137" s="1" t="s">
        <v>53</v>
      </c>
      <c r="Q137" s="1" t="s">
        <v>19</v>
      </c>
      <c r="R137" s="1" t="s">
        <v>8</v>
      </c>
      <c r="S137" s="1" t="s">
        <v>15</v>
      </c>
      <c r="T137" s="1" t="s">
        <v>53</v>
      </c>
      <c r="U137" s="1" t="s">
        <v>8</v>
      </c>
      <c r="V137" s="1" t="str">
        <f>IF(pilgrims[[#This Row],[packages.second_hotel_name]]="",pilgrims[[#This Row],[packages.first_hotel_name]],pilgrims[[#This Row],[packages.second_hotel_name]])</f>
        <v>Swissotel Al Maqam Makkah</v>
      </c>
      <c r="W137" s="1" t="str">
        <f>IF(pilgrims[[#This Row],[packages.second_hotel_name]]="",pilgrims[[#This Row],[packages.first_hotel_check_in]],pilgrims[[#This Row],[packages.second_hotel_check_in]])</f>
        <v>2026-05-21</v>
      </c>
      <c r="X137" s="1" t="str">
        <f>IF(pilgrims[[#This Row],[packages.second_hotel_name]]="",pilgrims[[#This Row],[packages.first_hotel_check_out]],pilgrims[[#This Row],[packages.second_hotel_check_out]])</f>
        <v>2026-05-25</v>
      </c>
      <c r="Y137" s="1" t="s">
        <v>16</v>
      </c>
      <c r="Z137" s="1" t="s">
        <v>214</v>
      </c>
      <c r="AA137" s="1" t="s">
        <v>1190</v>
      </c>
      <c r="AB137" s="1" t="s">
        <v>1190</v>
      </c>
      <c r="AC137" s="1" t="s">
        <v>212</v>
      </c>
      <c r="AD137" s="1" t="s">
        <v>133</v>
      </c>
      <c r="AE137" s="1" t="s">
        <v>1281</v>
      </c>
      <c r="AF137" s="4">
        <v>46160</v>
      </c>
      <c r="AG137" s="5">
        <v>0.3923611111111111</v>
      </c>
      <c r="AH137" s="1" t="s">
        <v>60</v>
      </c>
      <c r="AI137" s="1" t="s">
        <v>1280</v>
      </c>
      <c r="AJ137" s="4">
        <v>46173</v>
      </c>
      <c r="AK137" s="5">
        <v>0.12847222222222221</v>
      </c>
      <c r="AL137" s="1" t="s">
        <v>215</v>
      </c>
      <c r="AM137" s="1"/>
    </row>
    <row r="138" spans="1:39" x14ac:dyDescent="0.3">
      <c r="A138" s="1">
        <v>793722</v>
      </c>
      <c r="B138" s="1">
        <v>430614</v>
      </c>
      <c r="C138" s="1" t="s">
        <v>1189</v>
      </c>
      <c r="D138" s="38" t="s">
        <v>1657</v>
      </c>
      <c r="E138" s="4">
        <v>32454</v>
      </c>
      <c r="F138" s="1">
        <v>37</v>
      </c>
      <c r="G138" s="1" t="s">
        <v>212</v>
      </c>
      <c r="H138" s="1" t="s">
        <v>1501</v>
      </c>
      <c r="I138" s="1" t="s">
        <v>1501</v>
      </c>
      <c r="J138" s="1">
        <v>8540</v>
      </c>
      <c r="K138" s="1" t="s">
        <v>78</v>
      </c>
      <c r="L138" s="1" t="s">
        <v>8</v>
      </c>
      <c r="M138" s="1" t="s">
        <v>13</v>
      </c>
      <c r="N138" s="1" t="s">
        <v>5</v>
      </c>
      <c r="O138" s="1" t="s">
        <v>216</v>
      </c>
      <c r="P138" s="1" t="s">
        <v>53</v>
      </c>
      <c r="Q138" s="1" t="s">
        <v>8</v>
      </c>
      <c r="R138" s="1" t="s">
        <v>11</v>
      </c>
      <c r="S138" s="1"/>
      <c r="T138" s="1"/>
      <c r="U138" s="1"/>
      <c r="V138" s="1" t="str">
        <f>IF(pilgrims[[#This Row],[packages.second_hotel_name]]="",pilgrims[[#This Row],[packages.first_hotel_name]],pilgrims[[#This Row],[packages.second_hotel_name]])</f>
        <v>Movenpick Anwar Almadinah Hotel</v>
      </c>
      <c r="W138" s="1" t="str">
        <f>IF(pilgrims[[#This Row],[packages.second_hotel_name]]="",pilgrims[[#This Row],[packages.first_hotel_check_in]],pilgrims[[#This Row],[packages.second_hotel_check_in]])</f>
        <v>2026-05-21</v>
      </c>
      <c r="X138" s="1" t="str">
        <f>IF(pilgrims[[#This Row],[packages.second_hotel_name]]="",pilgrims[[#This Row],[packages.first_hotel_check_out]],pilgrims[[#This Row],[packages.second_hotel_check_out]])</f>
        <v>2026-05-24</v>
      </c>
      <c r="Y138" s="1"/>
      <c r="Z138" s="1" t="s">
        <v>261</v>
      </c>
      <c r="AA138" s="1" t="s">
        <v>443</v>
      </c>
      <c r="AB138" s="1" t="s">
        <v>1473</v>
      </c>
      <c r="AC138" s="1" t="s">
        <v>444</v>
      </c>
      <c r="AD138" s="1" t="s">
        <v>1474</v>
      </c>
      <c r="AE138" s="1" t="s">
        <v>1281</v>
      </c>
      <c r="AF138" s="4">
        <v>46163</v>
      </c>
      <c r="AG138" s="5">
        <v>0.98611111111111116</v>
      </c>
      <c r="AH138" s="1" t="s">
        <v>1475</v>
      </c>
      <c r="AI138" s="1" t="s">
        <v>1281</v>
      </c>
      <c r="AJ138" s="4">
        <v>46173</v>
      </c>
      <c r="AK138" s="5">
        <v>0.22222222222222221</v>
      </c>
      <c r="AL138" s="1" t="s">
        <v>215</v>
      </c>
      <c r="AM138" s="1"/>
    </row>
    <row r="139" spans="1:39" x14ac:dyDescent="0.3">
      <c r="A139" s="1">
        <v>336076</v>
      </c>
      <c r="B139" s="1">
        <v>265037</v>
      </c>
      <c r="C139" s="1" t="s">
        <v>1188</v>
      </c>
      <c r="D139" s="38" t="s">
        <v>1658</v>
      </c>
      <c r="E139" s="4">
        <v>26674</v>
      </c>
      <c r="F139" s="1">
        <v>53</v>
      </c>
      <c r="G139" s="1" t="s">
        <v>212</v>
      </c>
      <c r="H139" s="1" t="s">
        <v>1501</v>
      </c>
      <c r="I139" s="1" t="s">
        <v>1501</v>
      </c>
      <c r="J139" s="1">
        <v>8567</v>
      </c>
      <c r="K139" s="1" t="s">
        <v>93</v>
      </c>
      <c r="L139" s="1" t="s">
        <v>8</v>
      </c>
      <c r="M139" s="1" t="s">
        <v>9</v>
      </c>
      <c r="N139" s="1" t="s">
        <v>5</v>
      </c>
      <c r="O139" s="1" t="s">
        <v>216</v>
      </c>
      <c r="P139" s="1" t="s">
        <v>53</v>
      </c>
      <c r="Q139" s="1" t="s">
        <v>8</v>
      </c>
      <c r="R139" s="1" t="s">
        <v>11</v>
      </c>
      <c r="S139" s="1" t="s">
        <v>21</v>
      </c>
      <c r="T139" s="1" t="s">
        <v>53</v>
      </c>
      <c r="U139" s="1" t="s">
        <v>13</v>
      </c>
      <c r="V139" s="1" t="str">
        <f>IF(pilgrims[[#This Row],[packages.second_hotel_name]]="",pilgrims[[#This Row],[packages.first_hotel_name]],pilgrims[[#This Row],[packages.second_hotel_name]])</f>
        <v>Swissotel Makkah Hotel</v>
      </c>
      <c r="W139" s="1" t="str">
        <f>IF(pilgrims[[#This Row],[packages.second_hotel_name]]="",pilgrims[[#This Row],[packages.first_hotel_check_in]],pilgrims[[#This Row],[packages.second_hotel_check_in]])</f>
        <v>2026-05-31</v>
      </c>
      <c r="X139" s="1" t="str">
        <f>IF(pilgrims[[#This Row],[packages.second_hotel_name]]="",pilgrims[[#This Row],[packages.first_hotel_check_out]],pilgrims[[#This Row],[packages.second_hotel_check_out]])</f>
        <v>2026-06-06</v>
      </c>
      <c r="Y139" s="1" t="s">
        <v>9</v>
      </c>
      <c r="Z139" s="1" t="s">
        <v>214</v>
      </c>
      <c r="AA139" s="1" t="s">
        <v>1200</v>
      </c>
      <c r="AB139" s="1" t="s">
        <v>1200</v>
      </c>
      <c r="AC139" s="1" t="s">
        <v>212</v>
      </c>
      <c r="AD139" s="1" t="s">
        <v>69</v>
      </c>
      <c r="AE139" s="1" t="s">
        <v>1280</v>
      </c>
      <c r="AF139" s="4">
        <v>46164</v>
      </c>
      <c r="AG139" s="5">
        <v>0.93055555555555558</v>
      </c>
      <c r="AH139" s="1" t="s">
        <v>72</v>
      </c>
      <c r="AI139" s="1" t="s">
        <v>1281</v>
      </c>
      <c r="AJ139" s="4">
        <v>46177</v>
      </c>
      <c r="AK139" s="5">
        <v>0.25347222222222221</v>
      </c>
      <c r="AL139" s="1" t="s">
        <v>215</v>
      </c>
      <c r="AM139" s="1"/>
    </row>
    <row r="140" spans="1:39" x14ac:dyDescent="0.3">
      <c r="A140" s="1">
        <v>336099</v>
      </c>
      <c r="B140" s="1">
        <v>265037</v>
      </c>
      <c r="C140" s="1" t="s">
        <v>1189</v>
      </c>
      <c r="D140" s="38" t="s">
        <v>1659</v>
      </c>
      <c r="E140" s="4">
        <v>27469</v>
      </c>
      <c r="F140" s="1">
        <v>50</v>
      </c>
      <c r="G140" s="1" t="s">
        <v>212</v>
      </c>
      <c r="H140" s="1" t="s">
        <v>1501</v>
      </c>
      <c r="I140" s="1" t="s">
        <v>1501</v>
      </c>
      <c r="J140" s="1">
        <v>8567</v>
      </c>
      <c r="K140" s="1" t="s">
        <v>93</v>
      </c>
      <c r="L140" s="1" t="s">
        <v>8</v>
      </c>
      <c r="M140" s="1" t="s">
        <v>9</v>
      </c>
      <c r="N140" s="1" t="s">
        <v>5</v>
      </c>
      <c r="O140" s="1" t="s">
        <v>216</v>
      </c>
      <c r="P140" s="1" t="s">
        <v>53</v>
      </c>
      <c r="Q140" s="1" t="s">
        <v>8</v>
      </c>
      <c r="R140" s="1" t="s">
        <v>11</v>
      </c>
      <c r="S140" s="1" t="s">
        <v>21</v>
      </c>
      <c r="T140" s="1" t="s">
        <v>53</v>
      </c>
      <c r="U140" s="1" t="s">
        <v>13</v>
      </c>
      <c r="V140" s="1" t="str">
        <f>IF(pilgrims[[#This Row],[packages.second_hotel_name]]="",pilgrims[[#This Row],[packages.first_hotel_name]],pilgrims[[#This Row],[packages.second_hotel_name]])</f>
        <v>Swissotel Makkah Hotel</v>
      </c>
      <c r="W140" s="1" t="str">
        <f>IF(pilgrims[[#This Row],[packages.second_hotel_name]]="",pilgrims[[#This Row],[packages.first_hotel_check_in]],pilgrims[[#This Row],[packages.second_hotel_check_in]])</f>
        <v>2026-05-31</v>
      </c>
      <c r="X140" s="1" t="str">
        <f>IF(pilgrims[[#This Row],[packages.second_hotel_name]]="",pilgrims[[#This Row],[packages.first_hotel_check_out]],pilgrims[[#This Row],[packages.second_hotel_check_out]])</f>
        <v>2026-06-06</v>
      </c>
      <c r="Y140" s="1" t="s">
        <v>9</v>
      </c>
      <c r="Z140" s="1" t="s">
        <v>214</v>
      </c>
      <c r="AA140" s="1" t="s">
        <v>1200</v>
      </c>
      <c r="AB140" s="1" t="s">
        <v>1200</v>
      </c>
      <c r="AC140" s="1" t="s">
        <v>212</v>
      </c>
      <c r="AD140" s="1" t="s">
        <v>69</v>
      </c>
      <c r="AE140" s="1" t="s">
        <v>1280</v>
      </c>
      <c r="AF140" s="4">
        <v>46164</v>
      </c>
      <c r="AG140" s="5">
        <v>0.93055555555555558</v>
      </c>
      <c r="AH140" s="1" t="s">
        <v>72</v>
      </c>
      <c r="AI140" s="1" t="s">
        <v>1281</v>
      </c>
      <c r="AJ140" s="4">
        <v>46177</v>
      </c>
      <c r="AK140" s="5">
        <v>0.25347222222222221</v>
      </c>
      <c r="AL140" s="1" t="s">
        <v>215</v>
      </c>
      <c r="AM140" s="1"/>
    </row>
    <row r="141" spans="1:39" x14ac:dyDescent="0.3">
      <c r="A141" s="1">
        <v>343231</v>
      </c>
      <c r="B141" s="1">
        <v>265037</v>
      </c>
      <c r="C141" s="1" t="s">
        <v>1188</v>
      </c>
      <c r="D141" s="38" t="s">
        <v>1660</v>
      </c>
      <c r="E141" s="4">
        <v>26127</v>
      </c>
      <c r="F141" s="1">
        <v>54</v>
      </c>
      <c r="G141" s="1" t="s">
        <v>212</v>
      </c>
      <c r="H141" s="1" t="s">
        <v>1501</v>
      </c>
      <c r="I141" s="1" t="s">
        <v>1501</v>
      </c>
      <c r="J141" s="1">
        <v>8567</v>
      </c>
      <c r="K141" s="1" t="s">
        <v>93</v>
      </c>
      <c r="L141" s="1" t="s">
        <v>8</v>
      </c>
      <c r="M141" s="1" t="s">
        <v>9</v>
      </c>
      <c r="N141" s="1" t="s">
        <v>5</v>
      </c>
      <c r="O141" s="1" t="s">
        <v>216</v>
      </c>
      <c r="P141" s="1" t="s">
        <v>53</v>
      </c>
      <c r="Q141" s="1" t="s">
        <v>8</v>
      </c>
      <c r="R141" s="1" t="s">
        <v>11</v>
      </c>
      <c r="S141" s="1" t="s">
        <v>21</v>
      </c>
      <c r="T141" s="1" t="s">
        <v>53</v>
      </c>
      <c r="U141" s="1" t="s">
        <v>13</v>
      </c>
      <c r="V141" s="1" t="str">
        <f>IF(pilgrims[[#This Row],[packages.second_hotel_name]]="",pilgrims[[#This Row],[packages.first_hotel_name]],pilgrims[[#This Row],[packages.second_hotel_name]])</f>
        <v>Swissotel Makkah Hotel</v>
      </c>
      <c r="W141" s="1" t="str">
        <f>IF(pilgrims[[#This Row],[packages.second_hotel_name]]="",pilgrims[[#This Row],[packages.first_hotel_check_in]],pilgrims[[#This Row],[packages.second_hotel_check_in]])</f>
        <v>2026-05-31</v>
      </c>
      <c r="X141" s="1" t="str">
        <f>IF(pilgrims[[#This Row],[packages.second_hotel_name]]="",pilgrims[[#This Row],[packages.first_hotel_check_out]],pilgrims[[#This Row],[packages.second_hotel_check_out]])</f>
        <v>2026-06-06</v>
      </c>
      <c r="Y141" s="1" t="s">
        <v>9</v>
      </c>
      <c r="Z141" s="1" t="s">
        <v>214</v>
      </c>
      <c r="AA141" s="1" t="s">
        <v>1200</v>
      </c>
      <c r="AB141" s="1" t="s">
        <v>1200</v>
      </c>
      <c r="AC141" s="1" t="s">
        <v>212</v>
      </c>
      <c r="AD141" s="1" t="s">
        <v>69</v>
      </c>
      <c r="AE141" s="1" t="s">
        <v>1280</v>
      </c>
      <c r="AF141" s="4">
        <v>46164</v>
      </c>
      <c r="AG141" s="5">
        <v>0.93055555555555558</v>
      </c>
      <c r="AH141" s="1" t="s">
        <v>72</v>
      </c>
      <c r="AI141" s="1" t="s">
        <v>1281</v>
      </c>
      <c r="AJ141" s="4">
        <v>46177</v>
      </c>
      <c r="AK141" s="5">
        <v>0.25347222222222221</v>
      </c>
      <c r="AL141" s="1" t="s">
        <v>215</v>
      </c>
      <c r="AM141" s="1"/>
    </row>
    <row r="142" spans="1:39" x14ac:dyDescent="0.3">
      <c r="A142" s="1">
        <v>343239</v>
      </c>
      <c r="B142" s="1">
        <v>265037</v>
      </c>
      <c r="C142" s="1" t="s">
        <v>1189</v>
      </c>
      <c r="D142" s="38" t="s">
        <v>1661</v>
      </c>
      <c r="E142" s="4">
        <v>25671</v>
      </c>
      <c r="F142" s="1">
        <v>55</v>
      </c>
      <c r="G142" s="1" t="s">
        <v>212</v>
      </c>
      <c r="H142" s="1" t="s">
        <v>1501</v>
      </c>
      <c r="I142" s="1" t="s">
        <v>1501</v>
      </c>
      <c r="J142" s="1">
        <v>8567</v>
      </c>
      <c r="K142" s="1" t="s">
        <v>93</v>
      </c>
      <c r="L142" s="1" t="s">
        <v>8</v>
      </c>
      <c r="M142" s="1" t="s">
        <v>9</v>
      </c>
      <c r="N142" s="1" t="s">
        <v>5</v>
      </c>
      <c r="O142" s="1" t="s">
        <v>216</v>
      </c>
      <c r="P142" s="1" t="s">
        <v>53</v>
      </c>
      <c r="Q142" s="1" t="s">
        <v>8</v>
      </c>
      <c r="R142" s="1" t="s">
        <v>11</v>
      </c>
      <c r="S142" s="1" t="s">
        <v>21</v>
      </c>
      <c r="T142" s="1" t="s">
        <v>53</v>
      </c>
      <c r="U142" s="1" t="s">
        <v>13</v>
      </c>
      <c r="V142" s="1" t="str">
        <f>IF(pilgrims[[#This Row],[packages.second_hotel_name]]="",pilgrims[[#This Row],[packages.first_hotel_name]],pilgrims[[#This Row],[packages.second_hotel_name]])</f>
        <v>Swissotel Makkah Hotel</v>
      </c>
      <c r="W142" s="1" t="str">
        <f>IF(pilgrims[[#This Row],[packages.second_hotel_name]]="",pilgrims[[#This Row],[packages.first_hotel_check_in]],pilgrims[[#This Row],[packages.second_hotel_check_in]])</f>
        <v>2026-05-31</v>
      </c>
      <c r="X142" s="1" t="str">
        <f>IF(pilgrims[[#This Row],[packages.second_hotel_name]]="",pilgrims[[#This Row],[packages.first_hotel_check_out]],pilgrims[[#This Row],[packages.second_hotel_check_out]])</f>
        <v>2026-06-06</v>
      </c>
      <c r="Y142" s="1" t="s">
        <v>9</v>
      </c>
      <c r="Z142" s="1" t="s">
        <v>214</v>
      </c>
      <c r="AA142" s="1" t="s">
        <v>1200</v>
      </c>
      <c r="AB142" s="1" t="s">
        <v>1200</v>
      </c>
      <c r="AC142" s="1" t="s">
        <v>212</v>
      </c>
      <c r="AD142" s="1" t="s">
        <v>69</v>
      </c>
      <c r="AE142" s="1" t="s">
        <v>1280</v>
      </c>
      <c r="AF142" s="4">
        <v>46164</v>
      </c>
      <c r="AG142" s="5">
        <v>0.93055555555555558</v>
      </c>
      <c r="AH142" s="1" t="s">
        <v>72</v>
      </c>
      <c r="AI142" s="1" t="s">
        <v>1281</v>
      </c>
      <c r="AJ142" s="4">
        <v>46177</v>
      </c>
      <c r="AK142" s="5">
        <v>0.25347222222222221</v>
      </c>
      <c r="AL142" s="1" t="s">
        <v>215</v>
      </c>
      <c r="AM142" s="1"/>
    </row>
    <row r="143" spans="1:39" x14ac:dyDescent="0.3">
      <c r="A143" s="1">
        <v>68814</v>
      </c>
      <c r="B143" s="1">
        <v>56866</v>
      </c>
      <c r="C143" s="1" t="s">
        <v>1189</v>
      </c>
      <c r="D143" s="38" t="s">
        <v>1662</v>
      </c>
      <c r="E143" s="4">
        <v>27094</v>
      </c>
      <c r="F143" s="1">
        <v>51</v>
      </c>
      <c r="G143" s="1" t="s">
        <v>212</v>
      </c>
      <c r="H143" s="1" t="s">
        <v>1502</v>
      </c>
      <c r="I143" s="1" t="s">
        <v>1502</v>
      </c>
      <c r="J143" s="1">
        <v>8525</v>
      </c>
      <c r="K143" s="1" t="s">
        <v>77</v>
      </c>
      <c r="L143" s="1" t="s">
        <v>19</v>
      </c>
      <c r="M143" s="1" t="s">
        <v>13</v>
      </c>
      <c r="N143" s="1" t="s">
        <v>10</v>
      </c>
      <c r="O143" s="1" t="s">
        <v>216</v>
      </c>
      <c r="P143" s="1" t="s">
        <v>52</v>
      </c>
      <c r="Q143" s="1" t="s">
        <v>19</v>
      </c>
      <c r="R143" s="1" t="s">
        <v>8</v>
      </c>
      <c r="S143" s="1" t="s">
        <v>12</v>
      </c>
      <c r="T143" s="1" t="s">
        <v>53</v>
      </c>
      <c r="U143" s="1" t="s">
        <v>8</v>
      </c>
      <c r="V143" s="1" t="str">
        <f>IF(pilgrims[[#This Row],[packages.second_hotel_name]]="",pilgrims[[#This Row],[packages.first_hotel_name]],pilgrims[[#This Row],[packages.second_hotel_name]])</f>
        <v>Makkah Clock Royal Tower A Fairmont Hotel</v>
      </c>
      <c r="W143" s="1" t="str">
        <f>IF(pilgrims[[#This Row],[packages.second_hotel_name]]="",pilgrims[[#This Row],[packages.first_hotel_check_in]],pilgrims[[#This Row],[packages.second_hotel_check_in]])</f>
        <v>2026-05-21</v>
      </c>
      <c r="X143" s="1" t="str">
        <f>IF(pilgrims[[#This Row],[packages.second_hotel_name]]="",pilgrims[[#This Row],[packages.first_hotel_check_out]],pilgrims[[#This Row],[packages.second_hotel_check_out]])</f>
        <v>2026-05-24</v>
      </c>
      <c r="Y143" s="1" t="s">
        <v>11</v>
      </c>
      <c r="Z143" s="1" t="s">
        <v>214</v>
      </c>
      <c r="AA143" s="1" t="s">
        <v>1207</v>
      </c>
      <c r="AB143" s="1" t="s">
        <v>1207</v>
      </c>
      <c r="AC143" s="1" t="s">
        <v>212</v>
      </c>
      <c r="AD143" s="1" t="s">
        <v>135</v>
      </c>
      <c r="AE143" s="1" t="s">
        <v>1281</v>
      </c>
      <c r="AF143" s="4">
        <v>46160</v>
      </c>
      <c r="AG143" s="5">
        <v>0.89236111111111116</v>
      </c>
      <c r="AH143" s="1" t="s">
        <v>68</v>
      </c>
      <c r="AI143" s="1" t="s">
        <v>1280</v>
      </c>
      <c r="AJ143" s="4">
        <v>46172</v>
      </c>
      <c r="AK143" s="5">
        <v>0.38541666666666669</v>
      </c>
      <c r="AL143" s="1" t="s">
        <v>215</v>
      </c>
      <c r="AM143" s="1"/>
    </row>
    <row r="144" spans="1:39" x14ac:dyDescent="0.3">
      <c r="A144" s="1">
        <v>776328</v>
      </c>
      <c r="B144" s="1">
        <v>629101</v>
      </c>
      <c r="C144" s="1" t="s">
        <v>1189</v>
      </c>
      <c r="D144" s="38" t="s">
        <v>1663</v>
      </c>
      <c r="E144" s="4">
        <v>28377</v>
      </c>
      <c r="F144" s="1">
        <v>48</v>
      </c>
      <c r="G144" s="1" t="s">
        <v>212</v>
      </c>
      <c r="H144" s="1" t="s">
        <v>1501</v>
      </c>
      <c r="I144" s="1" t="s">
        <v>1501</v>
      </c>
      <c r="J144" s="1">
        <v>8529</v>
      </c>
      <c r="K144" s="1" t="s">
        <v>82</v>
      </c>
      <c r="L144" s="1" t="s">
        <v>19</v>
      </c>
      <c r="M144" s="1" t="s">
        <v>13</v>
      </c>
      <c r="N144" s="1" t="s">
        <v>20</v>
      </c>
      <c r="O144" s="1" t="s">
        <v>216</v>
      </c>
      <c r="P144" s="1" t="s">
        <v>53</v>
      </c>
      <c r="Q144" s="1" t="s">
        <v>19</v>
      </c>
      <c r="R144" s="1" t="s">
        <v>8</v>
      </c>
      <c r="S144" s="1" t="s">
        <v>21</v>
      </c>
      <c r="T144" s="1" t="s">
        <v>53</v>
      </c>
      <c r="U144" s="1" t="s">
        <v>8</v>
      </c>
      <c r="V144" s="1" t="str">
        <f>IF(pilgrims[[#This Row],[packages.second_hotel_name]]="",pilgrims[[#This Row],[packages.first_hotel_name]],pilgrims[[#This Row],[packages.second_hotel_name]])</f>
        <v>Swissotel Makkah Hotel</v>
      </c>
      <c r="W144" s="1" t="str">
        <f>IF(pilgrims[[#This Row],[packages.second_hotel_name]]="",pilgrims[[#This Row],[packages.first_hotel_check_in]],pilgrims[[#This Row],[packages.second_hotel_check_in]])</f>
        <v>2026-05-21</v>
      </c>
      <c r="X144" s="1" t="str">
        <f>IF(pilgrims[[#This Row],[packages.second_hotel_name]]="",pilgrims[[#This Row],[packages.first_hotel_check_out]],pilgrims[[#This Row],[packages.second_hotel_check_out]])</f>
        <v>2026-05-25</v>
      </c>
      <c r="Y144" s="1" t="s">
        <v>16</v>
      </c>
      <c r="Z144" s="1" t="s">
        <v>214</v>
      </c>
      <c r="AA144" s="1" t="s">
        <v>1190</v>
      </c>
      <c r="AB144" s="1" t="s">
        <v>1190</v>
      </c>
      <c r="AC144" s="1" t="s">
        <v>212</v>
      </c>
      <c r="AD144" s="1" t="s">
        <v>133</v>
      </c>
      <c r="AE144" s="1" t="s">
        <v>1281</v>
      </c>
      <c r="AF144" s="4">
        <v>46160</v>
      </c>
      <c r="AG144" s="5">
        <v>0.3923611111111111</v>
      </c>
      <c r="AH144" s="1" t="s">
        <v>60</v>
      </c>
      <c r="AI144" s="1" t="s">
        <v>1280</v>
      </c>
      <c r="AJ144" s="4">
        <v>46173</v>
      </c>
      <c r="AK144" s="5">
        <v>0.12847222222222221</v>
      </c>
      <c r="AL144" s="1" t="s">
        <v>215</v>
      </c>
      <c r="AM144" s="1"/>
    </row>
    <row r="145" spans="1:39" x14ac:dyDescent="0.3">
      <c r="A145" s="1">
        <v>727890</v>
      </c>
      <c r="B145" s="1">
        <v>589690</v>
      </c>
      <c r="C145" s="1" t="s">
        <v>1188</v>
      </c>
      <c r="D145" s="38" t="s">
        <v>1664</v>
      </c>
      <c r="E145" s="4">
        <v>29444</v>
      </c>
      <c r="F145" s="1">
        <v>45</v>
      </c>
      <c r="G145" s="1" t="s">
        <v>212</v>
      </c>
      <c r="H145" s="1" t="s">
        <v>1503</v>
      </c>
      <c r="I145" s="1" t="s">
        <v>1503</v>
      </c>
      <c r="J145" s="1">
        <v>8537</v>
      </c>
      <c r="K145" s="1" t="s">
        <v>87</v>
      </c>
      <c r="L145" s="1" t="s">
        <v>8</v>
      </c>
      <c r="M145" s="1" t="s">
        <v>4</v>
      </c>
      <c r="N145" s="1" t="s">
        <v>21</v>
      </c>
      <c r="O145" s="1" t="s">
        <v>216</v>
      </c>
      <c r="P145" s="1" t="s">
        <v>53</v>
      </c>
      <c r="Q145" s="1" t="s">
        <v>8</v>
      </c>
      <c r="R145" s="1" t="s">
        <v>16</v>
      </c>
      <c r="S145" s="1" t="s">
        <v>5</v>
      </c>
      <c r="T145" s="1" t="s">
        <v>53</v>
      </c>
      <c r="U145" s="1" t="s">
        <v>6</v>
      </c>
      <c r="V145" s="1" t="str">
        <f>IF(pilgrims[[#This Row],[packages.second_hotel_name]]="",pilgrims[[#This Row],[packages.first_hotel_name]],pilgrims[[#This Row],[packages.second_hotel_name]])</f>
        <v>Movenpick Anwar Almadinah Hotel</v>
      </c>
      <c r="W145" s="1" t="str">
        <f>IF(pilgrims[[#This Row],[packages.second_hotel_name]]="",pilgrims[[#This Row],[packages.first_hotel_check_in]],pilgrims[[#This Row],[packages.second_hotel_check_in]])</f>
        <v>2026-05-30</v>
      </c>
      <c r="X145" s="1" t="str">
        <f>IF(pilgrims[[#This Row],[packages.second_hotel_name]]="",pilgrims[[#This Row],[packages.first_hotel_check_out]],pilgrims[[#This Row],[packages.second_hotel_check_out]])</f>
        <v>2026-06-02</v>
      </c>
      <c r="Y145" s="1" t="s">
        <v>4</v>
      </c>
      <c r="Z145" s="1" t="s">
        <v>261</v>
      </c>
      <c r="AA145" s="1" t="s">
        <v>458</v>
      </c>
      <c r="AB145" s="1" t="s">
        <v>1350</v>
      </c>
      <c r="AC145" s="1" t="s">
        <v>459</v>
      </c>
      <c r="AD145" s="1" t="s">
        <v>1351</v>
      </c>
      <c r="AE145" s="1" t="s">
        <v>1280</v>
      </c>
      <c r="AF145" s="4">
        <v>46163</v>
      </c>
      <c r="AG145" s="5">
        <v>0.28125</v>
      </c>
      <c r="AH145" s="1" t="s">
        <v>1298</v>
      </c>
      <c r="AI145" s="1" t="s">
        <v>1281</v>
      </c>
      <c r="AJ145" s="4">
        <v>46175</v>
      </c>
      <c r="AK145" s="5">
        <v>0.21527777777777779</v>
      </c>
      <c r="AL145" s="1" t="s">
        <v>215</v>
      </c>
      <c r="AM145" s="1"/>
    </row>
    <row r="146" spans="1:39" x14ac:dyDescent="0.3">
      <c r="A146" s="1">
        <v>788119</v>
      </c>
      <c r="B146" s="1">
        <v>629101</v>
      </c>
      <c r="C146" s="1" t="s">
        <v>1188</v>
      </c>
      <c r="D146" s="38" t="s">
        <v>1665</v>
      </c>
      <c r="E146" s="4">
        <v>26983</v>
      </c>
      <c r="F146" s="1">
        <v>52</v>
      </c>
      <c r="G146" s="1" t="s">
        <v>212</v>
      </c>
      <c r="H146" s="1" t="s">
        <v>1501</v>
      </c>
      <c r="I146" s="1" t="s">
        <v>1501</v>
      </c>
      <c r="J146" s="1">
        <v>8529</v>
      </c>
      <c r="K146" s="1" t="s">
        <v>82</v>
      </c>
      <c r="L146" s="1" t="s">
        <v>19</v>
      </c>
      <c r="M146" s="1" t="s">
        <v>13</v>
      </c>
      <c r="N146" s="1" t="s">
        <v>20</v>
      </c>
      <c r="O146" s="1" t="s">
        <v>216</v>
      </c>
      <c r="P146" s="1" t="s">
        <v>53</v>
      </c>
      <c r="Q146" s="1" t="s">
        <v>19</v>
      </c>
      <c r="R146" s="1" t="s">
        <v>8</v>
      </c>
      <c r="S146" s="1" t="s">
        <v>21</v>
      </c>
      <c r="T146" s="1" t="s">
        <v>53</v>
      </c>
      <c r="U146" s="1" t="s">
        <v>8</v>
      </c>
      <c r="V146" s="1" t="str">
        <f>IF(pilgrims[[#This Row],[packages.second_hotel_name]]="",pilgrims[[#This Row],[packages.first_hotel_name]],pilgrims[[#This Row],[packages.second_hotel_name]])</f>
        <v>Swissotel Makkah Hotel</v>
      </c>
      <c r="W146" s="1" t="str">
        <f>IF(pilgrims[[#This Row],[packages.second_hotel_name]]="",pilgrims[[#This Row],[packages.first_hotel_check_in]],pilgrims[[#This Row],[packages.second_hotel_check_in]])</f>
        <v>2026-05-21</v>
      </c>
      <c r="X146" s="1" t="str">
        <f>IF(pilgrims[[#This Row],[packages.second_hotel_name]]="",pilgrims[[#This Row],[packages.first_hotel_check_out]],pilgrims[[#This Row],[packages.second_hotel_check_out]])</f>
        <v>2026-05-25</v>
      </c>
      <c r="Y146" s="1" t="s">
        <v>16</v>
      </c>
      <c r="Z146" s="1" t="s">
        <v>214</v>
      </c>
      <c r="AA146" s="1" t="s">
        <v>1190</v>
      </c>
      <c r="AB146" s="1" t="s">
        <v>1190</v>
      </c>
      <c r="AC146" s="1" t="s">
        <v>212</v>
      </c>
      <c r="AD146" s="1" t="s">
        <v>133</v>
      </c>
      <c r="AE146" s="1" t="s">
        <v>1281</v>
      </c>
      <c r="AF146" s="4">
        <v>46160</v>
      </c>
      <c r="AG146" s="5">
        <v>0.3923611111111111</v>
      </c>
      <c r="AH146" s="1" t="s">
        <v>60</v>
      </c>
      <c r="AI146" s="1" t="s">
        <v>1280</v>
      </c>
      <c r="AJ146" s="4">
        <v>46173</v>
      </c>
      <c r="AK146" s="5">
        <v>0.12847222222222221</v>
      </c>
      <c r="AL146" s="1" t="s">
        <v>215</v>
      </c>
      <c r="AM146" s="1"/>
    </row>
    <row r="147" spans="1:39" x14ac:dyDescent="0.3">
      <c r="A147" s="1">
        <v>216091</v>
      </c>
      <c r="B147" s="1">
        <v>715591</v>
      </c>
      <c r="C147" s="1" t="s">
        <v>1188</v>
      </c>
      <c r="D147" s="38" t="s">
        <v>1666</v>
      </c>
      <c r="E147" s="4">
        <v>22460</v>
      </c>
      <c r="F147" s="1">
        <v>64</v>
      </c>
      <c r="G147" s="1" t="s">
        <v>212</v>
      </c>
      <c r="H147" s="1" t="s">
        <v>1501</v>
      </c>
      <c r="I147" s="1" t="s">
        <v>1501</v>
      </c>
      <c r="J147" s="1">
        <v>8529</v>
      </c>
      <c r="K147" s="1" t="s">
        <v>82</v>
      </c>
      <c r="L147" s="1" t="s">
        <v>19</v>
      </c>
      <c r="M147" s="1" t="s">
        <v>13</v>
      </c>
      <c r="N147" s="1" t="s">
        <v>20</v>
      </c>
      <c r="O147" s="1" t="s">
        <v>216</v>
      </c>
      <c r="P147" s="1" t="s">
        <v>53</v>
      </c>
      <c r="Q147" s="1" t="s">
        <v>19</v>
      </c>
      <c r="R147" s="1" t="s">
        <v>8</v>
      </c>
      <c r="S147" s="1" t="s">
        <v>21</v>
      </c>
      <c r="T147" s="1" t="s">
        <v>53</v>
      </c>
      <c r="U147" s="1" t="s">
        <v>8</v>
      </c>
      <c r="V147" s="1" t="str">
        <f>IF(pilgrims[[#This Row],[packages.second_hotel_name]]="",pilgrims[[#This Row],[packages.first_hotel_name]],pilgrims[[#This Row],[packages.second_hotel_name]])</f>
        <v>Swissotel Makkah Hotel</v>
      </c>
      <c r="W147" s="1" t="str">
        <f>IF(pilgrims[[#This Row],[packages.second_hotel_name]]="",pilgrims[[#This Row],[packages.first_hotel_check_in]],pilgrims[[#This Row],[packages.second_hotel_check_in]])</f>
        <v>2026-05-21</v>
      </c>
      <c r="X147" s="1" t="str">
        <f>IF(pilgrims[[#This Row],[packages.second_hotel_name]]="",pilgrims[[#This Row],[packages.first_hotel_check_out]],pilgrims[[#This Row],[packages.second_hotel_check_out]])</f>
        <v>2026-05-25</v>
      </c>
      <c r="Y147" s="1" t="s">
        <v>16</v>
      </c>
      <c r="Z147" s="1" t="s">
        <v>261</v>
      </c>
      <c r="AA147" s="1" t="s">
        <v>463</v>
      </c>
      <c r="AB147" s="1" t="s">
        <v>1302</v>
      </c>
      <c r="AC147" s="1" t="s">
        <v>464</v>
      </c>
      <c r="AD147" s="1" t="s">
        <v>1303</v>
      </c>
      <c r="AE147" s="1" t="s">
        <v>1281</v>
      </c>
      <c r="AF147" s="4">
        <v>46160</v>
      </c>
      <c r="AG147" s="5">
        <v>0.94444444444444442</v>
      </c>
      <c r="AH147" s="1" t="s">
        <v>1304</v>
      </c>
      <c r="AI147" s="1" t="s">
        <v>1280</v>
      </c>
      <c r="AJ147" s="4">
        <v>46173</v>
      </c>
      <c r="AK147" s="5">
        <v>0.24305555555555555</v>
      </c>
      <c r="AL147" s="1" t="s">
        <v>215</v>
      </c>
      <c r="AM147" s="1"/>
    </row>
    <row r="148" spans="1:39" x14ac:dyDescent="0.3">
      <c r="A148" s="1">
        <v>249563</v>
      </c>
      <c r="B148" s="1">
        <v>191644</v>
      </c>
      <c r="C148" s="1" t="s">
        <v>1188</v>
      </c>
      <c r="D148" s="38" t="s">
        <v>1667</v>
      </c>
      <c r="E148" s="4">
        <v>27276</v>
      </c>
      <c r="F148" s="1">
        <v>51</v>
      </c>
      <c r="G148" s="1" t="s">
        <v>212</v>
      </c>
      <c r="H148" s="1" t="s">
        <v>1502</v>
      </c>
      <c r="I148" s="1" t="s">
        <v>1502</v>
      </c>
      <c r="J148" s="1">
        <v>8544</v>
      </c>
      <c r="K148" s="1" t="s">
        <v>90</v>
      </c>
      <c r="L148" s="1" t="s">
        <v>19</v>
      </c>
      <c r="M148" s="1" t="s">
        <v>13</v>
      </c>
      <c r="N148" s="1" t="s">
        <v>5</v>
      </c>
      <c r="O148" s="1" t="s">
        <v>216</v>
      </c>
      <c r="P148" s="1" t="s">
        <v>53</v>
      </c>
      <c r="Q148" s="1" t="s">
        <v>19</v>
      </c>
      <c r="R148" s="1" t="s">
        <v>8</v>
      </c>
      <c r="S148" s="1" t="s">
        <v>21</v>
      </c>
      <c r="T148" s="1" t="s">
        <v>53</v>
      </c>
      <c r="U148" s="1" t="s">
        <v>8</v>
      </c>
      <c r="V148" s="1" t="str">
        <f>IF(pilgrims[[#This Row],[packages.second_hotel_name]]="",pilgrims[[#This Row],[packages.first_hotel_name]],pilgrims[[#This Row],[packages.second_hotel_name]])</f>
        <v>Swissotel Makkah Hotel</v>
      </c>
      <c r="W148" s="1" t="str">
        <f>IF(pilgrims[[#This Row],[packages.second_hotel_name]]="",pilgrims[[#This Row],[packages.first_hotel_check_in]],pilgrims[[#This Row],[packages.second_hotel_check_in]])</f>
        <v>2026-05-21</v>
      </c>
      <c r="X148" s="1" t="str">
        <f>IF(pilgrims[[#This Row],[packages.second_hotel_name]]="",pilgrims[[#This Row],[packages.first_hotel_check_out]],pilgrims[[#This Row],[packages.second_hotel_check_out]])</f>
        <v>2026-05-24</v>
      </c>
      <c r="Y148" s="1" t="s">
        <v>11</v>
      </c>
      <c r="Z148" s="1" t="s">
        <v>214</v>
      </c>
      <c r="AA148" s="1" t="s">
        <v>1190</v>
      </c>
      <c r="AB148" s="1" t="s">
        <v>1190</v>
      </c>
      <c r="AC148" s="1" t="s">
        <v>212</v>
      </c>
      <c r="AD148" s="1" t="s">
        <v>133</v>
      </c>
      <c r="AE148" s="1" t="s">
        <v>1281</v>
      </c>
      <c r="AF148" s="4">
        <v>46160</v>
      </c>
      <c r="AG148" s="5">
        <v>0.3923611111111111</v>
      </c>
      <c r="AH148" s="1" t="s">
        <v>60</v>
      </c>
      <c r="AI148" s="1" t="s">
        <v>1280</v>
      </c>
      <c r="AJ148" s="4">
        <v>46173</v>
      </c>
      <c r="AK148" s="5">
        <v>0.12847222222222221</v>
      </c>
      <c r="AL148" s="1" t="s">
        <v>215</v>
      </c>
      <c r="AM148" s="1"/>
    </row>
    <row r="149" spans="1:39" x14ac:dyDescent="0.3">
      <c r="A149" s="1">
        <v>808725</v>
      </c>
      <c r="B149" s="1">
        <v>191644</v>
      </c>
      <c r="C149" s="1" t="s">
        <v>1189</v>
      </c>
      <c r="D149" s="38" t="s">
        <v>1668</v>
      </c>
      <c r="E149" s="4">
        <v>28861</v>
      </c>
      <c r="F149" s="1">
        <v>47</v>
      </c>
      <c r="G149" s="1" t="s">
        <v>212</v>
      </c>
      <c r="H149" s="1" t="s">
        <v>1502</v>
      </c>
      <c r="I149" s="1" t="s">
        <v>1502</v>
      </c>
      <c r="J149" s="1">
        <v>8544</v>
      </c>
      <c r="K149" s="1" t="s">
        <v>90</v>
      </c>
      <c r="L149" s="1" t="s">
        <v>19</v>
      </c>
      <c r="M149" s="1" t="s">
        <v>13</v>
      </c>
      <c r="N149" s="1" t="s">
        <v>5</v>
      </c>
      <c r="O149" s="1" t="s">
        <v>216</v>
      </c>
      <c r="P149" s="1" t="s">
        <v>53</v>
      </c>
      <c r="Q149" s="1" t="s">
        <v>19</v>
      </c>
      <c r="R149" s="1" t="s">
        <v>8</v>
      </c>
      <c r="S149" s="1" t="s">
        <v>21</v>
      </c>
      <c r="T149" s="1" t="s">
        <v>53</v>
      </c>
      <c r="U149" s="1" t="s">
        <v>8</v>
      </c>
      <c r="V149" s="1" t="str">
        <f>IF(pilgrims[[#This Row],[packages.second_hotel_name]]="",pilgrims[[#This Row],[packages.first_hotel_name]],pilgrims[[#This Row],[packages.second_hotel_name]])</f>
        <v>Swissotel Makkah Hotel</v>
      </c>
      <c r="W149" s="1" t="str">
        <f>IF(pilgrims[[#This Row],[packages.second_hotel_name]]="",pilgrims[[#This Row],[packages.first_hotel_check_in]],pilgrims[[#This Row],[packages.second_hotel_check_in]])</f>
        <v>2026-05-21</v>
      </c>
      <c r="X149" s="1" t="str">
        <f>IF(pilgrims[[#This Row],[packages.second_hotel_name]]="",pilgrims[[#This Row],[packages.first_hotel_check_out]],pilgrims[[#This Row],[packages.second_hotel_check_out]])</f>
        <v>2026-05-24</v>
      </c>
      <c r="Y149" s="1" t="s">
        <v>11</v>
      </c>
      <c r="Z149" s="1" t="s">
        <v>214</v>
      </c>
      <c r="AA149" s="1" t="s">
        <v>1190</v>
      </c>
      <c r="AB149" s="1" t="s">
        <v>1190</v>
      </c>
      <c r="AC149" s="1" t="s">
        <v>212</v>
      </c>
      <c r="AD149" s="1" t="s">
        <v>133</v>
      </c>
      <c r="AE149" s="1" t="s">
        <v>1281</v>
      </c>
      <c r="AF149" s="4">
        <v>46160</v>
      </c>
      <c r="AG149" s="5">
        <v>0.3923611111111111</v>
      </c>
      <c r="AH149" s="1" t="s">
        <v>60</v>
      </c>
      <c r="AI149" s="1" t="s">
        <v>1280</v>
      </c>
      <c r="AJ149" s="4">
        <v>46173</v>
      </c>
      <c r="AK149" s="5">
        <v>0.12847222222222221</v>
      </c>
      <c r="AL149" s="1" t="s">
        <v>215</v>
      </c>
      <c r="AM149" s="1"/>
    </row>
    <row r="150" spans="1:39" x14ac:dyDescent="0.3">
      <c r="A150" s="1">
        <v>690923</v>
      </c>
      <c r="B150" s="1">
        <v>561458</v>
      </c>
      <c r="C150" s="1" t="s">
        <v>1189</v>
      </c>
      <c r="D150" s="38" t="s">
        <v>1669</v>
      </c>
      <c r="E150" s="4">
        <v>26330</v>
      </c>
      <c r="F150" s="1">
        <v>54</v>
      </c>
      <c r="G150" s="1" t="s">
        <v>212</v>
      </c>
      <c r="H150" s="1" t="s">
        <v>1501</v>
      </c>
      <c r="I150" s="1" t="s">
        <v>1501</v>
      </c>
      <c r="J150" s="1">
        <v>8525</v>
      </c>
      <c r="K150" s="1" t="s">
        <v>77</v>
      </c>
      <c r="L150" s="1" t="s">
        <v>19</v>
      </c>
      <c r="M150" s="1" t="s">
        <v>13</v>
      </c>
      <c r="N150" s="1" t="s">
        <v>10</v>
      </c>
      <c r="O150" s="1" t="s">
        <v>216</v>
      </c>
      <c r="P150" s="1" t="s">
        <v>52</v>
      </c>
      <c r="Q150" s="1" t="s">
        <v>19</v>
      </c>
      <c r="R150" s="1" t="s">
        <v>8</v>
      </c>
      <c r="S150" s="1" t="s">
        <v>12</v>
      </c>
      <c r="T150" s="1" t="s">
        <v>53</v>
      </c>
      <c r="U150" s="1" t="s">
        <v>8</v>
      </c>
      <c r="V150" s="1" t="str">
        <f>IF(pilgrims[[#This Row],[packages.second_hotel_name]]="",pilgrims[[#This Row],[packages.first_hotel_name]],pilgrims[[#This Row],[packages.second_hotel_name]])</f>
        <v>Makkah Clock Royal Tower A Fairmont Hotel</v>
      </c>
      <c r="W150" s="1" t="str">
        <f>IF(pilgrims[[#This Row],[packages.second_hotel_name]]="",pilgrims[[#This Row],[packages.first_hotel_check_in]],pilgrims[[#This Row],[packages.second_hotel_check_in]])</f>
        <v>2026-05-21</v>
      </c>
      <c r="X150" s="1" t="str">
        <f>IF(pilgrims[[#This Row],[packages.second_hotel_name]]="",pilgrims[[#This Row],[packages.first_hotel_check_out]],pilgrims[[#This Row],[packages.second_hotel_check_out]])</f>
        <v>2026-05-24</v>
      </c>
      <c r="Y150" s="1" t="s">
        <v>11</v>
      </c>
      <c r="Z150" s="1" t="s">
        <v>214</v>
      </c>
      <c r="AA150" s="1" t="s">
        <v>1190</v>
      </c>
      <c r="AB150" s="1" t="s">
        <v>1190</v>
      </c>
      <c r="AC150" s="1" t="s">
        <v>212</v>
      </c>
      <c r="AD150" s="1" t="s">
        <v>133</v>
      </c>
      <c r="AE150" s="1" t="s">
        <v>1281</v>
      </c>
      <c r="AF150" s="4">
        <v>46160</v>
      </c>
      <c r="AG150" s="5">
        <v>0.3923611111111111</v>
      </c>
      <c r="AH150" s="1" t="s">
        <v>60</v>
      </c>
      <c r="AI150" s="1" t="s">
        <v>1280</v>
      </c>
      <c r="AJ150" s="4">
        <v>46173</v>
      </c>
      <c r="AK150" s="5">
        <v>0.12847222222222221</v>
      </c>
      <c r="AL150" s="1" t="s">
        <v>215</v>
      </c>
      <c r="AM150" s="1"/>
    </row>
    <row r="151" spans="1:39" x14ac:dyDescent="0.3">
      <c r="A151" s="1">
        <v>518254</v>
      </c>
      <c r="B151" s="1">
        <v>409844</v>
      </c>
      <c r="C151" s="1" t="s">
        <v>1188</v>
      </c>
      <c r="D151" s="38" t="s">
        <v>1670</v>
      </c>
      <c r="E151" s="4">
        <v>17485</v>
      </c>
      <c r="F151" s="1">
        <v>78</v>
      </c>
      <c r="G151" s="1" t="s">
        <v>212</v>
      </c>
      <c r="H151" s="1" t="s">
        <v>1501</v>
      </c>
      <c r="I151" s="1" t="s">
        <v>1501</v>
      </c>
      <c r="J151" s="1">
        <v>8710</v>
      </c>
      <c r="K151" s="1" t="s">
        <v>95</v>
      </c>
      <c r="L151" s="1" t="s">
        <v>19</v>
      </c>
      <c r="M151" s="1" t="s">
        <v>13</v>
      </c>
      <c r="N151" s="1" t="s">
        <v>10</v>
      </c>
      <c r="O151" s="1" t="s">
        <v>216</v>
      </c>
      <c r="P151" s="1" t="s">
        <v>52</v>
      </c>
      <c r="Q151" s="1" t="s">
        <v>19</v>
      </c>
      <c r="R151" s="1" t="s">
        <v>8</v>
      </c>
      <c r="S151" s="1" t="s">
        <v>15</v>
      </c>
      <c r="T151" s="1" t="s">
        <v>53</v>
      </c>
      <c r="U151" s="1" t="s">
        <v>8</v>
      </c>
      <c r="V151" s="1" t="str">
        <f>IF(pilgrims[[#This Row],[packages.second_hotel_name]]="",pilgrims[[#This Row],[packages.first_hotel_name]],pilgrims[[#This Row],[packages.second_hotel_name]])</f>
        <v>Swissotel Al Maqam Makkah</v>
      </c>
      <c r="W151" s="1" t="str">
        <f>IF(pilgrims[[#This Row],[packages.second_hotel_name]]="",pilgrims[[#This Row],[packages.first_hotel_check_in]],pilgrims[[#This Row],[packages.second_hotel_check_in]])</f>
        <v>2026-05-21</v>
      </c>
      <c r="X151" s="1" t="str">
        <f>IF(pilgrims[[#This Row],[packages.second_hotel_name]]="",pilgrims[[#This Row],[packages.first_hotel_check_out]],pilgrims[[#This Row],[packages.second_hotel_check_out]])</f>
        <v>2026-05-25</v>
      </c>
      <c r="Y151" s="1" t="s">
        <v>16</v>
      </c>
      <c r="Z151" s="1" t="s">
        <v>214</v>
      </c>
      <c r="AA151" s="1" t="s">
        <v>1190</v>
      </c>
      <c r="AB151" s="1" t="s">
        <v>1190</v>
      </c>
      <c r="AC151" s="1" t="s">
        <v>212</v>
      </c>
      <c r="AD151" s="1" t="s">
        <v>133</v>
      </c>
      <c r="AE151" s="1" t="s">
        <v>1281</v>
      </c>
      <c r="AF151" s="4">
        <v>46160</v>
      </c>
      <c r="AG151" s="5">
        <v>0.3923611111111111</v>
      </c>
      <c r="AH151" s="1" t="s">
        <v>60</v>
      </c>
      <c r="AI151" s="1" t="s">
        <v>1280</v>
      </c>
      <c r="AJ151" s="4">
        <v>46173</v>
      </c>
      <c r="AK151" s="5">
        <v>0.12847222222222221</v>
      </c>
      <c r="AL151" s="1" t="s">
        <v>215</v>
      </c>
      <c r="AM151" s="1"/>
    </row>
    <row r="152" spans="1:39" x14ac:dyDescent="0.3">
      <c r="A152" s="1">
        <v>551328</v>
      </c>
      <c r="B152" s="1">
        <v>437991</v>
      </c>
      <c r="C152" s="1" t="s">
        <v>1189</v>
      </c>
      <c r="D152" s="38" t="s">
        <v>1671</v>
      </c>
      <c r="E152" s="4">
        <v>25768</v>
      </c>
      <c r="F152" s="1">
        <v>55</v>
      </c>
      <c r="G152" s="1" t="s">
        <v>212</v>
      </c>
      <c r="H152" s="1" t="s">
        <v>1502</v>
      </c>
      <c r="I152" s="1" t="s">
        <v>1502</v>
      </c>
      <c r="J152" s="1">
        <v>8530</v>
      </c>
      <c r="K152" s="1" t="s">
        <v>83</v>
      </c>
      <c r="L152" s="1" t="s">
        <v>19</v>
      </c>
      <c r="M152" s="1" t="s">
        <v>13</v>
      </c>
      <c r="N152" s="1" t="s">
        <v>5</v>
      </c>
      <c r="O152" s="1" t="s">
        <v>216</v>
      </c>
      <c r="P152" s="1" t="s">
        <v>53</v>
      </c>
      <c r="Q152" s="1" t="s">
        <v>19</v>
      </c>
      <c r="R152" s="1" t="s">
        <v>8</v>
      </c>
      <c r="S152" s="1" t="s">
        <v>15</v>
      </c>
      <c r="T152" s="1" t="s">
        <v>53</v>
      </c>
      <c r="U152" s="1" t="s">
        <v>8</v>
      </c>
      <c r="V152" s="1" t="str">
        <f>IF(pilgrims[[#This Row],[packages.second_hotel_name]]="",pilgrims[[#This Row],[packages.first_hotel_name]],pilgrims[[#This Row],[packages.second_hotel_name]])</f>
        <v>Swissotel Al Maqam Makkah</v>
      </c>
      <c r="W152" s="1" t="str">
        <f>IF(pilgrims[[#This Row],[packages.second_hotel_name]]="",pilgrims[[#This Row],[packages.first_hotel_check_in]],pilgrims[[#This Row],[packages.second_hotel_check_in]])</f>
        <v>2026-05-21</v>
      </c>
      <c r="X152" s="1" t="str">
        <f>IF(pilgrims[[#This Row],[packages.second_hotel_name]]="",pilgrims[[#This Row],[packages.first_hotel_check_out]],pilgrims[[#This Row],[packages.second_hotel_check_out]])</f>
        <v>2026-05-25</v>
      </c>
      <c r="Y152" s="1" t="s">
        <v>16</v>
      </c>
      <c r="Z152" s="1" t="s">
        <v>214</v>
      </c>
      <c r="AA152" s="1" t="s">
        <v>1210</v>
      </c>
      <c r="AB152" s="1" t="s">
        <v>1210</v>
      </c>
      <c r="AC152" s="1" t="s">
        <v>212</v>
      </c>
      <c r="AD152" s="1" t="s">
        <v>134</v>
      </c>
      <c r="AE152" s="1" t="s">
        <v>1281</v>
      </c>
      <c r="AF152" s="4">
        <v>46162</v>
      </c>
      <c r="AG152" s="5">
        <v>0.73958333333333337</v>
      </c>
      <c r="AH152" s="1" t="s">
        <v>68</v>
      </c>
      <c r="AI152" s="1" t="s">
        <v>1280</v>
      </c>
      <c r="AJ152" s="4">
        <v>46173</v>
      </c>
      <c r="AK152" s="5">
        <v>0.38541666666666669</v>
      </c>
      <c r="AL152" s="1" t="s">
        <v>215</v>
      </c>
      <c r="AM152" s="1"/>
    </row>
    <row r="153" spans="1:39" x14ac:dyDescent="0.3">
      <c r="A153" s="1">
        <v>742352</v>
      </c>
      <c r="B153" s="1">
        <v>437991</v>
      </c>
      <c r="C153" s="1" t="s">
        <v>1188</v>
      </c>
      <c r="D153" s="38" t="s">
        <v>1672</v>
      </c>
      <c r="E153" s="4">
        <v>26184</v>
      </c>
      <c r="F153" s="1">
        <v>54</v>
      </c>
      <c r="G153" s="1" t="s">
        <v>212</v>
      </c>
      <c r="H153" s="1" t="s">
        <v>1502</v>
      </c>
      <c r="I153" s="1" t="s">
        <v>1502</v>
      </c>
      <c r="J153" s="1">
        <v>8530</v>
      </c>
      <c r="K153" s="1" t="s">
        <v>83</v>
      </c>
      <c r="L153" s="1" t="s">
        <v>19</v>
      </c>
      <c r="M153" s="1" t="s">
        <v>13</v>
      </c>
      <c r="N153" s="1" t="s">
        <v>5</v>
      </c>
      <c r="O153" s="1" t="s">
        <v>216</v>
      </c>
      <c r="P153" s="1" t="s">
        <v>53</v>
      </c>
      <c r="Q153" s="1" t="s">
        <v>19</v>
      </c>
      <c r="R153" s="1" t="s">
        <v>8</v>
      </c>
      <c r="S153" s="1" t="s">
        <v>15</v>
      </c>
      <c r="T153" s="1" t="s">
        <v>53</v>
      </c>
      <c r="U153" s="1" t="s">
        <v>8</v>
      </c>
      <c r="V153" s="1" t="str">
        <f>IF(pilgrims[[#This Row],[packages.second_hotel_name]]="",pilgrims[[#This Row],[packages.first_hotel_name]],pilgrims[[#This Row],[packages.second_hotel_name]])</f>
        <v>Swissotel Al Maqam Makkah</v>
      </c>
      <c r="W153" s="1" t="str">
        <f>IF(pilgrims[[#This Row],[packages.second_hotel_name]]="",pilgrims[[#This Row],[packages.first_hotel_check_in]],pilgrims[[#This Row],[packages.second_hotel_check_in]])</f>
        <v>2026-05-21</v>
      </c>
      <c r="X153" s="1" t="str">
        <f>IF(pilgrims[[#This Row],[packages.second_hotel_name]]="",pilgrims[[#This Row],[packages.first_hotel_check_out]],pilgrims[[#This Row],[packages.second_hotel_check_out]])</f>
        <v>2026-05-25</v>
      </c>
      <c r="Y153" s="1" t="s">
        <v>16</v>
      </c>
      <c r="Z153" s="1" t="s">
        <v>214</v>
      </c>
      <c r="AA153" s="1" t="s">
        <v>1210</v>
      </c>
      <c r="AB153" s="1" t="s">
        <v>1210</v>
      </c>
      <c r="AC153" s="1" t="s">
        <v>212</v>
      </c>
      <c r="AD153" s="1" t="s">
        <v>134</v>
      </c>
      <c r="AE153" s="1" t="s">
        <v>1281</v>
      </c>
      <c r="AF153" s="4">
        <v>46162</v>
      </c>
      <c r="AG153" s="5">
        <v>0.73958333333333337</v>
      </c>
      <c r="AH153" s="1" t="s">
        <v>68</v>
      </c>
      <c r="AI153" s="1" t="s">
        <v>1280</v>
      </c>
      <c r="AJ153" s="4">
        <v>46173</v>
      </c>
      <c r="AK153" s="5">
        <v>0.38541666666666669</v>
      </c>
      <c r="AL153" s="1" t="s">
        <v>215</v>
      </c>
      <c r="AM153" s="1"/>
    </row>
    <row r="154" spans="1:39" x14ac:dyDescent="0.3">
      <c r="A154" s="1">
        <v>828152</v>
      </c>
      <c r="B154" s="1">
        <v>669605</v>
      </c>
      <c r="C154" s="1" t="s">
        <v>1188</v>
      </c>
      <c r="D154" s="38" t="s">
        <v>1673</v>
      </c>
      <c r="E154" s="4">
        <v>19326</v>
      </c>
      <c r="F154" s="1">
        <v>73</v>
      </c>
      <c r="G154" s="1" t="s">
        <v>212</v>
      </c>
      <c r="H154" s="1" t="s">
        <v>1503</v>
      </c>
      <c r="I154" s="1" t="s">
        <v>1503</v>
      </c>
      <c r="J154" s="1">
        <v>8540</v>
      </c>
      <c r="K154" s="1" t="s">
        <v>78</v>
      </c>
      <c r="L154" s="1" t="s">
        <v>8</v>
      </c>
      <c r="M154" s="1" t="s">
        <v>13</v>
      </c>
      <c r="N154" s="1" t="s">
        <v>5</v>
      </c>
      <c r="O154" s="1" t="s">
        <v>216</v>
      </c>
      <c r="P154" s="1" t="s">
        <v>53</v>
      </c>
      <c r="Q154" s="1" t="s">
        <v>8</v>
      </c>
      <c r="R154" s="1" t="s">
        <v>11</v>
      </c>
      <c r="S154" s="1"/>
      <c r="T154" s="1"/>
      <c r="U154" s="1"/>
      <c r="V154" s="1" t="str">
        <f>IF(pilgrims[[#This Row],[packages.second_hotel_name]]="",pilgrims[[#This Row],[packages.first_hotel_name]],pilgrims[[#This Row],[packages.second_hotel_name]])</f>
        <v>Movenpick Anwar Almadinah Hotel</v>
      </c>
      <c r="W154" s="1" t="str">
        <f>IF(pilgrims[[#This Row],[packages.second_hotel_name]]="",pilgrims[[#This Row],[packages.first_hotel_check_in]],pilgrims[[#This Row],[packages.second_hotel_check_in]])</f>
        <v>2026-05-21</v>
      </c>
      <c r="X154" s="1" t="str">
        <f>IF(pilgrims[[#This Row],[packages.second_hotel_name]]="",pilgrims[[#This Row],[packages.first_hotel_check_out]],pilgrims[[#This Row],[packages.second_hotel_check_out]])</f>
        <v>2026-05-24</v>
      </c>
      <c r="Y154" s="1"/>
      <c r="Z154" s="1" t="s">
        <v>214</v>
      </c>
      <c r="AA154" s="1" t="s">
        <v>1205</v>
      </c>
      <c r="AB154" s="1" t="s">
        <v>1205</v>
      </c>
      <c r="AC154" s="1" t="s">
        <v>212</v>
      </c>
      <c r="AD154" s="1" t="s">
        <v>136</v>
      </c>
      <c r="AE154" s="1" t="s">
        <v>1281</v>
      </c>
      <c r="AF154" s="4">
        <v>46163</v>
      </c>
      <c r="AG154" s="5">
        <v>0.1076388888888889</v>
      </c>
      <c r="AH154" s="1" t="s">
        <v>1221</v>
      </c>
      <c r="AI154" s="1" t="s">
        <v>1280</v>
      </c>
      <c r="AJ154" s="4">
        <v>46172</v>
      </c>
      <c r="AK154" s="5">
        <v>0.34027777777777779</v>
      </c>
      <c r="AL154" s="1" t="s">
        <v>215</v>
      </c>
      <c r="AM154" s="1"/>
    </row>
    <row r="155" spans="1:39" x14ac:dyDescent="0.3">
      <c r="A155" s="1">
        <v>828258</v>
      </c>
      <c r="B155" s="1">
        <v>669605</v>
      </c>
      <c r="C155" s="1" t="s">
        <v>1189</v>
      </c>
      <c r="D155" s="38" t="s">
        <v>1674</v>
      </c>
      <c r="E155" s="4">
        <v>22729</v>
      </c>
      <c r="F155" s="1">
        <v>63</v>
      </c>
      <c r="G155" s="1" t="s">
        <v>212</v>
      </c>
      <c r="H155" s="1" t="s">
        <v>1503</v>
      </c>
      <c r="I155" s="1" t="s">
        <v>1503</v>
      </c>
      <c r="J155" s="1">
        <v>8540</v>
      </c>
      <c r="K155" s="1" t="s">
        <v>78</v>
      </c>
      <c r="L155" s="1" t="s">
        <v>8</v>
      </c>
      <c r="M155" s="1" t="s">
        <v>13</v>
      </c>
      <c r="N155" s="1" t="s">
        <v>5</v>
      </c>
      <c r="O155" s="1" t="s">
        <v>216</v>
      </c>
      <c r="P155" s="1" t="s">
        <v>53</v>
      </c>
      <c r="Q155" s="1" t="s">
        <v>8</v>
      </c>
      <c r="R155" s="1" t="s">
        <v>11</v>
      </c>
      <c r="S155" s="1"/>
      <c r="T155" s="1"/>
      <c r="U155" s="1"/>
      <c r="V155" s="1" t="str">
        <f>IF(pilgrims[[#This Row],[packages.second_hotel_name]]="",pilgrims[[#This Row],[packages.first_hotel_name]],pilgrims[[#This Row],[packages.second_hotel_name]])</f>
        <v>Movenpick Anwar Almadinah Hotel</v>
      </c>
      <c r="W155" s="1" t="str">
        <f>IF(pilgrims[[#This Row],[packages.second_hotel_name]]="",pilgrims[[#This Row],[packages.first_hotel_check_in]],pilgrims[[#This Row],[packages.second_hotel_check_in]])</f>
        <v>2026-05-21</v>
      </c>
      <c r="X155" s="1" t="str">
        <f>IF(pilgrims[[#This Row],[packages.second_hotel_name]]="",pilgrims[[#This Row],[packages.first_hotel_check_out]],pilgrims[[#This Row],[packages.second_hotel_check_out]])</f>
        <v>2026-05-24</v>
      </c>
      <c r="Y155" s="1"/>
      <c r="Z155" s="1" t="s">
        <v>214</v>
      </c>
      <c r="AA155" s="1" t="s">
        <v>1205</v>
      </c>
      <c r="AB155" s="1" t="s">
        <v>1205</v>
      </c>
      <c r="AC155" s="1" t="s">
        <v>212</v>
      </c>
      <c r="AD155" s="1" t="s">
        <v>136</v>
      </c>
      <c r="AE155" s="1" t="s">
        <v>1281</v>
      </c>
      <c r="AF155" s="4">
        <v>46163</v>
      </c>
      <c r="AG155" s="5">
        <v>0.1076388888888889</v>
      </c>
      <c r="AH155" s="1" t="s">
        <v>1221</v>
      </c>
      <c r="AI155" s="1" t="s">
        <v>1280</v>
      </c>
      <c r="AJ155" s="4">
        <v>46172</v>
      </c>
      <c r="AK155" s="5">
        <v>0.34027777777777779</v>
      </c>
      <c r="AL155" s="1" t="s">
        <v>215</v>
      </c>
      <c r="AM155" s="1"/>
    </row>
    <row r="156" spans="1:39" x14ac:dyDescent="0.3">
      <c r="A156" s="1">
        <v>744903</v>
      </c>
      <c r="B156" s="1">
        <v>603822</v>
      </c>
      <c r="C156" s="1" t="s">
        <v>1188</v>
      </c>
      <c r="D156" s="38" t="s">
        <v>1675</v>
      </c>
      <c r="E156" s="4">
        <v>20852</v>
      </c>
      <c r="F156" s="1">
        <v>69</v>
      </c>
      <c r="G156" s="1" t="s">
        <v>212</v>
      </c>
      <c r="H156" s="1" t="s">
        <v>1501</v>
      </c>
      <c r="I156" s="1" t="s">
        <v>1501</v>
      </c>
      <c r="J156" s="1">
        <v>8714</v>
      </c>
      <c r="K156" s="1" t="s">
        <v>96</v>
      </c>
      <c r="L156" s="1" t="s">
        <v>19</v>
      </c>
      <c r="M156" s="1" t="s">
        <v>13</v>
      </c>
      <c r="N156" s="1" t="s">
        <v>5</v>
      </c>
      <c r="O156" s="1" t="s">
        <v>216</v>
      </c>
      <c r="P156" s="1" t="s">
        <v>53</v>
      </c>
      <c r="Q156" s="1" t="s">
        <v>19</v>
      </c>
      <c r="R156" s="1" t="s">
        <v>8</v>
      </c>
      <c r="S156" s="1" t="s">
        <v>21</v>
      </c>
      <c r="T156" s="1" t="s">
        <v>53</v>
      </c>
      <c r="U156" s="1" t="s">
        <v>8</v>
      </c>
      <c r="V156" s="1" t="str">
        <f>IF(pilgrims[[#This Row],[packages.second_hotel_name]]="",pilgrims[[#This Row],[packages.first_hotel_name]],pilgrims[[#This Row],[packages.second_hotel_name]])</f>
        <v>Swissotel Makkah Hotel</v>
      </c>
      <c r="W156" s="1" t="str">
        <f>IF(pilgrims[[#This Row],[packages.second_hotel_name]]="",pilgrims[[#This Row],[packages.first_hotel_check_in]],pilgrims[[#This Row],[packages.second_hotel_check_in]])</f>
        <v>2026-05-21</v>
      </c>
      <c r="X156" s="1" t="str">
        <f>IF(pilgrims[[#This Row],[packages.second_hotel_name]]="",pilgrims[[#This Row],[packages.first_hotel_check_out]],pilgrims[[#This Row],[packages.second_hotel_check_out]])</f>
        <v>2026-05-25</v>
      </c>
      <c r="Y156" s="1" t="s">
        <v>16</v>
      </c>
      <c r="Z156" s="1" t="s">
        <v>214</v>
      </c>
      <c r="AA156" s="1" t="s">
        <v>1194</v>
      </c>
      <c r="AB156" s="1" t="s">
        <v>1194</v>
      </c>
      <c r="AC156" s="1" t="s">
        <v>212</v>
      </c>
      <c r="AD156" s="1" t="s">
        <v>137</v>
      </c>
      <c r="AE156" s="1" t="s">
        <v>1281</v>
      </c>
      <c r="AF156" s="4">
        <v>46161</v>
      </c>
      <c r="AG156" s="5">
        <v>0.87847222222222221</v>
      </c>
      <c r="AH156" s="1" t="s">
        <v>63</v>
      </c>
      <c r="AI156" s="1" t="s">
        <v>1280</v>
      </c>
      <c r="AJ156" s="4">
        <v>46173</v>
      </c>
      <c r="AK156" s="5">
        <v>0.3923611111111111</v>
      </c>
      <c r="AL156" s="1" t="s">
        <v>215</v>
      </c>
      <c r="AM156" s="1"/>
    </row>
    <row r="157" spans="1:39" x14ac:dyDescent="0.3">
      <c r="A157" s="1">
        <v>744928</v>
      </c>
      <c r="B157" s="1">
        <v>603822</v>
      </c>
      <c r="C157" s="1" t="s">
        <v>1189</v>
      </c>
      <c r="D157" s="38" t="s">
        <v>1676</v>
      </c>
      <c r="E157" s="4">
        <v>25557</v>
      </c>
      <c r="F157" s="1">
        <v>56</v>
      </c>
      <c r="G157" s="1" t="s">
        <v>212</v>
      </c>
      <c r="H157" s="1" t="s">
        <v>1501</v>
      </c>
      <c r="I157" s="1" t="s">
        <v>1501</v>
      </c>
      <c r="J157" s="1">
        <v>8714</v>
      </c>
      <c r="K157" s="1" t="s">
        <v>96</v>
      </c>
      <c r="L157" s="1" t="s">
        <v>19</v>
      </c>
      <c r="M157" s="1" t="s">
        <v>13</v>
      </c>
      <c r="N157" s="1" t="s">
        <v>5</v>
      </c>
      <c r="O157" s="1" t="s">
        <v>216</v>
      </c>
      <c r="P157" s="1" t="s">
        <v>53</v>
      </c>
      <c r="Q157" s="1" t="s">
        <v>19</v>
      </c>
      <c r="R157" s="1" t="s">
        <v>8</v>
      </c>
      <c r="S157" s="1" t="s">
        <v>21</v>
      </c>
      <c r="T157" s="1" t="s">
        <v>53</v>
      </c>
      <c r="U157" s="1" t="s">
        <v>8</v>
      </c>
      <c r="V157" s="1" t="str">
        <f>IF(pilgrims[[#This Row],[packages.second_hotel_name]]="",pilgrims[[#This Row],[packages.first_hotel_name]],pilgrims[[#This Row],[packages.second_hotel_name]])</f>
        <v>Swissotel Makkah Hotel</v>
      </c>
      <c r="W157" s="1" t="str">
        <f>IF(pilgrims[[#This Row],[packages.second_hotel_name]]="",pilgrims[[#This Row],[packages.first_hotel_check_in]],pilgrims[[#This Row],[packages.second_hotel_check_in]])</f>
        <v>2026-05-21</v>
      </c>
      <c r="X157" s="1" t="str">
        <f>IF(pilgrims[[#This Row],[packages.second_hotel_name]]="",pilgrims[[#This Row],[packages.first_hotel_check_out]],pilgrims[[#This Row],[packages.second_hotel_check_out]])</f>
        <v>2026-05-25</v>
      </c>
      <c r="Y157" s="1" t="s">
        <v>16</v>
      </c>
      <c r="Z157" s="1" t="s">
        <v>214</v>
      </c>
      <c r="AA157" s="1" t="s">
        <v>1194</v>
      </c>
      <c r="AB157" s="1" t="s">
        <v>1194</v>
      </c>
      <c r="AC157" s="1" t="s">
        <v>212</v>
      </c>
      <c r="AD157" s="1" t="s">
        <v>137</v>
      </c>
      <c r="AE157" s="1" t="s">
        <v>1281</v>
      </c>
      <c r="AF157" s="4">
        <v>46161</v>
      </c>
      <c r="AG157" s="5">
        <v>0.87847222222222221</v>
      </c>
      <c r="AH157" s="1" t="s">
        <v>63</v>
      </c>
      <c r="AI157" s="1" t="s">
        <v>1280</v>
      </c>
      <c r="AJ157" s="4">
        <v>46173</v>
      </c>
      <c r="AK157" s="5">
        <v>0.3923611111111111</v>
      </c>
      <c r="AL157" s="1" t="s">
        <v>215</v>
      </c>
      <c r="AM157" s="1"/>
    </row>
    <row r="158" spans="1:39" x14ac:dyDescent="0.3">
      <c r="A158" s="1">
        <v>400757</v>
      </c>
      <c r="B158" s="1">
        <v>314285</v>
      </c>
      <c r="C158" s="1" t="s">
        <v>1188</v>
      </c>
      <c r="D158" s="38" t="s">
        <v>1677</v>
      </c>
      <c r="E158" s="4">
        <v>25013</v>
      </c>
      <c r="F158" s="1">
        <v>57</v>
      </c>
      <c r="G158" s="1" t="s">
        <v>212</v>
      </c>
      <c r="H158" s="1" t="s">
        <v>1501</v>
      </c>
      <c r="I158" s="1" t="s">
        <v>1501</v>
      </c>
      <c r="J158" s="1">
        <v>8524</v>
      </c>
      <c r="K158" s="1" t="s">
        <v>85</v>
      </c>
      <c r="L158" s="1" t="s">
        <v>8</v>
      </c>
      <c r="M158" s="1" t="s">
        <v>9</v>
      </c>
      <c r="N158" s="1" t="s">
        <v>5</v>
      </c>
      <c r="O158" s="1" t="s">
        <v>216</v>
      </c>
      <c r="P158" s="1" t="s">
        <v>53</v>
      </c>
      <c r="Q158" s="1" t="s">
        <v>8</v>
      </c>
      <c r="R158" s="1" t="s">
        <v>11</v>
      </c>
      <c r="S158" s="1" t="s">
        <v>15</v>
      </c>
      <c r="T158" s="1" t="s">
        <v>53</v>
      </c>
      <c r="U158" s="1" t="s">
        <v>13</v>
      </c>
      <c r="V158" s="1" t="str">
        <f>IF(pilgrims[[#This Row],[packages.second_hotel_name]]="",pilgrims[[#This Row],[packages.first_hotel_name]],pilgrims[[#This Row],[packages.second_hotel_name]])</f>
        <v>Swissotel Al Maqam Makkah</v>
      </c>
      <c r="W158" s="1" t="str">
        <f>IF(pilgrims[[#This Row],[packages.second_hotel_name]]="",pilgrims[[#This Row],[packages.first_hotel_check_in]],pilgrims[[#This Row],[packages.second_hotel_check_in]])</f>
        <v>2026-05-31</v>
      </c>
      <c r="X158" s="1" t="str">
        <f>IF(pilgrims[[#This Row],[packages.second_hotel_name]]="",pilgrims[[#This Row],[packages.first_hotel_check_out]],pilgrims[[#This Row],[packages.second_hotel_check_out]])</f>
        <v>2026-06-06</v>
      </c>
      <c r="Y158" s="1" t="s">
        <v>9</v>
      </c>
      <c r="Z158" s="1" t="s">
        <v>261</v>
      </c>
      <c r="AA158" s="1" t="s">
        <v>480</v>
      </c>
      <c r="AB158" s="1" t="s">
        <v>1352</v>
      </c>
      <c r="AC158" s="1" t="s">
        <v>481</v>
      </c>
      <c r="AD158" s="1" t="s">
        <v>1353</v>
      </c>
      <c r="AE158" s="1" t="s">
        <v>1281</v>
      </c>
      <c r="AF158" s="4">
        <v>46163</v>
      </c>
      <c r="AG158" s="5">
        <v>0.67708333333333337</v>
      </c>
      <c r="AH158" s="1" t="s">
        <v>1354</v>
      </c>
      <c r="AI158" s="1" t="s">
        <v>1280</v>
      </c>
      <c r="AJ158" s="4">
        <v>46179</v>
      </c>
      <c r="AK158" s="5">
        <v>0.36805555555555558</v>
      </c>
      <c r="AL158" s="1" t="s">
        <v>215</v>
      </c>
      <c r="AM158" s="1" t="b">
        <v>1</v>
      </c>
    </row>
    <row r="159" spans="1:39" x14ac:dyDescent="0.3">
      <c r="A159" s="1">
        <v>651738</v>
      </c>
      <c r="B159" s="1">
        <v>529044</v>
      </c>
      <c r="C159" s="1" t="s">
        <v>1188</v>
      </c>
      <c r="D159" s="38" t="s">
        <v>1678</v>
      </c>
      <c r="E159" s="4">
        <v>23013</v>
      </c>
      <c r="F159" s="1">
        <v>63</v>
      </c>
      <c r="G159" s="1" t="s">
        <v>212</v>
      </c>
      <c r="H159" s="1" t="s">
        <v>1501</v>
      </c>
      <c r="I159" s="1" t="s">
        <v>1501</v>
      </c>
      <c r="J159" s="1">
        <v>8714</v>
      </c>
      <c r="K159" s="1" t="s">
        <v>96</v>
      </c>
      <c r="L159" s="1" t="s">
        <v>19</v>
      </c>
      <c r="M159" s="1" t="s">
        <v>13</v>
      </c>
      <c r="N159" s="1" t="s">
        <v>5</v>
      </c>
      <c r="O159" s="1" t="s">
        <v>216</v>
      </c>
      <c r="P159" s="1" t="s">
        <v>53</v>
      </c>
      <c r="Q159" s="1" t="s">
        <v>19</v>
      </c>
      <c r="R159" s="1" t="s">
        <v>8</v>
      </c>
      <c r="S159" s="1" t="s">
        <v>21</v>
      </c>
      <c r="T159" s="1" t="s">
        <v>53</v>
      </c>
      <c r="U159" s="1" t="s">
        <v>8</v>
      </c>
      <c r="V159" s="1" t="str">
        <f>IF(pilgrims[[#This Row],[packages.second_hotel_name]]="",pilgrims[[#This Row],[packages.first_hotel_name]],pilgrims[[#This Row],[packages.second_hotel_name]])</f>
        <v>Swissotel Makkah Hotel</v>
      </c>
      <c r="W159" s="1" t="str">
        <f>IF(pilgrims[[#This Row],[packages.second_hotel_name]]="",pilgrims[[#This Row],[packages.first_hotel_check_in]],pilgrims[[#This Row],[packages.second_hotel_check_in]])</f>
        <v>2026-05-21</v>
      </c>
      <c r="X159" s="1" t="str">
        <f>IF(pilgrims[[#This Row],[packages.second_hotel_name]]="",pilgrims[[#This Row],[packages.first_hotel_check_out]],pilgrims[[#This Row],[packages.second_hotel_check_out]])</f>
        <v>2026-05-25</v>
      </c>
      <c r="Y159" s="1" t="s">
        <v>16</v>
      </c>
      <c r="Z159" s="1" t="s">
        <v>214</v>
      </c>
      <c r="AA159" s="1" t="s">
        <v>1194</v>
      </c>
      <c r="AB159" s="1" t="s">
        <v>1194</v>
      </c>
      <c r="AC159" s="1" t="s">
        <v>212</v>
      </c>
      <c r="AD159" s="1" t="s">
        <v>137</v>
      </c>
      <c r="AE159" s="1" t="s">
        <v>1281</v>
      </c>
      <c r="AF159" s="4">
        <v>46161</v>
      </c>
      <c r="AG159" s="5">
        <v>0.87847222222222221</v>
      </c>
      <c r="AH159" s="1" t="s">
        <v>63</v>
      </c>
      <c r="AI159" s="1" t="s">
        <v>1280</v>
      </c>
      <c r="AJ159" s="4">
        <v>46173</v>
      </c>
      <c r="AK159" s="5">
        <v>0.3923611111111111</v>
      </c>
      <c r="AL159" s="1" t="s">
        <v>215</v>
      </c>
      <c r="AM159" s="1"/>
    </row>
    <row r="160" spans="1:39" x14ac:dyDescent="0.3">
      <c r="A160" s="1">
        <v>400819</v>
      </c>
      <c r="B160" s="1">
        <v>314285</v>
      </c>
      <c r="C160" s="1" t="s">
        <v>1189</v>
      </c>
      <c r="D160" s="38" t="s">
        <v>1679</v>
      </c>
      <c r="E160" s="4">
        <v>23033</v>
      </c>
      <c r="F160" s="1">
        <v>63</v>
      </c>
      <c r="G160" s="1" t="s">
        <v>212</v>
      </c>
      <c r="H160" s="1" t="s">
        <v>1501</v>
      </c>
      <c r="I160" s="1" t="s">
        <v>1501</v>
      </c>
      <c r="J160" s="1">
        <v>8524</v>
      </c>
      <c r="K160" s="1" t="s">
        <v>85</v>
      </c>
      <c r="L160" s="1" t="s">
        <v>8</v>
      </c>
      <c r="M160" s="1" t="s">
        <v>9</v>
      </c>
      <c r="N160" s="1" t="s">
        <v>5</v>
      </c>
      <c r="O160" s="1" t="s">
        <v>216</v>
      </c>
      <c r="P160" s="1" t="s">
        <v>53</v>
      </c>
      <c r="Q160" s="1" t="s">
        <v>8</v>
      </c>
      <c r="R160" s="1" t="s">
        <v>11</v>
      </c>
      <c r="S160" s="1" t="s">
        <v>15</v>
      </c>
      <c r="T160" s="1" t="s">
        <v>53</v>
      </c>
      <c r="U160" s="1" t="s">
        <v>13</v>
      </c>
      <c r="V160" s="1" t="str">
        <f>IF(pilgrims[[#This Row],[packages.second_hotel_name]]="",pilgrims[[#This Row],[packages.first_hotel_name]],pilgrims[[#This Row],[packages.second_hotel_name]])</f>
        <v>Swissotel Al Maqam Makkah</v>
      </c>
      <c r="W160" s="1" t="str">
        <f>IF(pilgrims[[#This Row],[packages.second_hotel_name]]="",pilgrims[[#This Row],[packages.first_hotel_check_in]],pilgrims[[#This Row],[packages.second_hotel_check_in]])</f>
        <v>2026-05-31</v>
      </c>
      <c r="X160" s="1" t="str">
        <f>IF(pilgrims[[#This Row],[packages.second_hotel_name]]="",pilgrims[[#This Row],[packages.first_hotel_check_out]],pilgrims[[#This Row],[packages.second_hotel_check_out]])</f>
        <v>2026-06-06</v>
      </c>
      <c r="Y160" s="1" t="s">
        <v>9</v>
      </c>
      <c r="Z160" s="1" t="s">
        <v>261</v>
      </c>
      <c r="AA160" s="1" t="s">
        <v>480</v>
      </c>
      <c r="AB160" s="1" t="s">
        <v>1352</v>
      </c>
      <c r="AC160" s="1" t="s">
        <v>481</v>
      </c>
      <c r="AD160" s="1" t="s">
        <v>1353</v>
      </c>
      <c r="AE160" s="1" t="s">
        <v>1281</v>
      </c>
      <c r="AF160" s="4">
        <v>46163</v>
      </c>
      <c r="AG160" s="5">
        <v>0.67708333333333337</v>
      </c>
      <c r="AH160" s="1" t="s">
        <v>1354</v>
      </c>
      <c r="AI160" s="1" t="s">
        <v>1280</v>
      </c>
      <c r="AJ160" s="4">
        <v>46179</v>
      </c>
      <c r="AK160" s="5">
        <v>0.36805555555555558</v>
      </c>
      <c r="AL160" s="1" t="s">
        <v>215</v>
      </c>
      <c r="AM160" s="1" t="b">
        <v>1</v>
      </c>
    </row>
    <row r="161" spans="1:39" x14ac:dyDescent="0.3">
      <c r="A161" s="1">
        <v>669592</v>
      </c>
      <c r="B161" s="1">
        <v>529044</v>
      </c>
      <c r="C161" s="1" t="s">
        <v>1189</v>
      </c>
      <c r="D161" s="38" t="s">
        <v>1680</v>
      </c>
      <c r="E161" s="4">
        <v>23071</v>
      </c>
      <c r="F161" s="1">
        <v>63</v>
      </c>
      <c r="G161" s="1" t="s">
        <v>212</v>
      </c>
      <c r="H161" s="1" t="s">
        <v>1501</v>
      </c>
      <c r="I161" s="1" t="s">
        <v>1501</v>
      </c>
      <c r="J161" s="1">
        <v>8714</v>
      </c>
      <c r="K161" s="1" t="s">
        <v>96</v>
      </c>
      <c r="L161" s="1" t="s">
        <v>19</v>
      </c>
      <c r="M161" s="1" t="s">
        <v>13</v>
      </c>
      <c r="N161" s="1" t="s">
        <v>5</v>
      </c>
      <c r="O161" s="1" t="s">
        <v>216</v>
      </c>
      <c r="P161" s="1" t="s">
        <v>53</v>
      </c>
      <c r="Q161" s="1" t="s">
        <v>19</v>
      </c>
      <c r="R161" s="1" t="s">
        <v>8</v>
      </c>
      <c r="S161" s="1" t="s">
        <v>21</v>
      </c>
      <c r="T161" s="1" t="s">
        <v>53</v>
      </c>
      <c r="U161" s="1" t="s">
        <v>8</v>
      </c>
      <c r="V161" s="1" t="str">
        <f>IF(pilgrims[[#This Row],[packages.second_hotel_name]]="",pilgrims[[#This Row],[packages.first_hotel_name]],pilgrims[[#This Row],[packages.second_hotel_name]])</f>
        <v>Swissotel Makkah Hotel</v>
      </c>
      <c r="W161" s="1" t="str">
        <f>IF(pilgrims[[#This Row],[packages.second_hotel_name]]="",pilgrims[[#This Row],[packages.first_hotel_check_in]],pilgrims[[#This Row],[packages.second_hotel_check_in]])</f>
        <v>2026-05-21</v>
      </c>
      <c r="X161" s="1" t="str">
        <f>IF(pilgrims[[#This Row],[packages.second_hotel_name]]="",pilgrims[[#This Row],[packages.first_hotel_check_out]],pilgrims[[#This Row],[packages.second_hotel_check_out]])</f>
        <v>2026-05-25</v>
      </c>
      <c r="Y161" s="1" t="s">
        <v>16</v>
      </c>
      <c r="Z161" s="1" t="s">
        <v>214</v>
      </c>
      <c r="AA161" s="1" t="s">
        <v>1194</v>
      </c>
      <c r="AB161" s="1" t="s">
        <v>1194</v>
      </c>
      <c r="AC161" s="1" t="s">
        <v>212</v>
      </c>
      <c r="AD161" s="1" t="s">
        <v>137</v>
      </c>
      <c r="AE161" s="1" t="s">
        <v>1281</v>
      </c>
      <c r="AF161" s="4">
        <v>46161</v>
      </c>
      <c r="AG161" s="5">
        <v>0.87847222222222221</v>
      </c>
      <c r="AH161" s="1" t="s">
        <v>63</v>
      </c>
      <c r="AI161" s="1" t="s">
        <v>1280</v>
      </c>
      <c r="AJ161" s="4">
        <v>46173</v>
      </c>
      <c r="AK161" s="5">
        <v>0.3923611111111111</v>
      </c>
      <c r="AL161" s="1" t="s">
        <v>215</v>
      </c>
      <c r="AM161" s="1"/>
    </row>
    <row r="162" spans="1:39" x14ac:dyDescent="0.3">
      <c r="A162" s="1">
        <v>75637</v>
      </c>
      <c r="B162" s="1">
        <v>61869</v>
      </c>
      <c r="C162" s="1" t="s">
        <v>1188</v>
      </c>
      <c r="D162" s="38" t="s">
        <v>1681</v>
      </c>
      <c r="E162" s="4">
        <v>28456</v>
      </c>
      <c r="F162" s="1">
        <v>48</v>
      </c>
      <c r="G162" s="1" t="s">
        <v>212</v>
      </c>
      <c r="H162" s="1" t="s">
        <v>1501</v>
      </c>
      <c r="I162" s="1" t="s">
        <v>1501</v>
      </c>
      <c r="J162" s="1">
        <v>8530</v>
      </c>
      <c r="K162" s="1" t="s">
        <v>83</v>
      </c>
      <c r="L162" s="1" t="s">
        <v>19</v>
      </c>
      <c r="M162" s="1" t="s">
        <v>13</v>
      </c>
      <c r="N162" s="1" t="s">
        <v>5</v>
      </c>
      <c r="O162" s="1" t="s">
        <v>216</v>
      </c>
      <c r="P162" s="1" t="s">
        <v>53</v>
      </c>
      <c r="Q162" s="1" t="s">
        <v>19</v>
      </c>
      <c r="R162" s="1" t="s">
        <v>8</v>
      </c>
      <c r="S162" s="1" t="s">
        <v>15</v>
      </c>
      <c r="T162" s="1" t="s">
        <v>53</v>
      </c>
      <c r="U162" s="1" t="s">
        <v>8</v>
      </c>
      <c r="V162" s="1" t="str">
        <f>IF(pilgrims[[#This Row],[packages.second_hotel_name]]="",pilgrims[[#This Row],[packages.first_hotel_name]],pilgrims[[#This Row],[packages.second_hotel_name]])</f>
        <v>Swissotel Al Maqam Makkah</v>
      </c>
      <c r="W162" s="1" t="str">
        <f>IF(pilgrims[[#This Row],[packages.second_hotel_name]]="",pilgrims[[#This Row],[packages.first_hotel_check_in]],pilgrims[[#This Row],[packages.second_hotel_check_in]])</f>
        <v>2026-05-21</v>
      </c>
      <c r="X162" s="1" t="str">
        <f>IF(pilgrims[[#This Row],[packages.second_hotel_name]]="",pilgrims[[#This Row],[packages.first_hotel_check_out]],pilgrims[[#This Row],[packages.second_hotel_check_out]])</f>
        <v>2026-05-25</v>
      </c>
      <c r="Y162" s="1" t="s">
        <v>16</v>
      </c>
      <c r="Z162" s="1" t="s">
        <v>214</v>
      </c>
      <c r="AA162" s="1" t="s">
        <v>1190</v>
      </c>
      <c r="AB162" s="1" t="s">
        <v>1190</v>
      </c>
      <c r="AC162" s="1" t="s">
        <v>212</v>
      </c>
      <c r="AD162" s="1" t="s">
        <v>133</v>
      </c>
      <c r="AE162" s="1" t="s">
        <v>1281</v>
      </c>
      <c r="AF162" s="4">
        <v>46160</v>
      </c>
      <c r="AG162" s="5">
        <v>0.3923611111111111</v>
      </c>
      <c r="AH162" s="1" t="s">
        <v>60</v>
      </c>
      <c r="AI162" s="1" t="s">
        <v>1280</v>
      </c>
      <c r="AJ162" s="4">
        <v>46173</v>
      </c>
      <c r="AK162" s="5">
        <v>0.12847222222222221</v>
      </c>
      <c r="AL162" s="1" t="s">
        <v>215</v>
      </c>
      <c r="AM162" s="1"/>
    </row>
    <row r="163" spans="1:39" x14ac:dyDescent="0.3">
      <c r="A163" s="1">
        <v>361916</v>
      </c>
      <c r="B163" s="1">
        <v>61869</v>
      </c>
      <c r="C163" s="1" t="s">
        <v>1189</v>
      </c>
      <c r="D163" s="38" t="s">
        <v>1682</v>
      </c>
      <c r="E163" s="4">
        <v>30062</v>
      </c>
      <c r="F163" s="1">
        <v>43</v>
      </c>
      <c r="G163" s="1" t="s">
        <v>212</v>
      </c>
      <c r="H163" s="1" t="s">
        <v>1501</v>
      </c>
      <c r="I163" s="1" t="s">
        <v>1501</v>
      </c>
      <c r="J163" s="1">
        <v>8530</v>
      </c>
      <c r="K163" s="1" t="s">
        <v>83</v>
      </c>
      <c r="L163" s="1" t="s">
        <v>19</v>
      </c>
      <c r="M163" s="1" t="s">
        <v>13</v>
      </c>
      <c r="N163" s="1" t="s">
        <v>5</v>
      </c>
      <c r="O163" s="1" t="s">
        <v>216</v>
      </c>
      <c r="P163" s="1" t="s">
        <v>53</v>
      </c>
      <c r="Q163" s="1" t="s">
        <v>19</v>
      </c>
      <c r="R163" s="1" t="s">
        <v>8</v>
      </c>
      <c r="S163" s="1" t="s">
        <v>15</v>
      </c>
      <c r="T163" s="1" t="s">
        <v>53</v>
      </c>
      <c r="U163" s="1" t="s">
        <v>8</v>
      </c>
      <c r="V163" s="1" t="str">
        <f>IF(pilgrims[[#This Row],[packages.second_hotel_name]]="",pilgrims[[#This Row],[packages.first_hotel_name]],pilgrims[[#This Row],[packages.second_hotel_name]])</f>
        <v>Swissotel Al Maqam Makkah</v>
      </c>
      <c r="W163" s="1" t="str">
        <f>IF(pilgrims[[#This Row],[packages.second_hotel_name]]="",pilgrims[[#This Row],[packages.first_hotel_check_in]],pilgrims[[#This Row],[packages.second_hotel_check_in]])</f>
        <v>2026-05-21</v>
      </c>
      <c r="X163" s="1" t="str">
        <f>IF(pilgrims[[#This Row],[packages.second_hotel_name]]="",pilgrims[[#This Row],[packages.first_hotel_check_out]],pilgrims[[#This Row],[packages.second_hotel_check_out]])</f>
        <v>2026-05-25</v>
      </c>
      <c r="Y163" s="1" t="s">
        <v>16</v>
      </c>
      <c r="Z163" s="1" t="s">
        <v>214</v>
      </c>
      <c r="AA163" s="1" t="s">
        <v>1190</v>
      </c>
      <c r="AB163" s="1" t="s">
        <v>1190</v>
      </c>
      <c r="AC163" s="1" t="s">
        <v>212</v>
      </c>
      <c r="AD163" s="1" t="s">
        <v>133</v>
      </c>
      <c r="AE163" s="1" t="s">
        <v>1281</v>
      </c>
      <c r="AF163" s="4">
        <v>46160</v>
      </c>
      <c r="AG163" s="5">
        <v>0.3923611111111111</v>
      </c>
      <c r="AH163" s="1" t="s">
        <v>60</v>
      </c>
      <c r="AI163" s="1" t="s">
        <v>1280</v>
      </c>
      <c r="AJ163" s="4">
        <v>46173</v>
      </c>
      <c r="AK163" s="5">
        <v>0.12847222222222221</v>
      </c>
      <c r="AL163" s="1" t="s">
        <v>215</v>
      </c>
      <c r="AM163" s="1"/>
    </row>
    <row r="164" spans="1:39" x14ac:dyDescent="0.3">
      <c r="A164" s="1">
        <v>820033</v>
      </c>
      <c r="B164" s="1">
        <v>662934</v>
      </c>
      <c r="C164" s="1" t="s">
        <v>1189</v>
      </c>
      <c r="D164" s="38" t="s">
        <v>1683</v>
      </c>
      <c r="E164" s="4">
        <v>25994</v>
      </c>
      <c r="F164" s="1">
        <v>55</v>
      </c>
      <c r="G164" s="1" t="s">
        <v>212</v>
      </c>
      <c r="H164" s="1" t="s">
        <v>1501</v>
      </c>
      <c r="I164" s="1" t="s">
        <v>1501</v>
      </c>
      <c r="J164" s="1">
        <v>8531</v>
      </c>
      <c r="K164" s="1" t="s">
        <v>84</v>
      </c>
      <c r="L164" s="1" t="s">
        <v>8</v>
      </c>
      <c r="M164" s="1" t="s">
        <v>9</v>
      </c>
      <c r="N164" s="1" t="s">
        <v>20</v>
      </c>
      <c r="O164" s="1" t="s">
        <v>216</v>
      </c>
      <c r="P164" s="1" t="s">
        <v>53</v>
      </c>
      <c r="Q164" s="1" t="s">
        <v>8</v>
      </c>
      <c r="R164" s="1" t="s">
        <v>11</v>
      </c>
      <c r="S164" s="1" t="s">
        <v>12</v>
      </c>
      <c r="T164" s="1" t="s">
        <v>53</v>
      </c>
      <c r="U164" s="1" t="s">
        <v>13</v>
      </c>
      <c r="V164" s="1" t="str">
        <f>IF(pilgrims[[#This Row],[packages.second_hotel_name]]="",pilgrims[[#This Row],[packages.first_hotel_name]],pilgrims[[#This Row],[packages.second_hotel_name]])</f>
        <v>Makkah Clock Royal Tower A Fairmont Hotel</v>
      </c>
      <c r="W164" s="1" t="str">
        <f>IF(pilgrims[[#This Row],[packages.second_hotel_name]]="",pilgrims[[#This Row],[packages.first_hotel_check_in]],pilgrims[[#This Row],[packages.second_hotel_check_in]])</f>
        <v>2026-05-31</v>
      </c>
      <c r="X164" s="1" t="str">
        <f>IF(pilgrims[[#This Row],[packages.second_hotel_name]]="",pilgrims[[#This Row],[packages.first_hotel_check_out]],pilgrims[[#This Row],[packages.second_hotel_check_out]])</f>
        <v>2026-06-06</v>
      </c>
      <c r="Y164" s="1" t="s">
        <v>9</v>
      </c>
      <c r="Z164" s="1" t="s">
        <v>261</v>
      </c>
      <c r="AA164" s="1" t="s">
        <v>491</v>
      </c>
      <c r="AB164" s="1" t="s">
        <v>1310</v>
      </c>
      <c r="AC164" s="1" t="s">
        <v>492</v>
      </c>
      <c r="AD164" s="1" t="s">
        <v>1311</v>
      </c>
      <c r="AE164" s="1" t="s">
        <v>1281</v>
      </c>
      <c r="AF164" s="4">
        <v>46163</v>
      </c>
      <c r="AG164" s="5">
        <v>0.44097222222222221</v>
      </c>
      <c r="AH164" s="1" t="s">
        <v>1312</v>
      </c>
      <c r="AI164" s="1" t="s">
        <v>1280</v>
      </c>
      <c r="AJ164" s="4">
        <v>46179</v>
      </c>
      <c r="AK164" s="5">
        <v>0.72222222222222221</v>
      </c>
      <c r="AL164" s="1" t="s">
        <v>215</v>
      </c>
      <c r="AM164" s="1"/>
    </row>
    <row r="165" spans="1:39" x14ac:dyDescent="0.3">
      <c r="A165" s="1">
        <v>770888</v>
      </c>
      <c r="B165" s="1">
        <v>61869</v>
      </c>
      <c r="C165" s="1" t="s">
        <v>1189</v>
      </c>
      <c r="D165" s="38" t="s">
        <v>1684</v>
      </c>
      <c r="E165" s="4">
        <v>39642</v>
      </c>
      <c r="F165" s="1">
        <v>17</v>
      </c>
      <c r="G165" s="1" t="s">
        <v>212</v>
      </c>
      <c r="H165" s="1" t="s">
        <v>1501</v>
      </c>
      <c r="I165" s="1" t="s">
        <v>1501</v>
      </c>
      <c r="J165" s="1">
        <v>8530</v>
      </c>
      <c r="K165" s="1" t="s">
        <v>83</v>
      </c>
      <c r="L165" s="1" t="s">
        <v>19</v>
      </c>
      <c r="M165" s="1" t="s">
        <v>13</v>
      </c>
      <c r="N165" s="1" t="s">
        <v>5</v>
      </c>
      <c r="O165" s="1" t="s">
        <v>216</v>
      </c>
      <c r="P165" s="1" t="s">
        <v>53</v>
      </c>
      <c r="Q165" s="1" t="s">
        <v>19</v>
      </c>
      <c r="R165" s="1" t="s">
        <v>8</v>
      </c>
      <c r="S165" s="1" t="s">
        <v>15</v>
      </c>
      <c r="T165" s="1" t="s">
        <v>53</v>
      </c>
      <c r="U165" s="1" t="s">
        <v>8</v>
      </c>
      <c r="V165" s="1" t="str">
        <f>IF(pilgrims[[#This Row],[packages.second_hotel_name]]="",pilgrims[[#This Row],[packages.first_hotel_name]],pilgrims[[#This Row],[packages.second_hotel_name]])</f>
        <v>Swissotel Al Maqam Makkah</v>
      </c>
      <c r="W165" s="1" t="str">
        <f>IF(pilgrims[[#This Row],[packages.second_hotel_name]]="",pilgrims[[#This Row],[packages.first_hotel_check_in]],pilgrims[[#This Row],[packages.second_hotel_check_in]])</f>
        <v>2026-05-21</v>
      </c>
      <c r="X165" s="1" t="str">
        <f>IF(pilgrims[[#This Row],[packages.second_hotel_name]]="",pilgrims[[#This Row],[packages.first_hotel_check_out]],pilgrims[[#This Row],[packages.second_hotel_check_out]])</f>
        <v>2026-05-25</v>
      </c>
      <c r="Y165" s="1" t="s">
        <v>16</v>
      </c>
      <c r="Z165" s="1" t="s">
        <v>214</v>
      </c>
      <c r="AA165" s="1" t="s">
        <v>1190</v>
      </c>
      <c r="AB165" s="1" t="s">
        <v>1190</v>
      </c>
      <c r="AC165" s="1" t="s">
        <v>212</v>
      </c>
      <c r="AD165" s="1" t="s">
        <v>133</v>
      </c>
      <c r="AE165" s="1" t="s">
        <v>1281</v>
      </c>
      <c r="AF165" s="4">
        <v>46160</v>
      </c>
      <c r="AG165" s="5">
        <v>0.3923611111111111</v>
      </c>
      <c r="AH165" s="1" t="s">
        <v>60</v>
      </c>
      <c r="AI165" s="1" t="s">
        <v>1280</v>
      </c>
      <c r="AJ165" s="4">
        <v>46173</v>
      </c>
      <c r="AK165" s="5">
        <v>0.12847222222222221</v>
      </c>
      <c r="AL165" s="1" t="s">
        <v>215</v>
      </c>
      <c r="AM165" s="1"/>
    </row>
    <row r="166" spans="1:39" x14ac:dyDescent="0.3">
      <c r="A166" s="1">
        <v>820035</v>
      </c>
      <c r="B166" s="1">
        <v>662934</v>
      </c>
      <c r="C166" s="1" t="s">
        <v>1188</v>
      </c>
      <c r="D166" s="38" t="s">
        <v>1685</v>
      </c>
      <c r="E166" s="4">
        <v>19436</v>
      </c>
      <c r="F166" s="1">
        <v>72</v>
      </c>
      <c r="G166" s="1" t="s">
        <v>212</v>
      </c>
      <c r="H166" s="1" t="s">
        <v>1501</v>
      </c>
      <c r="I166" s="1" t="s">
        <v>1501</v>
      </c>
      <c r="J166" s="1">
        <v>8531</v>
      </c>
      <c r="K166" s="1" t="s">
        <v>84</v>
      </c>
      <c r="L166" s="1" t="s">
        <v>8</v>
      </c>
      <c r="M166" s="1" t="s">
        <v>9</v>
      </c>
      <c r="N166" s="1" t="s">
        <v>20</v>
      </c>
      <c r="O166" s="1" t="s">
        <v>216</v>
      </c>
      <c r="P166" s="1" t="s">
        <v>53</v>
      </c>
      <c r="Q166" s="1" t="s">
        <v>8</v>
      </c>
      <c r="R166" s="1" t="s">
        <v>11</v>
      </c>
      <c r="S166" s="1" t="s">
        <v>12</v>
      </c>
      <c r="T166" s="1" t="s">
        <v>53</v>
      </c>
      <c r="U166" s="1" t="s">
        <v>13</v>
      </c>
      <c r="V166" s="1" t="str">
        <f>IF(pilgrims[[#This Row],[packages.second_hotel_name]]="",pilgrims[[#This Row],[packages.first_hotel_name]],pilgrims[[#This Row],[packages.second_hotel_name]])</f>
        <v>Makkah Clock Royal Tower A Fairmont Hotel</v>
      </c>
      <c r="W166" s="1" t="str">
        <f>IF(pilgrims[[#This Row],[packages.second_hotel_name]]="",pilgrims[[#This Row],[packages.first_hotel_check_in]],pilgrims[[#This Row],[packages.second_hotel_check_in]])</f>
        <v>2026-05-31</v>
      </c>
      <c r="X166" s="1" t="str">
        <f>IF(pilgrims[[#This Row],[packages.second_hotel_name]]="",pilgrims[[#This Row],[packages.first_hotel_check_out]],pilgrims[[#This Row],[packages.second_hotel_check_out]])</f>
        <v>2026-06-06</v>
      </c>
      <c r="Y166" s="1" t="s">
        <v>9</v>
      </c>
      <c r="Z166" s="1" t="s">
        <v>261</v>
      </c>
      <c r="AA166" s="1" t="s">
        <v>491</v>
      </c>
      <c r="AB166" s="1" t="s">
        <v>1310</v>
      </c>
      <c r="AC166" s="1" t="s">
        <v>492</v>
      </c>
      <c r="AD166" s="1" t="s">
        <v>1311</v>
      </c>
      <c r="AE166" s="1" t="s">
        <v>1281</v>
      </c>
      <c r="AF166" s="4">
        <v>46163</v>
      </c>
      <c r="AG166" s="5">
        <v>0.44097222222222221</v>
      </c>
      <c r="AH166" s="1" t="s">
        <v>1312</v>
      </c>
      <c r="AI166" s="1" t="s">
        <v>1280</v>
      </c>
      <c r="AJ166" s="4">
        <v>46179</v>
      </c>
      <c r="AK166" s="5">
        <v>0.72222222222222221</v>
      </c>
      <c r="AL166" s="1" t="s">
        <v>215</v>
      </c>
      <c r="AM166" s="1"/>
    </row>
    <row r="167" spans="1:39" x14ac:dyDescent="0.3">
      <c r="A167" s="1">
        <v>771184</v>
      </c>
      <c r="B167" s="1">
        <v>61869</v>
      </c>
      <c r="C167" s="1" t="s">
        <v>1188</v>
      </c>
      <c r="D167" s="38" t="s">
        <v>1686</v>
      </c>
      <c r="E167" s="4">
        <v>38364</v>
      </c>
      <c r="F167" s="1">
        <v>21</v>
      </c>
      <c r="G167" s="1" t="s">
        <v>212</v>
      </c>
      <c r="H167" s="1" t="s">
        <v>1501</v>
      </c>
      <c r="I167" s="1" t="s">
        <v>1501</v>
      </c>
      <c r="J167" s="1">
        <v>8530</v>
      </c>
      <c r="K167" s="1" t="s">
        <v>83</v>
      </c>
      <c r="L167" s="1" t="s">
        <v>19</v>
      </c>
      <c r="M167" s="1" t="s">
        <v>13</v>
      </c>
      <c r="N167" s="1" t="s">
        <v>5</v>
      </c>
      <c r="O167" s="1" t="s">
        <v>216</v>
      </c>
      <c r="P167" s="1" t="s">
        <v>53</v>
      </c>
      <c r="Q167" s="1" t="s">
        <v>19</v>
      </c>
      <c r="R167" s="1" t="s">
        <v>8</v>
      </c>
      <c r="S167" s="1" t="s">
        <v>15</v>
      </c>
      <c r="T167" s="1" t="s">
        <v>53</v>
      </c>
      <c r="U167" s="1" t="s">
        <v>8</v>
      </c>
      <c r="V167" s="1" t="str">
        <f>IF(pilgrims[[#This Row],[packages.second_hotel_name]]="",pilgrims[[#This Row],[packages.first_hotel_name]],pilgrims[[#This Row],[packages.second_hotel_name]])</f>
        <v>Swissotel Al Maqam Makkah</v>
      </c>
      <c r="W167" s="1" t="str">
        <f>IF(pilgrims[[#This Row],[packages.second_hotel_name]]="",pilgrims[[#This Row],[packages.first_hotel_check_in]],pilgrims[[#This Row],[packages.second_hotel_check_in]])</f>
        <v>2026-05-21</v>
      </c>
      <c r="X167" s="1" t="str">
        <f>IF(pilgrims[[#This Row],[packages.second_hotel_name]]="",pilgrims[[#This Row],[packages.first_hotel_check_out]],pilgrims[[#This Row],[packages.second_hotel_check_out]])</f>
        <v>2026-05-25</v>
      </c>
      <c r="Y167" s="1" t="s">
        <v>16</v>
      </c>
      <c r="Z167" s="1" t="s">
        <v>214</v>
      </c>
      <c r="AA167" s="1" t="s">
        <v>1190</v>
      </c>
      <c r="AB167" s="1" t="s">
        <v>1190</v>
      </c>
      <c r="AC167" s="1" t="s">
        <v>212</v>
      </c>
      <c r="AD167" s="1" t="s">
        <v>133</v>
      </c>
      <c r="AE167" s="1" t="s">
        <v>1281</v>
      </c>
      <c r="AF167" s="4">
        <v>46160</v>
      </c>
      <c r="AG167" s="5">
        <v>0.3923611111111111</v>
      </c>
      <c r="AH167" s="1" t="s">
        <v>60</v>
      </c>
      <c r="AI167" s="1" t="s">
        <v>1280</v>
      </c>
      <c r="AJ167" s="4">
        <v>46173</v>
      </c>
      <c r="AK167" s="5">
        <v>0.12847222222222221</v>
      </c>
      <c r="AL167" s="1" t="s">
        <v>215</v>
      </c>
      <c r="AM167" s="1"/>
    </row>
    <row r="168" spans="1:39" x14ac:dyDescent="0.3">
      <c r="A168" s="1">
        <v>845500</v>
      </c>
      <c r="B168" s="1">
        <v>683526</v>
      </c>
      <c r="C168" s="1" t="s">
        <v>1188</v>
      </c>
      <c r="D168" s="38" t="s">
        <v>1687</v>
      </c>
      <c r="E168" s="4">
        <v>25569</v>
      </c>
      <c r="F168" s="1">
        <v>56</v>
      </c>
      <c r="G168" s="1" t="s">
        <v>212</v>
      </c>
      <c r="H168" s="1" t="s">
        <v>1501</v>
      </c>
      <c r="I168" s="1" t="s">
        <v>1501</v>
      </c>
      <c r="J168" s="1">
        <v>8530</v>
      </c>
      <c r="K168" s="1" t="s">
        <v>83</v>
      </c>
      <c r="L168" s="1" t="s">
        <v>19</v>
      </c>
      <c r="M168" s="1" t="s">
        <v>13</v>
      </c>
      <c r="N168" s="1" t="s">
        <v>5</v>
      </c>
      <c r="O168" s="1" t="s">
        <v>216</v>
      </c>
      <c r="P168" s="1" t="s">
        <v>53</v>
      </c>
      <c r="Q168" s="1" t="s">
        <v>19</v>
      </c>
      <c r="R168" s="1" t="s">
        <v>8</v>
      </c>
      <c r="S168" s="1" t="s">
        <v>15</v>
      </c>
      <c r="T168" s="1" t="s">
        <v>53</v>
      </c>
      <c r="U168" s="1" t="s">
        <v>8</v>
      </c>
      <c r="V168" s="1" t="str">
        <f>IF(pilgrims[[#This Row],[packages.second_hotel_name]]="",pilgrims[[#This Row],[packages.first_hotel_name]],pilgrims[[#This Row],[packages.second_hotel_name]])</f>
        <v>Swissotel Al Maqam Makkah</v>
      </c>
      <c r="W168" s="1" t="str">
        <f>IF(pilgrims[[#This Row],[packages.second_hotel_name]]="",pilgrims[[#This Row],[packages.first_hotel_check_in]],pilgrims[[#This Row],[packages.second_hotel_check_in]])</f>
        <v>2026-05-21</v>
      </c>
      <c r="X168" s="1" t="str">
        <f>IF(pilgrims[[#This Row],[packages.second_hotel_name]]="",pilgrims[[#This Row],[packages.first_hotel_check_out]],pilgrims[[#This Row],[packages.second_hotel_check_out]])</f>
        <v>2026-05-25</v>
      </c>
      <c r="Y168" s="1" t="s">
        <v>16</v>
      </c>
      <c r="Z168" s="1" t="s">
        <v>214</v>
      </c>
      <c r="AA168" s="1" t="s">
        <v>1193</v>
      </c>
      <c r="AB168" s="1" t="s">
        <v>1193</v>
      </c>
      <c r="AC168" s="1" t="s">
        <v>212</v>
      </c>
      <c r="AD168" s="1" t="s">
        <v>134</v>
      </c>
      <c r="AE168" s="1" t="s">
        <v>1281</v>
      </c>
      <c r="AF168" s="4">
        <v>46160</v>
      </c>
      <c r="AG168" s="5">
        <v>0.73958333333333337</v>
      </c>
      <c r="AH168" s="1" t="s">
        <v>63</v>
      </c>
      <c r="AI168" s="1" t="s">
        <v>1280</v>
      </c>
      <c r="AJ168" s="4">
        <v>46172</v>
      </c>
      <c r="AK168" s="5">
        <v>0.35069444444444442</v>
      </c>
      <c r="AL168" s="1" t="s">
        <v>215</v>
      </c>
      <c r="AM168" s="1"/>
    </row>
    <row r="169" spans="1:39" x14ac:dyDescent="0.3">
      <c r="A169" s="1">
        <v>845737</v>
      </c>
      <c r="B169" s="1">
        <v>683526</v>
      </c>
      <c r="C169" s="1" t="s">
        <v>1189</v>
      </c>
      <c r="D169" s="38" t="s">
        <v>1688</v>
      </c>
      <c r="E169" s="4">
        <v>27237</v>
      </c>
      <c r="F169" s="1">
        <v>51</v>
      </c>
      <c r="G169" s="1" t="s">
        <v>212</v>
      </c>
      <c r="H169" s="1" t="s">
        <v>1501</v>
      </c>
      <c r="I169" s="1" t="s">
        <v>1501</v>
      </c>
      <c r="J169" s="1">
        <v>8530</v>
      </c>
      <c r="K169" s="1" t="s">
        <v>83</v>
      </c>
      <c r="L169" s="1" t="s">
        <v>19</v>
      </c>
      <c r="M169" s="1" t="s">
        <v>13</v>
      </c>
      <c r="N169" s="1" t="s">
        <v>5</v>
      </c>
      <c r="O169" s="1" t="s">
        <v>216</v>
      </c>
      <c r="P169" s="1" t="s">
        <v>53</v>
      </c>
      <c r="Q169" s="1" t="s">
        <v>19</v>
      </c>
      <c r="R169" s="1" t="s">
        <v>8</v>
      </c>
      <c r="S169" s="1" t="s">
        <v>15</v>
      </c>
      <c r="T169" s="1" t="s">
        <v>53</v>
      </c>
      <c r="U169" s="1" t="s">
        <v>8</v>
      </c>
      <c r="V169" s="1" t="str">
        <f>IF(pilgrims[[#This Row],[packages.second_hotel_name]]="",pilgrims[[#This Row],[packages.first_hotel_name]],pilgrims[[#This Row],[packages.second_hotel_name]])</f>
        <v>Swissotel Al Maqam Makkah</v>
      </c>
      <c r="W169" s="1" t="str">
        <f>IF(pilgrims[[#This Row],[packages.second_hotel_name]]="",pilgrims[[#This Row],[packages.first_hotel_check_in]],pilgrims[[#This Row],[packages.second_hotel_check_in]])</f>
        <v>2026-05-21</v>
      </c>
      <c r="X169" s="1" t="str">
        <f>IF(pilgrims[[#This Row],[packages.second_hotel_name]]="",pilgrims[[#This Row],[packages.first_hotel_check_out]],pilgrims[[#This Row],[packages.second_hotel_check_out]])</f>
        <v>2026-05-25</v>
      </c>
      <c r="Y169" s="1" t="s">
        <v>16</v>
      </c>
      <c r="Z169" s="1" t="s">
        <v>214</v>
      </c>
      <c r="AA169" s="1" t="s">
        <v>1193</v>
      </c>
      <c r="AB169" s="1" t="s">
        <v>1193</v>
      </c>
      <c r="AC169" s="1" t="s">
        <v>212</v>
      </c>
      <c r="AD169" s="1" t="s">
        <v>134</v>
      </c>
      <c r="AE169" s="1" t="s">
        <v>1281</v>
      </c>
      <c r="AF169" s="4">
        <v>46160</v>
      </c>
      <c r="AG169" s="5">
        <v>0.73958333333333337</v>
      </c>
      <c r="AH169" s="1" t="s">
        <v>63</v>
      </c>
      <c r="AI169" s="1" t="s">
        <v>1280</v>
      </c>
      <c r="AJ169" s="4">
        <v>46172</v>
      </c>
      <c r="AK169" s="5">
        <v>0.35069444444444442</v>
      </c>
      <c r="AL169" s="1" t="s">
        <v>215</v>
      </c>
      <c r="AM169" s="1"/>
    </row>
    <row r="170" spans="1:39" x14ac:dyDescent="0.3">
      <c r="A170" s="1">
        <v>343195</v>
      </c>
      <c r="B170" s="1">
        <v>270687</v>
      </c>
      <c r="C170" s="1" t="s">
        <v>1189</v>
      </c>
      <c r="D170" s="38" t="s">
        <v>1689</v>
      </c>
      <c r="E170" s="4">
        <v>29832</v>
      </c>
      <c r="F170" s="1">
        <v>44</v>
      </c>
      <c r="G170" s="1" t="s">
        <v>212</v>
      </c>
      <c r="H170" s="1" t="s">
        <v>1501</v>
      </c>
      <c r="I170" s="1" t="s">
        <v>1501</v>
      </c>
      <c r="J170" s="1">
        <v>8530</v>
      </c>
      <c r="K170" s="1" t="s">
        <v>83</v>
      </c>
      <c r="L170" s="1" t="s">
        <v>19</v>
      </c>
      <c r="M170" s="1" t="s">
        <v>13</v>
      </c>
      <c r="N170" s="1" t="s">
        <v>5</v>
      </c>
      <c r="O170" s="1" t="s">
        <v>216</v>
      </c>
      <c r="P170" s="1" t="s">
        <v>53</v>
      </c>
      <c r="Q170" s="1" t="s">
        <v>19</v>
      </c>
      <c r="R170" s="1" t="s">
        <v>8</v>
      </c>
      <c r="S170" s="1" t="s">
        <v>15</v>
      </c>
      <c r="T170" s="1" t="s">
        <v>53</v>
      </c>
      <c r="U170" s="1" t="s">
        <v>8</v>
      </c>
      <c r="V170" s="1" t="str">
        <f>IF(pilgrims[[#This Row],[packages.second_hotel_name]]="",pilgrims[[#This Row],[packages.first_hotel_name]],pilgrims[[#This Row],[packages.second_hotel_name]])</f>
        <v>Swissotel Al Maqam Makkah</v>
      </c>
      <c r="W170" s="1" t="str">
        <f>IF(pilgrims[[#This Row],[packages.second_hotel_name]]="",pilgrims[[#This Row],[packages.first_hotel_check_in]],pilgrims[[#This Row],[packages.second_hotel_check_in]])</f>
        <v>2026-05-21</v>
      </c>
      <c r="X170" s="1" t="str">
        <f>IF(pilgrims[[#This Row],[packages.second_hotel_name]]="",pilgrims[[#This Row],[packages.first_hotel_check_out]],pilgrims[[#This Row],[packages.second_hotel_check_out]])</f>
        <v>2026-05-25</v>
      </c>
      <c r="Y170" s="1" t="s">
        <v>16</v>
      </c>
      <c r="Z170" s="1" t="s">
        <v>214</v>
      </c>
      <c r="AA170" s="1" t="s">
        <v>1202</v>
      </c>
      <c r="AB170" s="1" t="s">
        <v>1202</v>
      </c>
      <c r="AC170" s="1" t="s">
        <v>212</v>
      </c>
      <c r="AD170" s="1" t="s">
        <v>136</v>
      </c>
      <c r="AE170" s="1" t="s">
        <v>1281</v>
      </c>
      <c r="AF170" s="4">
        <v>46160</v>
      </c>
      <c r="AG170" s="5">
        <v>0.1076388888888889</v>
      </c>
      <c r="AH170" s="1" t="s">
        <v>71</v>
      </c>
      <c r="AI170" s="1" t="s">
        <v>1280</v>
      </c>
      <c r="AJ170" s="4">
        <v>46172</v>
      </c>
      <c r="AK170" s="5">
        <v>0.40972222222222221</v>
      </c>
      <c r="AL170" s="1" t="s">
        <v>215</v>
      </c>
      <c r="AM170" s="1" t="b">
        <v>1</v>
      </c>
    </row>
    <row r="171" spans="1:39" x14ac:dyDescent="0.3">
      <c r="A171" s="1">
        <v>288573</v>
      </c>
      <c r="B171" s="1">
        <v>222994</v>
      </c>
      <c r="C171" s="1" t="s">
        <v>1188</v>
      </c>
      <c r="D171" s="38" t="s">
        <v>1690</v>
      </c>
      <c r="E171" s="4">
        <v>22717</v>
      </c>
      <c r="F171" s="1">
        <v>63</v>
      </c>
      <c r="G171" s="1" t="s">
        <v>212</v>
      </c>
      <c r="H171" s="1" t="s">
        <v>1501</v>
      </c>
      <c r="I171" s="1" t="s">
        <v>1501</v>
      </c>
      <c r="J171" s="1">
        <v>8672</v>
      </c>
      <c r="K171" s="1" t="s">
        <v>89</v>
      </c>
      <c r="L171" s="1" t="s">
        <v>8</v>
      </c>
      <c r="M171" s="1" t="s">
        <v>13</v>
      </c>
      <c r="N171" s="1" t="s">
        <v>10</v>
      </c>
      <c r="O171" s="1" t="s">
        <v>216</v>
      </c>
      <c r="P171" s="1" t="s">
        <v>52</v>
      </c>
      <c r="Q171" s="1" t="s">
        <v>8</v>
      </c>
      <c r="R171" s="1" t="s">
        <v>11</v>
      </c>
      <c r="S171" s="1"/>
      <c r="T171" s="1"/>
      <c r="U171" s="1"/>
      <c r="V171" s="1" t="str">
        <f>IF(pilgrims[[#This Row],[packages.second_hotel_name]]="",pilgrims[[#This Row],[packages.first_hotel_name]],pilgrims[[#This Row],[packages.second_hotel_name]])</f>
        <v>Crowne Plaza Madinah</v>
      </c>
      <c r="W171" s="1" t="str">
        <f>IF(pilgrims[[#This Row],[packages.second_hotel_name]]="",pilgrims[[#This Row],[packages.first_hotel_check_in]],pilgrims[[#This Row],[packages.second_hotel_check_in]])</f>
        <v>2026-05-21</v>
      </c>
      <c r="X171" s="1" t="str">
        <f>IF(pilgrims[[#This Row],[packages.second_hotel_name]]="",pilgrims[[#This Row],[packages.first_hotel_check_out]],pilgrims[[#This Row],[packages.second_hotel_check_out]])</f>
        <v>2026-05-24</v>
      </c>
      <c r="Y171" s="1"/>
      <c r="Z171" s="1" t="s">
        <v>261</v>
      </c>
      <c r="AA171" s="1" t="s">
        <v>499</v>
      </c>
      <c r="AB171" s="1" t="s">
        <v>1362</v>
      </c>
      <c r="AC171" s="1" t="s">
        <v>500</v>
      </c>
      <c r="AD171" s="1" t="s">
        <v>1343</v>
      </c>
      <c r="AE171" s="1" t="s">
        <v>1281</v>
      </c>
      <c r="AF171" s="4">
        <v>46163</v>
      </c>
      <c r="AG171" s="5">
        <v>0.88888888888888884</v>
      </c>
      <c r="AH171" s="1" t="s">
        <v>1363</v>
      </c>
      <c r="AI171" s="1" t="s">
        <v>1280</v>
      </c>
      <c r="AJ171" s="4">
        <v>46173</v>
      </c>
      <c r="AK171" s="5">
        <v>0.29166666666666669</v>
      </c>
      <c r="AL171" s="1" t="s">
        <v>215</v>
      </c>
      <c r="AM171" s="1"/>
    </row>
    <row r="172" spans="1:39" x14ac:dyDescent="0.3">
      <c r="A172" s="1">
        <v>343848</v>
      </c>
      <c r="B172" s="1">
        <v>270687</v>
      </c>
      <c r="C172" s="1" t="s">
        <v>1188</v>
      </c>
      <c r="D172" s="38" t="s">
        <v>1691</v>
      </c>
      <c r="E172" s="4">
        <v>26700</v>
      </c>
      <c r="F172" s="1">
        <v>53</v>
      </c>
      <c r="G172" s="1" t="s">
        <v>212</v>
      </c>
      <c r="H172" s="1" t="s">
        <v>1501</v>
      </c>
      <c r="I172" s="1" t="s">
        <v>1501</v>
      </c>
      <c r="J172" s="1">
        <v>8530</v>
      </c>
      <c r="K172" s="1" t="s">
        <v>83</v>
      </c>
      <c r="L172" s="1" t="s">
        <v>19</v>
      </c>
      <c r="M172" s="1" t="s">
        <v>13</v>
      </c>
      <c r="N172" s="1" t="s">
        <v>5</v>
      </c>
      <c r="O172" s="1" t="s">
        <v>216</v>
      </c>
      <c r="P172" s="1" t="s">
        <v>53</v>
      </c>
      <c r="Q172" s="1" t="s">
        <v>19</v>
      </c>
      <c r="R172" s="1" t="s">
        <v>8</v>
      </c>
      <c r="S172" s="1" t="s">
        <v>15</v>
      </c>
      <c r="T172" s="1" t="s">
        <v>53</v>
      </c>
      <c r="U172" s="1" t="s">
        <v>8</v>
      </c>
      <c r="V172" s="1" t="str">
        <f>IF(pilgrims[[#This Row],[packages.second_hotel_name]]="",pilgrims[[#This Row],[packages.first_hotel_name]],pilgrims[[#This Row],[packages.second_hotel_name]])</f>
        <v>Swissotel Al Maqam Makkah</v>
      </c>
      <c r="W172" s="1" t="str">
        <f>IF(pilgrims[[#This Row],[packages.second_hotel_name]]="",pilgrims[[#This Row],[packages.first_hotel_check_in]],pilgrims[[#This Row],[packages.second_hotel_check_in]])</f>
        <v>2026-05-21</v>
      </c>
      <c r="X172" s="1" t="str">
        <f>IF(pilgrims[[#This Row],[packages.second_hotel_name]]="",pilgrims[[#This Row],[packages.first_hotel_check_out]],pilgrims[[#This Row],[packages.second_hotel_check_out]])</f>
        <v>2026-05-25</v>
      </c>
      <c r="Y172" s="1" t="s">
        <v>16</v>
      </c>
      <c r="Z172" s="1" t="s">
        <v>214</v>
      </c>
      <c r="AA172" s="1" t="s">
        <v>1202</v>
      </c>
      <c r="AB172" s="1" t="s">
        <v>1202</v>
      </c>
      <c r="AC172" s="1" t="s">
        <v>212</v>
      </c>
      <c r="AD172" s="1" t="s">
        <v>136</v>
      </c>
      <c r="AE172" s="1" t="s">
        <v>1281</v>
      </c>
      <c r="AF172" s="4">
        <v>46160</v>
      </c>
      <c r="AG172" s="5">
        <v>0.1076388888888889</v>
      </c>
      <c r="AH172" s="1" t="s">
        <v>71</v>
      </c>
      <c r="AI172" s="1" t="s">
        <v>1280</v>
      </c>
      <c r="AJ172" s="4">
        <v>46172</v>
      </c>
      <c r="AK172" s="5">
        <v>0.40972222222222221</v>
      </c>
      <c r="AL172" s="1" t="s">
        <v>215</v>
      </c>
      <c r="AM172" s="1" t="b">
        <v>1</v>
      </c>
    </row>
    <row r="173" spans="1:39" x14ac:dyDescent="0.3">
      <c r="A173" s="1">
        <v>720552</v>
      </c>
      <c r="B173" s="1">
        <v>584306</v>
      </c>
      <c r="C173" s="1" t="s">
        <v>1188</v>
      </c>
      <c r="D173" s="38" t="s">
        <v>1692</v>
      </c>
      <c r="E173" s="4">
        <v>25159</v>
      </c>
      <c r="F173" s="1">
        <v>57</v>
      </c>
      <c r="G173" s="1" t="s">
        <v>212</v>
      </c>
      <c r="H173" s="1" t="s">
        <v>1502</v>
      </c>
      <c r="I173" s="1" t="s">
        <v>1502</v>
      </c>
      <c r="J173" s="1">
        <v>8531</v>
      </c>
      <c r="K173" s="1" t="s">
        <v>84</v>
      </c>
      <c r="L173" s="1" t="s">
        <v>8</v>
      </c>
      <c r="M173" s="1" t="s">
        <v>9</v>
      </c>
      <c r="N173" s="1" t="s">
        <v>20</v>
      </c>
      <c r="O173" s="1" t="s">
        <v>216</v>
      </c>
      <c r="P173" s="1" t="s">
        <v>53</v>
      </c>
      <c r="Q173" s="1" t="s">
        <v>8</v>
      </c>
      <c r="R173" s="1" t="s">
        <v>11</v>
      </c>
      <c r="S173" s="1" t="s">
        <v>12</v>
      </c>
      <c r="T173" s="1" t="s">
        <v>53</v>
      </c>
      <c r="U173" s="1" t="s">
        <v>13</v>
      </c>
      <c r="V173" s="1" t="str">
        <f>IF(pilgrims[[#This Row],[packages.second_hotel_name]]="",pilgrims[[#This Row],[packages.first_hotel_name]],pilgrims[[#This Row],[packages.second_hotel_name]])</f>
        <v>Makkah Clock Royal Tower A Fairmont Hotel</v>
      </c>
      <c r="W173" s="1" t="str">
        <f>IF(pilgrims[[#This Row],[packages.second_hotel_name]]="",pilgrims[[#This Row],[packages.first_hotel_check_in]],pilgrims[[#This Row],[packages.second_hotel_check_in]])</f>
        <v>2026-05-31</v>
      </c>
      <c r="X173" s="1" t="str">
        <f>IF(pilgrims[[#This Row],[packages.second_hotel_name]]="",pilgrims[[#This Row],[packages.first_hotel_check_out]],pilgrims[[#This Row],[packages.second_hotel_check_out]])</f>
        <v>2026-06-06</v>
      </c>
      <c r="Y173" s="1" t="s">
        <v>9</v>
      </c>
      <c r="Z173" s="1" t="s">
        <v>261</v>
      </c>
      <c r="AA173" s="1" t="s">
        <v>504</v>
      </c>
      <c r="AB173" s="1" t="s">
        <v>1293</v>
      </c>
      <c r="AC173" s="1" t="s">
        <v>505</v>
      </c>
      <c r="AD173" s="1" t="s">
        <v>1294</v>
      </c>
      <c r="AE173" s="1" t="s">
        <v>1281</v>
      </c>
      <c r="AF173" s="4">
        <v>46163</v>
      </c>
      <c r="AG173" s="5">
        <v>0.3888888888888889</v>
      </c>
      <c r="AH173" s="1" t="s">
        <v>1295</v>
      </c>
      <c r="AI173" s="1" t="s">
        <v>1280</v>
      </c>
      <c r="AJ173" s="4">
        <v>46179</v>
      </c>
      <c r="AK173" s="5">
        <v>0.73263888888888884</v>
      </c>
      <c r="AL173" s="1" t="s">
        <v>215</v>
      </c>
      <c r="AM173" s="1"/>
    </row>
    <row r="174" spans="1:39" x14ac:dyDescent="0.3">
      <c r="A174" s="1">
        <v>722193</v>
      </c>
      <c r="B174" s="1">
        <v>620515</v>
      </c>
      <c r="C174" s="1" t="s">
        <v>1189</v>
      </c>
      <c r="D174" s="38" t="s">
        <v>1693</v>
      </c>
      <c r="E174" s="4">
        <v>27261</v>
      </c>
      <c r="F174" s="1">
        <v>51</v>
      </c>
      <c r="G174" s="1" t="s">
        <v>212</v>
      </c>
      <c r="H174" s="1" t="s">
        <v>1501</v>
      </c>
      <c r="I174" s="1" t="s">
        <v>1501</v>
      </c>
      <c r="J174" s="1">
        <v>8535</v>
      </c>
      <c r="K174" s="1" t="s">
        <v>86</v>
      </c>
      <c r="L174" s="1" t="s">
        <v>8</v>
      </c>
      <c r="M174" s="1" t="s">
        <v>4</v>
      </c>
      <c r="N174" s="1" t="s">
        <v>12</v>
      </c>
      <c r="O174" s="1" t="s">
        <v>216</v>
      </c>
      <c r="P174" s="1" t="s">
        <v>53</v>
      </c>
      <c r="Q174" s="1" t="s">
        <v>8</v>
      </c>
      <c r="R174" s="1" t="s">
        <v>11</v>
      </c>
      <c r="S174" s="1" t="s">
        <v>20</v>
      </c>
      <c r="T174" s="1" t="s">
        <v>53</v>
      </c>
      <c r="U174" s="1" t="s">
        <v>6</v>
      </c>
      <c r="V174" s="1" t="str">
        <f>IF(pilgrims[[#This Row],[packages.second_hotel_name]]="",pilgrims[[#This Row],[packages.first_hotel_name]],pilgrims[[#This Row],[packages.second_hotel_name]])</f>
        <v>Daral Taqwa Hotel</v>
      </c>
      <c r="W174" s="1" t="str">
        <f>IF(pilgrims[[#This Row],[packages.second_hotel_name]]="",pilgrims[[#This Row],[packages.first_hotel_check_in]],pilgrims[[#This Row],[packages.second_hotel_check_in]])</f>
        <v>2026-05-30</v>
      </c>
      <c r="X174" s="1" t="str">
        <f>IF(pilgrims[[#This Row],[packages.second_hotel_name]]="",pilgrims[[#This Row],[packages.first_hotel_check_out]],pilgrims[[#This Row],[packages.second_hotel_check_out]])</f>
        <v>2026-06-02</v>
      </c>
      <c r="Y174" s="1" t="s">
        <v>4</v>
      </c>
      <c r="Z174" s="1" t="s">
        <v>214</v>
      </c>
      <c r="AA174" s="1" t="s">
        <v>1191</v>
      </c>
      <c r="AB174" s="1" t="s">
        <v>1191</v>
      </c>
      <c r="AC174" s="1" t="s">
        <v>212</v>
      </c>
      <c r="AD174" s="1" t="s">
        <v>57</v>
      </c>
      <c r="AE174" s="1" t="s">
        <v>1280</v>
      </c>
      <c r="AF174" s="4">
        <v>46163</v>
      </c>
      <c r="AG174" s="5">
        <v>0.2361111111111111</v>
      </c>
      <c r="AH174" s="1" t="s">
        <v>76</v>
      </c>
      <c r="AI174" s="1" t="s">
        <v>1281</v>
      </c>
      <c r="AJ174" s="4">
        <v>46175</v>
      </c>
      <c r="AK174" s="5">
        <v>0.93055555555555558</v>
      </c>
      <c r="AL174" s="1" t="s">
        <v>215</v>
      </c>
      <c r="AM174" s="1"/>
    </row>
    <row r="175" spans="1:39" x14ac:dyDescent="0.3">
      <c r="A175" s="1">
        <v>721940</v>
      </c>
      <c r="B175" s="1">
        <v>584306</v>
      </c>
      <c r="C175" s="1" t="s">
        <v>1189</v>
      </c>
      <c r="D175" s="38" t="s">
        <v>1694</v>
      </c>
      <c r="E175" s="4">
        <v>26006</v>
      </c>
      <c r="F175" s="1">
        <v>54</v>
      </c>
      <c r="G175" s="1" t="s">
        <v>212</v>
      </c>
      <c r="H175" s="1" t="s">
        <v>1502</v>
      </c>
      <c r="I175" s="1" t="s">
        <v>1502</v>
      </c>
      <c r="J175" s="1">
        <v>8531</v>
      </c>
      <c r="K175" s="1" t="s">
        <v>84</v>
      </c>
      <c r="L175" s="1" t="s">
        <v>8</v>
      </c>
      <c r="M175" s="1" t="s">
        <v>9</v>
      </c>
      <c r="N175" s="1" t="s">
        <v>20</v>
      </c>
      <c r="O175" s="1" t="s">
        <v>216</v>
      </c>
      <c r="P175" s="1" t="s">
        <v>53</v>
      </c>
      <c r="Q175" s="1" t="s">
        <v>8</v>
      </c>
      <c r="R175" s="1" t="s">
        <v>11</v>
      </c>
      <c r="S175" s="1" t="s">
        <v>12</v>
      </c>
      <c r="T175" s="1" t="s">
        <v>53</v>
      </c>
      <c r="U175" s="1" t="s">
        <v>13</v>
      </c>
      <c r="V175" s="1" t="str">
        <f>IF(pilgrims[[#This Row],[packages.second_hotel_name]]="",pilgrims[[#This Row],[packages.first_hotel_name]],pilgrims[[#This Row],[packages.second_hotel_name]])</f>
        <v>Makkah Clock Royal Tower A Fairmont Hotel</v>
      </c>
      <c r="W175" s="1" t="str">
        <f>IF(pilgrims[[#This Row],[packages.second_hotel_name]]="",pilgrims[[#This Row],[packages.first_hotel_check_in]],pilgrims[[#This Row],[packages.second_hotel_check_in]])</f>
        <v>2026-05-31</v>
      </c>
      <c r="X175" s="1" t="str">
        <f>IF(pilgrims[[#This Row],[packages.second_hotel_name]]="",pilgrims[[#This Row],[packages.first_hotel_check_out]],pilgrims[[#This Row],[packages.second_hotel_check_out]])</f>
        <v>2026-06-06</v>
      </c>
      <c r="Y175" s="1" t="s">
        <v>9</v>
      </c>
      <c r="Z175" s="1" t="s">
        <v>261</v>
      </c>
      <c r="AA175" s="1" t="s">
        <v>504</v>
      </c>
      <c r="AB175" s="1" t="s">
        <v>1293</v>
      </c>
      <c r="AC175" s="1" t="s">
        <v>505</v>
      </c>
      <c r="AD175" s="1" t="s">
        <v>1294</v>
      </c>
      <c r="AE175" s="1" t="s">
        <v>1281</v>
      </c>
      <c r="AF175" s="4">
        <v>46163</v>
      </c>
      <c r="AG175" s="5">
        <v>0.3888888888888889</v>
      </c>
      <c r="AH175" s="1" t="s">
        <v>1295</v>
      </c>
      <c r="AI175" s="1" t="s">
        <v>1280</v>
      </c>
      <c r="AJ175" s="4">
        <v>46179</v>
      </c>
      <c r="AK175" s="5">
        <v>0.73263888888888884</v>
      </c>
      <c r="AL175" s="1" t="s">
        <v>215</v>
      </c>
      <c r="AM175" s="1"/>
    </row>
    <row r="176" spans="1:39" x14ac:dyDescent="0.3">
      <c r="A176" s="1">
        <v>765159</v>
      </c>
      <c r="B176" s="1">
        <v>620515</v>
      </c>
      <c r="C176" s="1" t="s">
        <v>1189</v>
      </c>
      <c r="D176" s="38" t="s">
        <v>1695</v>
      </c>
      <c r="E176" s="4">
        <v>27168</v>
      </c>
      <c r="F176" s="1">
        <v>51</v>
      </c>
      <c r="G176" s="1" t="s">
        <v>212</v>
      </c>
      <c r="H176" s="1" t="s">
        <v>1501</v>
      </c>
      <c r="I176" s="1" t="s">
        <v>1501</v>
      </c>
      <c r="J176" s="1">
        <v>8535</v>
      </c>
      <c r="K176" s="1" t="s">
        <v>86</v>
      </c>
      <c r="L176" s="1" t="s">
        <v>8</v>
      </c>
      <c r="M176" s="1" t="s">
        <v>4</v>
      </c>
      <c r="N176" s="1" t="s">
        <v>12</v>
      </c>
      <c r="O176" s="1" t="s">
        <v>216</v>
      </c>
      <c r="P176" s="1" t="s">
        <v>53</v>
      </c>
      <c r="Q176" s="1" t="s">
        <v>8</v>
      </c>
      <c r="R176" s="1" t="s">
        <v>11</v>
      </c>
      <c r="S176" s="1" t="s">
        <v>20</v>
      </c>
      <c r="T176" s="1" t="s">
        <v>53</v>
      </c>
      <c r="U176" s="1" t="s">
        <v>6</v>
      </c>
      <c r="V176" s="1" t="str">
        <f>IF(pilgrims[[#This Row],[packages.second_hotel_name]]="",pilgrims[[#This Row],[packages.first_hotel_name]],pilgrims[[#This Row],[packages.second_hotel_name]])</f>
        <v>Daral Taqwa Hotel</v>
      </c>
      <c r="W176" s="1" t="str">
        <f>IF(pilgrims[[#This Row],[packages.second_hotel_name]]="",pilgrims[[#This Row],[packages.first_hotel_check_in]],pilgrims[[#This Row],[packages.second_hotel_check_in]])</f>
        <v>2026-05-30</v>
      </c>
      <c r="X176" s="1" t="str">
        <f>IF(pilgrims[[#This Row],[packages.second_hotel_name]]="",pilgrims[[#This Row],[packages.first_hotel_check_out]],pilgrims[[#This Row],[packages.second_hotel_check_out]])</f>
        <v>2026-06-02</v>
      </c>
      <c r="Y176" s="1" t="s">
        <v>4</v>
      </c>
      <c r="Z176" s="1" t="s">
        <v>214</v>
      </c>
      <c r="AA176" s="1" t="s">
        <v>1191</v>
      </c>
      <c r="AB176" s="1" t="s">
        <v>1191</v>
      </c>
      <c r="AC176" s="1" t="s">
        <v>212</v>
      </c>
      <c r="AD176" s="1" t="s">
        <v>57</v>
      </c>
      <c r="AE176" s="1" t="s">
        <v>1280</v>
      </c>
      <c r="AF176" s="4">
        <v>46163</v>
      </c>
      <c r="AG176" s="5">
        <v>0.2361111111111111</v>
      </c>
      <c r="AH176" s="1" t="s">
        <v>76</v>
      </c>
      <c r="AI176" s="1" t="s">
        <v>1281</v>
      </c>
      <c r="AJ176" s="4">
        <v>46175</v>
      </c>
      <c r="AK176" s="5">
        <v>0.93055555555555558</v>
      </c>
      <c r="AL176" s="1" t="s">
        <v>215</v>
      </c>
      <c r="AM176" s="1"/>
    </row>
    <row r="177" spans="1:39" x14ac:dyDescent="0.3">
      <c r="A177" s="1">
        <v>835875</v>
      </c>
      <c r="B177" s="1">
        <v>584306</v>
      </c>
      <c r="C177" s="1" t="s">
        <v>1189</v>
      </c>
      <c r="D177" s="38" t="s">
        <v>1696</v>
      </c>
      <c r="E177" s="4">
        <v>38422</v>
      </c>
      <c r="F177" s="1">
        <v>20</v>
      </c>
      <c r="G177" s="1" t="s">
        <v>212</v>
      </c>
      <c r="H177" s="1" t="s">
        <v>1502</v>
      </c>
      <c r="I177" s="1" t="s">
        <v>1502</v>
      </c>
      <c r="J177" s="1">
        <v>8531</v>
      </c>
      <c r="K177" s="1" t="s">
        <v>84</v>
      </c>
      <c r="L177" s="1" t="s">
        <v>8</v>
      </c>
      <c r="M177" s="1" t="s">
        <v>9</v>
      </c>
      <c r="N177" s="1" t="s">
        <v>20</v>
      </c>
      <c r="O177" s="1" t="s">
        <v>216</v>
      </c>
      <c r="P177" s="1" t="s">
        <v>53</v>
      </c>
      <c r="Q177" s="1" t="s">
        <v>8</v>
      </c>
      <c r="R177" s="1" t="s">
        <v>11</v>
      </c>
      <c r="S177" s="1" t="s">
        <v>12</v>
      </c>
      <c r="T177" s="1" t="s">
        <v>53</v>
      </c>
      <c r="U177" s="1" t="s">
        <v>13</v>
      </c>
      <c r="V177" s="1" t="str">
        <f>IF(pilgrims[[#This Row],[packages.second_hotel_name]]="",pilgrims[[#This Row],[packages.first_hotel_name]],pilgrims[[#This Row],[packages.second_hotel_name]])</f>
        <v>Makkah Clock Royal Tower A Fairmont Hotel</v>
      </c>
      <c r="W177" s="1" t="str">
        <f>IF(pilgrims[[#This Row],[packages.second_hotel_name]]="",pilgrims[[#This Row],[packages.first_hotel_check_in]],pilgrims[[#This Row],[packages.second_hotel_check_in]])</f>
        <v>2026-05-31</v>
      </c>
      <c r="X177" s="1" t="str">
        <f>IF(pilgrims[[#This Row],[packages.second_hotel_name]]="",pilgrims[[#This Row],[packages.first_hotel_check_out]],pilgrims[[#This Row],[packages.second_hotel_check_out]])</f>
        <v>2026-06-06</v>
      </c>
      <c r="Y177" s="1" t="s">
        <v>9</v>
      </c>
      <c r="Z177" s="1" t="s">
        <v>261</v>
      </c>
      <c r="AA177" s="1" t="s">
        <v>504</v>
      </c>
      <c r="AB177" s="1" t="s">
        <v>1293</v>
      </c>
      <c r="AC177" s="1" t="s">
        <v>505</v>
      </c>
      <c r="AD177" s="1" t="s">
        <v>1294</v>
      </c>
      <c r="AE177" s="1" t="s">
        <v>1281</v>
      </c>
      <c r="AF177" s="4">
        <v>46163</v>
      </c>
      <c r="AG177" s="5">
        <v>0.3888888888888889</v>
      </c>
      <c r="AH177" s="1" t="s">
        <v>1295</v>
      </c>
      <c r="AI177" s="1" t="s">
        <v>1280</v>
      </c>
      <c r="AJ177" s="4">
        <v>46179</v>
      </c>
      <c r="AK177" s="5">
        <v>0.73263888888888884</v>
      </c>
      <c r="AL177" s="1" t="s">
        <v>215</v>
      </c>
      <c r="AM177" s="1"/>
    </row>
    <row r="178" spans="1:39" x14ac:dyDescent="0.3">
      <c r="A178" s="1">
        <v>729136</v>
      </c>
      <c r="B178" s="1">
        <v>611810</v>
      </c>
      <c r="C178" s="1" t="s">
        <v>1188</v>
      </c>
      <c r="D178" s="38" t="s">
        <v>1697</v>
      </c>
      <c r="E178" s="4">
        <v>22543</v>
      </c>
      <c r="F178" s="1">
        <v>64</v>
      </c>
      <c r="G178" s="1" t="s">
        <v>212</v>
      </c>
      <c r="H178" s="1" t="s">
        <v>1501</v>
      </c>
      <c r="I178" s="1" t="s">
        <v>1501</v>
      </c>
      <c r="J178" s="1">
        <v>8550</v>
      </c>
      <c r="K178" s="1" t="s">
        <v>91</v>
      </c>
      <c r="L178" s="1" t="s">
        <v>19</v>
      </c>
      <c r="M178" s="1" t="s">
        <v>13</v>
      </c>
      <c r="N178" s="1" t="s">
        <v>5</v>
      </c>
      <c r="O178" s="1" t="s">
        <v>216</v>
      </c>
      <c r="P178" s="1" t="s">
        <v>53</v>
      </c>
      <c r="Q178" s="1" t="s">
        <v>19</v>
      </c>
      <c r="R178" s="1" t="s">
        <v>8</v>
      </c>
      <c r="S178" s="1" t="s">
        <v>21</v>
      </c>
      <c r="T178" s="1" t="s">
        <v>53</v>
      </c>
      <c r="U178" s="1" t="s">
        <v>8</v>
      </c>
      <c r="V178" s="1" t="str">
        <f>IF(pilgrims[[#This Row],[packages.second_hotel_name]]="",pilgrims[[#This Row],[packages.first_hotel_name]],pilgrims[[#This Row],[packages.second_hotel_name]])</f>
        <v>Swissotel Makkah Hotel</v>
      </c>
      <c r="W178" s="1" t="str">
        <f>IF(pilgrims[[#This Row],[packages.second_hotel_name]]="",pilgrims[[#This Row],[packages.first_hotel_check_in]],pilgrims[[#This Row],[packages.second_hotel_check_in]])</f>
        <v>2026-05-21</v>
      </c>
      <c r="X178" s="1" t="str">
        <f>IF(pilgrims[[#This Row],[packages.second_hotel_name]]="",pilgrims[[#This Row],[packages.first_hotel_check_out]],pilgrims[[#This Row],[packages.second_hotel_check_out]])</f>
        <v>2026-05-25</v>
      </c>
      <c r="Y178" s="1" t="s">
        <v>16</v>
      </c>
      <c r="Z178" s="1" t="s">
        <v>214</v>
      </c>
      <c r="AA178" s="1" t="s">
        <v>1190</v>
      </c>
      <c r="AB178" s="1" t="s">
        <v>1190</v>
      </c>
      <c r="AC178" s="1" t="s">
        <v>212</v>
      </c>
      <c r="AD178" s="1" t="s">
        <v>133</v>
      </c>
      <c r="AE178" s="1" t="s">
        <v>1281</v>
      </c>
      <c r="AF178" s="4">
        <v>46160</v>
      </c>
      <c r="AG178" s="5">
        <v>0.3923611111111111</v>
      </c>
      <c r="AH178" s="1" t="s">
        <v>60</v>
      </c>
      <c r="AI178" s="1" t="s">
        <v>1280</v>
      </c>
      <c r="AJ178" s="4">
        <v>46173</v>
      </c>
      <c r="AK178" s="5">
        <v>0.12847222222222221</v>
      </c>
      <c r="AL178" s="1" t="s">
        <v>215</v>
      </c>
      <c r="AM178" s="1"/>
    </row>
    <row r="179" spans="1:39" x14ac:dyDescent="0.3">
      <c r="A179" s="1">
        <v>726109</v>
      </c>
      <c r="B179" s="1">
        <v>588347</v>
      </c>
      <c r="C179" s="1" t="s">
        <v>1188</v>
      </c>
      <c r="D179" s="38" t="s">
        <v>1698</v>
      </c>
      <c r="E179" s="4">
        <v>33934</v>
      </c>
      <c r="F179" s="1">
        <v>33</v>
      </c>
      <c r="G179" s="1" t="s">
        <v>212</v>
      </c>
      <c r="H179" s="1" t="s">
        <v>1501</v>
      </c>
      <c r="I179" s="1" t="s">
        <v>1501</v>
      </c>
      <c r="J179" s="1">
        <v>8540</v>
      </c>
      <c r="K179" s="1" t="s">
        <v>78</v>
      </c>
      <c r="L179" s="1" t="s">
        <v>8</v>
      </c>
      <c r="M179" s="1" t="s">
        <v>13</v>
      </c>
      <c r="N179" s="1" t="s">
        <v>5</v>
      </c>
      <c r="O179" s="1" t="s">
        <v>216</v>
      </c>
      <c r="P179" s="1" t="s">
        <v>53</v>
      </c>
      <c r="Q179" s="1" t="s">
        <v>8</v>
      </c>
      <c r="R179" s="1" t="s">
        <v>11</v>
      </c>
      <c r="S179" s="1"/>
      <c r="T179" s="1"/>
      <c r="U179" s="1"/>
      <c r="V179" s="1" t="str">
        <f>IF(pilgrims[[#This Row],[packages.second_hotel_name]]="",pilgrims[[#This Row],[packages.first_hotel_name]],pilgrims[[#This Row],[packages.second_hotel_name]])</f>
        <v>Movenpick Anwar Almadinah Hotel</v>
      </c>
      <c r="W179" s="1" t="str">
        <f>IF(pilgrims[[#This Row],[packages.second_hotel_name]]="",pilgrims[[#This Row],[packages.first_hotel_check_in]],pilgrims[[#This Row],[packages.second_hotel_check_in]])</f>
        <v>2026-05-21</v>
      </c>
      <c r="X179" s="1" t="str">
        <f>IF(pilgrims[[#This Row],[packages.second_hotel_name]]="",pilgrims[[#This Row],[packages.first_hotel_check_out]],pilgrims[[#This Row],[packages.second_hotel_check_out]])</f>
        <v>2026-05-24</v>
      </c>
      <c r="Y179" s="1"/>
      <c r="Z179" s="1" t="s">
        <v>261</v>
      </c>
      <c r="AA179" s="1" t="s">
        <v>512</v>
      </c>
      <c r="AB179" s="1" t="s">
        <v>1313</v>
      </c>
      <c r="AC179" s="1" t="s">
        <v>513</v>
      </c>
      <c r="AD179" s="1" t="s">
        <v>1314</v>
      </c>
      <c r="AE179" s="1" t="s">
        <v>1280</v>
      </c>
      <c r="AF179" s="4">
        <v>46163</v>
      </c>
      <c r="AG179" s="5">
        <v>0.16319444444444445</v>
      </c>
      <c r="AH179" s="1" t="s">
        <v>1315</v>
      </c>
      <c r="AI179" s="1" t="s">
        <v>1280</v>
      </c>
      <c r="AJ179" s="4">
        <v>46173</v>
      </c>
      <c r="AK179" s="5">
        <v>0.13194444444444445</v>
      </c>
      <c r="AL179" s="1" t="s">
        <v>215</v>
      </c>
      <c r="AM179" s="1"/>
    </row>
    <row r="180" spans="1:39" x14ac:dyDescent="0.3">
      <c r="A180" s="1">
        <v>755504</v>
      </c>
      <c r="B180" s="1">
        <v>611810</v>
      </c>
      <c r="C180" s="1" t="s">
        <v>1188</v>
      </c>
      <c r="D180" s="38" t="s">
        <v>1699</v>
      </c>
      <c r="E180" s="4">
        <v>20977</v>
      </c>
      <c r="F180" s="1">
        <v>68</v>
      </c>
      <c r="G180" s="1" t="s">
        <v>212</v>
      </c>
      <c r="H180" s="1" t="s">
        <v>1501</v>
      </c>
      <c r="I180" s="1" t="s">
        <v>1501</v>
      </c>
      <c r="J180" s="1">
        <v>8550</v>
      </c>
      <c r="K180" s="1" t="s">
        <v>91</v>
      </c>
      <c r="L180" s="1" t="s">
        <v>19</v>
      </c>
      <c r="M180" s="1" t="s">
        <v>13</v>
      </c>
      <c r="N180" s="1" t="s">
        <v>5</v>
      </c>
      <c r="O180" s="1" t="s">
        <v>216</v>
      </c>
      <c r="P180" s="1" t="s">
        <v>53</v>
      </c>
      <c r="Q180" s="1" t="s">
        <v>19</v>
      </c>
      <c r="R180" s="1" t="s">
        <v>8</v>
      </c>
      <c r="S180" s="1" t="s">
        <v>21</v>
      </c>
      <c r="T180" s="1" t="s">
        <v>53</v>
      </c>
      <c r="U180" s="1" t="s">
        <v>8</v>
      </c>
      <c r="V180" s="1" t="str">
        <f>IF(pilgrims[[#This Row],[packages.second_hotel_name]]="",pilgrims[[#This Row],[packages.first_hotel_name]],pilgrims[[#This Row],[packages.second_hotel_name]])</f>
        <v>Swissotel Makkah Hotel</v>
      </c>
      <c r="W180" s="1" t="str">
        <f>IF(pilgrims[[#This Row],[packages.second_hotel_name]]="",pilgrims[[#This Row],[packages.first_hotel_check_in]],pilgrims[[#This Row],[packages.second_hotel_check_in]])</f>
        <v>2026-05-21</v>
      </c>
      <c r="X180" s="1" t="str">
        <f>IF(pilgrims[[#This Row],[packages.second_hotel_name]]="",pilgrims[[#This Row],[packages.first_hotel_check_out]],pilgrims[[#This Row],[packages.second_hotel_check_out]])</f>
        <v>2026-05-25</v>
      </c>
      <c r="Y180" s="1" t="s">
        <v>16</v>
      </c>
      <c r="Z180" s="1" t="s">
        <v>214</v>
      </c>
      <c r="AA180" s="1" t="s">
        <v>1190</v>
      </c>
      <c r="AB180" s="1" t="s">
        <v>1190</v>
      </c>
      <c r="AC180" s="1" t="s">
        <v>212</v>
      </c>
      <c r="AD180" s="1" t="s">
        <v>133</v>
      </c>
      <c r="AE180" s="1" t="s">
        <v>1281</v>
      </c>
      <c r="AF180" s="4">
        <v>46160</v>
      </c>
      <c r="AG180" s="5">
        <v>0.3923611111111111</v>
      </c>
      <c r="AH180" s="1" t="s">
        <v>60</v>
      </c>
      <c r="AI180" s="1" t="s">
        <v>1280</v>
      </c>
      <c r="AJ180" s="4">
        <v>46173</v>
      </c>
      <c r="AK180" s="5">
        <v>0.12847222222222221</v>
      </c>
      <c r="AL180" s="1" t="s">
        <v>215</v>
      </c>
      <c r="AM180" s="1"/>
    </row>
    <row r="181" spans="1:39" x14ac:dyDescent="0.3">
      <c r="A181" s="1">
        <v>726343</v>
      </c>
      <c r="B181" s="1">
        <v>588347</v>
      </c>
      <c r="C181" s="1" t="s">
        <v>1189</v>
      </c>
      <c r="D181" s="38" t="s">
        <v>1700</v>
      </c>
      <c r="E181" s="4">
        <v>34824</v>
      </c>
      <c r="F181" s="1">
        <v>30</v>
      </c>
      <c r="G181" s="1" t="s">
        <v>212</v>
      </c>
      <c r="H181" s="1" t="s">
        <v>1501</v>
      </c>
      <c r="I181" s="1" t="s">
        <v>1501</v>
      </c>
      <c r="J181" s="1">
        <v>8540</v>
      </c>
      <c r="K181" s="1" t="s">
        <v>78</v>
      </c>
      <c r="L181" s="1" t="s">
        <v>8</v>
      </c>
      <c r="M181" s="1" t="s">
        <v>13</v>
      </c>
      <c r="N181" s="1" t="s">
        <v>5</v>
      </c>
      <c r="O181" s="1" t="s">
        <v>216</v>
      </c>
      <c r="P181" s="1" t="s">
        <v>53</v>
      </c>
      <c r="Q181" s="1" t="s">
        <v>8</v>
      </c>
      <c r="R181" s="1" t="s">
        <v>11</v>
      </c>
      <c r="S181" s="1"/>
      <c r="T181" s="1"/>
      <c r="U181" s="1"/>
      <c r="V181" s="1" t="str">
        <f>IF(pilgrims[[#This Row],[packages.second_hotel_name]]="",pilgrims[[#This Row],[packages.first_hotel_name]],pilgrims[[#This Row],[packages.second_hotel_name]])</f>
        <v>Movenpick Anwar Almadinah Hotel</v>
      </c>
      <c r="W181" s="1" t="str">
        <f>IF(pilgrims[[#This Row],[packages.second_hotel_name]]="",pilgrims[[#This Row],[packages.first_hotel_check_in]],pilgrims[[#This Row],[packages.second_hotel_check_in]])</f>
        <v>2026-05-21</v>
      </c>
      <c r="X181" s="1" t="str">
        <f>IF(pilgrims[[#This Row],[packages.second_hotel_name]]="",pilgrims[[#This Row],[packages.first_hotel_check_out]],pilgrims[[#This Row],[packages.second_hotel_check_out]])</f>
        <v>2026-05-24</v>
      </c>
      <c r="Y181" s="1"/>
      <c r="Z181" s="1" t="s">
        <v>261</v>
      </c>
      <c r="AA181" s="1" t="s">
        <v>512</v>
      </c>
      <c r="AB181" s="1" t="s">
        <v>1313</v>
      </c>
      <c r="AC181" s="1" t="s">
        <v>513</v>
      </c>
      <c r="AD181" s="1" t="s">
        <v>1314</v>
      </c>
      <c r="AE181" s="1" t="s">
        <v>1280</v>
      </c>
      <c r="AF181" s="4">
        <v>46163</v>
      </c>
      <c r="AG181" s="5">
        <v>0.16319444444444445</v>
      </c>
      <c r="AH181" s="1" t="s">
        <v>1315</v>
      </c>
      <c r="AI181" s="1" t="s">
        <v>1280</v>
      </c>
      <c r="AJ181" s="4">
        <v>46173</v>
      </c>
      <c r="AK181" s="5">
        <v>0.13194444444444445</v>
      </c>
      <c r="AL181" s="1" t="s">
        <v>215</v>
      </c>
      <c r="AM181" s="1"/>
    </row>
    <row r="182" spans="1:39" x14ac:dyDescent="0.3">
      <c r="A182" s="1">
        <v>105988</v>
      </c>
      <c r="B182" s="1">
        <v>83548</v>
      </c>
      <c r="C182" s="1" t="s">
        <v>1188</v>
      </c>
      <c r="D182" s="38" t="s">
        <v>1701</v>
      </c>
      <c r="E182" s="4">
        <v>24743</v>
      </c>
      <c r="F182" s="1">
        <v>58</v>
      </c>
      <c r="G182" s="1" t="s">
        <v>212</v>
      </c>
      <c r="H182" s="1" t="s">
        <v>1501</v>
      </c>
      <c r="I182" s="1" t="s">
        <v>1501</v>
      </c>
      <c r="J182" s="1">
        <v>8524</v>
      </c>
      <c r="K182" s="1" t="s">
        <v>85</v>
      </c>
      <c r="L182" s="1" t="s">
        <v>8</v>
      </c>
      <c r="M182" s="1" t="s">
        <v>9</v>
      </c>
      <c r="N182" s="1" t="s">
        <v>5</v>
      </c>
      <c r="O182" s="1" t="s">
        <v>216</v>
      </c>
      <c r="P182" s="1" t="s">
        <v>53</v>
      </c>
      <c r="Q182" s="1" t="s">
        <v>8</v>
      </c>
      <c r="R182" s="1" t="s">
        <v>11</v>
      </c>
      <c r="S182" s="1" t="s">
        <v>15</v>
      </c>
      <c r="T182" s="1" t="s">
        <v>53</v>
      </c>
      <c r="U182" s="1" t="s">
        <v>13</v>
      </c>
      <c r="V182" s="1" t="str">
        <f>IF(pilgrims[[#This Row],[packages.second_hotel_name]]="",pilgrims[[#This Row],[packages.first_hotel_name]],pilgrims[[#This Row],[packages.second_hotel_name]])</f>
        <v>Swissotel Al Maqam Makkah</v>
      </c>
      <c r="W182" s="1" t="str">
        <f>IF(pilgrims[[#This Row],[packages.second_hotel_name]]="",pilgrims[[#This Row],[packages.first_hotel_check_in]],pilgrims[[#This Row],[packages.second_hotel_check_in]])</f>
        <v>2026-05-31</v>
      </c>
      <c r="X182" s="1" t="str">
        <f>IF(pilgrims[[#This Row],[packages.second_hotel_name]]="",pilgrims[[#This Row],[packages.first_hotel_check_out]],pilgrims[[#This Row],[packages.second_hotel_check_out]])</f>
        <v>2026-06-06</v>
      </c>
      <c r="Y182" s="1" t="s">
        <v>9</v>
      </c>
      <c r="Z182" s="1" t="s">
        <v>214</v>
      </c>
      <c r="AA182" s="1" t="s">
        <v>1212</v>
      </c>
      <c r="AB182" s="1" t="s">
        <v>1212</v>
      </c>
      <c r="AC182" s="1" t="s">
        <v>212</v>
      </c>
      <c r="AD182" s="1" t="s">
        <v>66</v>
      </c>
      <c r="AE182" s="1" t="s">
        <v>1280</v>
      </c>
      <c r="AF182" s="4">
        <v>46164</v>
      </c>
      <c r="AG182" s="5">
        <v>0.57986111111111116</v>
      </c>
      <c r="AH182" s="1" t="s">
        <v>73</v>
      </c>
      <c r="AI182" s="1" t="s">
        <v>1281</v>
      </c>
      <c r="AJ182" s="4">
        <v>46177</v>
      </c>
      <c r="AK182" s="5">
        <v>0.14930555555555555</v>
      </c>
      <c r="AL182" s="1" t="s">
        <v>215</v>
      </c>
      <c r="AM182" s="1"/>
    </row>
    <row r="183" spans="1:39" x14ac:dyDescent="0.3">
      <c r="A183" s="1">
        <v>106019</v>
      </c>
      <c r="B183" s="1">
        <v>83548</v>
      </c>
      <c r="C183" s="1" t="s">
        <v>1189</v>
      </c>
      <c r="D183" s="38" t="s">
        <v>1702</v>
      </c>
      <c r="E183" s="4">
        <v>26305</v>
      </c>
      <c r="F183" s="1">
        <v>54</v>
      </c>
      <c r="G183" s="1" t="s">
        <v>212</v>
      </c>
      <c r="H183" s="1" t="s">
        <v>1501</v>
      </c>
      <c r="I183" s="1" t="s">
        <v>1501</v>
      </c>
      <c r="J183" s="1">
        <v>8524</v>
      </c>
      <c r="K183" s="1" t="s">
        <v>85</v>
      </c>
      <c r="L183" s="1" t="s">
        <v>8</v>
      </c>
      <c r="M183" s="1" t="s">
        <v>9</v>
      </c>
      <c r="N183" s="1" t="s">
        <v>5</v>
      </c>
      <c r="O183" s="1" t="s">
        <v>216</v>
      </c>
      <c r="P183" s="1" t="s">
        <v>53</v>
      </c>
      <c r="Q183" s="1" t="s">
        <v>8</v>
      </c>
      <c r="R183" s="1" t="s">
        <v>11</v>
      </c>
      <c r="S183" s="1" t="s">
        <v>15</v>
      </c>
      <c r="T183" s="1" t="s">
        <v>53</v>
      </c>
      <c r="U183" s="1" t="s">
        <v>13</v>
      </c>
      <c r="V183" s="1" t="str">
        <f>IF(pilgrims[[#This Row],[packages.second_hotel_name]]="",pilgrims[[#This Row],[packages.first_hotel_name]],pilgrims[[#This Row],[packages.second_hotel_name]])</f>
        <v>Swissotel Al Maqam Makkah</v>
      </c>
      <c r="W183" s="1" t="str">
        <f>IF(pilgrims[[#This Row],[packages.second_hotel_name]]="",pilgrims[[#This Row],[packages.first_hotel_check_in]],pilgrims[[#This Row],[packages.second_hotel_check_in]])</f>
        <v>2026-05-31</v>
      </c>
      <c r="X183" s="1" t="str">
        <f>IF(pilgrims[[#This Row],[packages.second_hotel_name]]="",pilgrims[[#This Row],[packages.first_hotel_check_out]],pilgrims[[#This Row],[packages.second_hotel_check_out]])</f>
        <v>2026-06-06</v>
      </c>
      <c r="Y183" s="1" t="s">
        <v>9</v>
      </c>
      <c r="Z183" s="1" t="s">
        <v>214</v>
      </c>
      <c r="AA183" s="1" t="s">
        <v>1212</v>
      </c>
      <c r="AB183" s="1" t="s">
        <v>1212</v>
      </c>
      <c r="AC183" s="1" t="s">
        <v>212</v>
      </c>
      <c r="AD183" s="1" t="s">
        <v>66</v>
      </c>
      <c r="AE183" s="1" t="s">
        <v>1280</v>
      </c>
      <c r="AF183" s="4">
        <v>46164</v>
      </c>
      <c r="AG183" s="5">
        <v>0.57986111111111116</v>
      </c>
      <c r="AH183" s="1" t="s">
        <v>73</v>
      </c>
      <c r="AI183" s="1" t="s">
        <v>1281</v>
      </c>
      <c r="AJ183" s="4">
        <v>46177</v>
      </c>
      <c r="AK183" s="5">
        <v>0.14930555555555555</v>
      </c>
      <c r="AL183" s="1" t="s">
        <v>215</v>
      </c>
      <c r="AM183" s="1"/>
    </row>
    <row r="184" spans="1:39" x14ac:dyDescent="0.3">
      <c r="A184" s="1">
        <v>631273</v>
      </c>
      <c r="B184" s="1">
        <v>511601</v>
      </c>
      <c r="C184" s="1" t="s">
        <v>1189</v>
      </c>
      <c r="D184" s="38" t="s">
        <v>1703</v>
      </c>
      <c r="E184" s="4">
        <v>30726</v>
      </c>
      <c r="F184" s="1">
        <v>42</v>
      </c>
      <c r="G184" s="1" t="s">
        <v>212</v>
      </c>
      <c r="H184" s="1" t="s">
        <v>1502</v>
      </c>
      <c r="I184" s="1" t="s">
        <v>1502</v>
      </c>
      <c r="J184" s="1">
        <v>8530</v>
      </c>
      <c r="K184" s="1" t="s">
        <v>83</v>
      </c>
      <c r="L184" s="1" t="s">
        <v>19</v>
      </c>
      <c r="M184" s="1" t="s">
        <v>13</v>
      </c>
      <c r="N184" s="1" t="s">
        <v>5</v>
      </c>
      <c r="O184" s="1" t="s">
        <v>216</v>
      </c>
      <c r="P184" s="1" t="s">
        <v>53</v>
      </c>
      <c r="Q184" s="1" t="s">
        <v>19</v>
      </c>
      <c r="R184" s="1" t="s">
        <v>8</v>
      </c>
      <c r="S184" s="1" t="s">
        <v>15</v>
      </c>
      <c r="T184" s="1" t="s">
        <v>53</v>
      </c>
      <c r="U184" s="1" t="s">
        <v>8</v>
      </c>
      <c r="V184" s="1" t="str">
        <f>IF(pilgrims[[#This Row],[packages.second_hotel_name]]="",pilgrims[[#This Row],[packages.first_hotel_name]],pilgrims[[#This Row],[packages.second_hotel_name]])</f>
        <v>Swissotel Al Maqam Makkah</v>
      </c>
      <c r="W184" s="1" t="str">
        <f>IF(pilgrims[[#This Row],[packages.second_hotel_name]]="",pilgrims[[#This Row],[packages.first_hotel_check_in]],pilgrims[[#This Row],[packages.second_hotel_check_in]])</f>
        <v>2026-05-21</v>
      </c>
      <c r="X184" s="1" t="str">
        <f>IF(pilgrims[[#This Row],[packages.second_hotel_name]]="",pilgrims[[#This Row],[packages.first_hotel_check_out]],pilgrims[[#This Row],[packages.second_hotel_check_out]])</f>
        <v>2026-05-25</v>
      </c>
      <c r="Y184" s="1" t="s">
        <v>16</v>
      </c>
      <c r="Z184" s="1" t="s">
        <v>214</v>
      </c>
      <c r="AA184" s="1" t="s">
        <v>1209</v>
      </c>
      <c r="AB184" s="1" t="s">
        <v>1209</v>
      </c>
      <c r="AC184" s="1" t="s">
        <v>212</v>
      </c>
      <c r="AD184" s="1" t="s">
        <v>134</v>
      </c>
      <c r="AE184" s="1" t="s">
        <v>1281</v>
      </c>
      <c r="AF184" s="4">
        <v>46160</v>
      </c>
      <c r="AG184" s="5">
        <v>0.73958333333333337</v>
      </c>
      <c r="AH184" s="1" t="s">
        <v>68</v>
      </c>
      <c r="AI184" s="1" t="s">
        <v>1280</v>
      </c>
      <c r="AJ184" s="4">
        <v>46172</v>
      </c>
      <c r="AK184" s="5">
        <v>0.38541666666666669</v>
      </c>
      <c r="AL184" s="1" t="s">
        <v>215</v>
      </c>
      <c r="AM184" s="1"/>
    </row>
    <row r="185" spans="1:39" x14ac:dyDescent="0.3">
      <c r="A185" s="1">
        <v>631382</v>
      </c>
      <c r="B185" s="1">
        <v>511674</v>
      </c>
      <c r="C185" s="1" t="s">
        <v>1189</v>
      </c>
      <c r="D185" s="38" t="s">
        <v>1704</v>
      </c>
      <c r="E185" s="4">
        <v>34181</v>
      </c>
      <c r="F185" s="1">
        <v>32</v>
      </c>
      <c r="G185" s="1" t="s">
        <v>212</v>
      </c>
      <c r="H185" s="1" t="s">
        <v>1501</v>
      </c>
      <c r="I185" s="1" t="s">
        <v>1501</v>
      </c>
      <c r="J185" s="1">
        <v>8525</v>
      </c>
      <c r="K185" s="1" t="s">
        <v>77</v>
      </c>
      <c r="L185" s="1" t="s">
        <v>19</v>
      </c>
      <c r="M185" s="1" t="s">
        <v>13</v>
      </c>
      <c r="N185" s="1" t="s">
        <v>10</v>
      </c>
      <c r="O185" s="1" t="s">
        <v>216</v>
      </c>
      <c r="P185" s="1" t="s">
        <v>52</v>
      </c>
      <c r="Q185" s="1" t="s">
        <v>19</v>
      </c>
      <c r="R185" s="1" t="s">
        <v>8</v>
      </c>
      <c r="S185" s="1" t="s">
        <v>12</v>
      </c>
      <c r="T185" s="1" t="s">
        <v>53</v>
      </c>
      <c r="U185" s="1" t="s">
        <v>8</v>
      </c>
      <c r="V185" s="1" t="str">
        <f>IF(pilgrims[[#This Row],[packages.second_hotel_name]]="",pilgrims[[#This Row],[packages.first_hotel_name]],pilgrims[[#This Row],[packages.second_hotel_name]])</f>
        <v>Makkah Clock Royal Tower A Fairmont Hotel</v>
      </c>
      <c r="W185" s="1" t="str">
        <f>IF(pilgrims[[#This Row],[packages.second_hotel_name]]="",pilgrims[[#This Row],[packages.first_hotel_check_in]],pilgrims[[#This Row],[packages.second_hotel_check_in]])</f>
        <v>2026-05-21</v>
      </c>
      <c r="X185" s="1" t="str">
        <f>IF(pilgrims[[#This Row],[packages.second_hotel_name]]="",pilgrims[[#This Row],[packages.first_hotel_check_out]],pilgrims[[#This Row],[packages.second_hotel_check_out]])</f>
        <v>2026-05-24</v>
      </c>
      <c r="Y185" s="1" t="s">
        <v>11</v>
      </c>
      <c r="Z185" s="1" t="s">
        <v>214</v>
      </c>
      <c r="AA185" s="1" t="s">
        <v>1202</v>
      </c>
      <c r="AB185" s="1" t="s">
        <v>1202</v>
      </c>
      <c r="AC185" s="1" t="s">
        <v>212</v>
      </c>
      <c r="AD185" s="1" t="s">
        <v>136</v>
      </c>
      <c r="AE185" s="1" t="s">
        <v>1281</v>
      </c>
      <c r="AF185" s="4">
        <v>46160</v>
      </c>
      <c r="AG185" s="5">
        <v>0.1076388888888889</v>
      </c>
      <c r="AH185" s="1" t="s">
        <v>71</v>
      </c>
      <c r="AI185" s="1" t="s">
        <v>1280</v>
      </c>
      <c r="AJ185" s="4">
        <v>46172</v>
      </c>
      <c r="AK185" s="5">
        <v>0.40972222222222221</v>
      </c>
      <c r="AL185" s="1" t="s">
        <v>215</v>
      </c>
      <c r="AM185" s="1"/>
    </row>
    <row r="186" spans="1:39" x14ac:dyDescent="0.3">
      <c r="A186" s="1">
        <v>631637</v>
      </c>
      <c r="B186" s="1">
        <v>511674</v>
      </c>
      <c r="C186" s="1" t="s">
        <v>1188</v>
      </c>
      <c r="D186" s="38" t="s">
        <v>1705</v>
      </c>
      <c r="E186" s="4">
        <v>32957</v>
      </c>
      <c r="F186" s="1">
        <v>35</v>
      </c>
      <c r="G186" s="1" t="s">
        <v>212</v>
      </c>
      <c r="H186" s="1" t="s">
        <v>1501</v>
      </c>
      <c r="I186" s="1" t="s">
        <v>1501</v>
      </c>
      <c r="J186" s="1">
        <v>8525</v>
      </c>
      <c r="K186" s="1" t="s">
        <v>77</v>
      </c>
      <c r="L186" s="1" t="s">
        <v>19</v>
      </c>
      <c r="M186" s="1" t="s">
        <v>13</v>
      </c>
      <c r="N186" s="1" t="s">
        <v>10</v>
      </c>
      <c r="O186" s="1" t="s">
        <v>216</v>
      </c>
      <c r="P186" s="1" t="s">
        <v>52</v>
      </c>
      <c r="Q186" s="1" t="s">
        <v>19</v>
      </c>
      <c r="R186" s="1" t="s">
        <v>8</v>
      </c>
      <c r="S186" s="1" t="s">
        <v>12</v>
      </c>
      <c r="T186" s="1" t="s">
        <v>53</v>
      </c>
      <c r="U186" s="1" t="s">
        <v>8</v>
      </c>
      <c r="V186" s="1" t="str">
        <f>IF(pilgrims[[#This Row],[packages.second_hotel_name]]="",pilgrims[[#This Row],[packages.first_hotel_name]],pilgrims[[#This Row],[packages.second_hotel_name]])</f>
        <v>Makkah Clock Royal Tower A Fairmont Hotel</v>
      </c>
      <c r="W186" s="1" t="str">
        <f>IF(pilgrims[[#This Row],[packages.second_hotel_name]]="",pilgrims[[#This Row],[packages.first_hotel_check_in]],pilgrims[[#This Row],[packages.second_hotel_check_in]])</f>
        <v>2026-05-21</v>
      </c>
      <c r="X186" s="1" t="str">
        <f>IF(pilgrims[[#This Row],[packages.second_hotel_name]]="",pilgrims[[#This Row],[packages.first_hotel_check_out]],pilgrims[[#This Row],[packages.second_hotel_check_out]])</f>
        <v>2026-05-24</v>
      </c>
      <c r="Y186" s="1" t="s">
        <v>11</v>
      </c>
      <c r="Z186" s="1" t="s">
        <v>214</v>
      </c>
      <c r="AA186" s="1" t="s">
        <v>1202</v>
      </c>
      <c r="AB186" s="1" t="s">
        <v>1202</v>
      </c>
      <c r="AC186" s="1" t="s">
        <v>212</v>
      </c>
      <c r="AD186" s="1" t="s">
        <v>136</v>
      </c>
      <c r="AE186" s="1" t="s">
        <v>1281</v>
      </c>
      <c r="AF186" s="4">
        <v>46160</v>
      </c>
      <c r="AG186" s="5">
        <v>0.1076388888888889</v>
      </c>
      <c r="AH186" s="1" t="s">
        <v>71</v>
      </c>
      <c r="AI186" s="1" t="s">
        <v>1280</v>
      </c>
      <c r="AJ186" s="4">
        <v>46172</v>
      </c>
      <c r="AK186" s="5">
        <v>0.40972222222222221</v>
      </c>
      <c r="AL186" s="1" t="s">
        <v>215</v>
      </c>
      <c r="AM186" s="1"/>
    </row>
    <row r="187" spans="1:39" x14ac:dyDescent="0.3">
      <c r="A187" s="1">
        <v>770596</v>
      </c>
      <c r="B187" s="1">
        <v>624707</v>
      </c>
      <c r="C187" s="1" t="s">
        <v>1189</v>
      </c>
      <c r="D187" s="38" t="s">
        <v>1706</v>
      </c>
      <c r="E187" s="4">
        <v>29325</v>
      </c>
      <c r="F187" s="1">
        <v>45</v>
      </c>
      <c r="G187" s="1" t="s">
        <v>212</v>
      </c>
      <c r="H187" s="1" t="s">
        <v>1501</v>
      </c>
      <c r="I187" s="1" t="s">
        <v>1501</v>
      </c>
      <c r="J187" s="1">
        <v>8530</v>
      </c>
      <c r="K187" s="1" t="s">
        <v>83</v>
      </c>
      <c r="L187" s="1" t="s">
        <v>19</v>
      </c>
      <c r="M187" s="1" t="s">
        <v>13</v>
      </c>
      <c r="N187" s="1" t="s">
        <v>5</v>
      </c>
      <c r="O187" s="1" t="s">
        <v>216</v>
      </c>
      <c r="P187" s="1" t="s">
        <v>53</v>
      </c>
      <c r="Q187" s="1" t="s">
        <v>19</v>
      </c>
      <c r="R187" s="1" t="s">
        <v>8</v>
      </c>
      <c r="S187" s="1" t="s">
        <v>15</v>
      </c>
      <c r="T187" s="1" t="s">
        <v>53</v>
      </c>
      <c r="U187" s="1" t="s">
        <v>8</v>
      </c>
      <c r="V187" s="1" t="str">
        <f>IF(pilgrims[[#This Row],[packages.second_hotel_name]]="",pilgrims[[#This Row],[packages.first_hotel_name]],pilgrims[[#This Row],[packages.second_hotel_name]])</f>
        <v>Swissotel Al Maqam Makkah</v>
      </c>
      <c r="W187" s="1" t="str">
        <f>IF(pilgrims[[#This Row],[packages.second_hotel_name]]="",pilgrims[[#This Row],[packages.first_hotel_check_in]],pilgrims[[#This Row],[packages.second_hotel_check_in]])</f>
        <v>2026-05-21</v>
      </c>
      <c r="X187" s="1" t="str">
        <f>IF(pilgrims[[#This Row],[packages.second_hotel_name]]="",pilgrims[[#This Row],[packages.first_hotel_check_out]],pilgrims[[#This Row],[packages.second_hotel_check_out]])</f>
        <v>2026-05-25</v>
      </c>
      <c r="Y187" s="1" t="s">
        <v>16</v>
      </c>
      <c r="Z187" s="1" t="s">
        <v>214</v>
      </c>
      <c r="AA187" s="1" t="s">
        <v>1190</v>
      </c>
      <c r="AB187" s="1" t="s">
        <v>1190</v>
      </c>
      <c r="AC187" s="1" t="s">
        <v>212</v>
      </c>
      <c r="AD187" s="1" t="s">
        <v>133</v>
      </c>
      <c r="AE187" s="1" t="s">
        <v>1281</v>
      </c>
      <c r="AF187" s="4">
        <v>46160</v>
      </c>
      <c r="AG187" s="5">
        <v>0.3923611111111111</v>
      </c>
      <c r="AH187" s="1" t="s">
        <v>60</v>
      </c>
      <c r="AI187" s="1" t="s">
        <v>1280</v>
      </c>
      <c r="AJ187" s="4">
        <v>46173</v>
      </c>
      <c r="AK187" s="5">
        <v>0.12847222222222221</v>
      </c>
      <c r="AL187" s="1" t="s">
        <v>215</v>
      </c>
      <c r="AM187" s="1"/>
    </row>
    <row r="188" spans="1:39" x14ac:dyDescent="0.3">
      <c r="A188" s="1">
        <v>524572</v>
      </c>
      <c r="B188" s="1">
        <v>415113</v>
      </c>
      <c r="C188" s="1" t="s">
        <v>1188</v>
      </c>
      <c r="D188" s="38" t="s">
        <v>1707</v>
      </c>
      <c r="E188" s="4">
        <v>23704</v>
      </c>
      <c r="F188" s="1">
        <v>61</v>
      </c>
      <c r="G188" s="1" t="s">
        <v>212</v>
      </c>
      <c r="H188" s="1" t="s">
        <v>1501</v>
      </c>
      <c r="I188" s="1" t="s">
        <v>1501</v>
      </c>
      <c r="J188" s="1">
        <v>8710</v>
      </c>
      <c r="K188" s="1" t="s">
        <v>95</v>
      </c>
      <c r="L188" s="1" t="s">
        <v>19</v>
      </c>
      <c r="M188" s="1" t="s">
        <v>13</v>
      </c>
      <c r="N188" s="1" t="s">
        <v>10</v>
      </c>
      <c r="O188" s="1" t="s">
        <v>216</v>
      </c>
      <c r="P188" s="1" t="s">
        <v>52</v>
      </c>
      <c r="Q188" s="1" t="s">
        <v>19</v>
      </c>
      <c r="R188" s="1" t="s">
        <v>8</v>
      </c>
      <c r="S188" s="1" t="s">
        <v>15</v>
      </c>
      <c r="T188" s="1" t="s">
        <v>53</v>
      </c>
      <c r="U188" s="1" t="s">
        <v>8</v>
      </c>
      <c r="V188" s="1" t="str">
        <f>IF(pilgrims[[#This Row],[packages.second_hotel_name]]="",pilgrims[[#This Row],[packages.first_hotel_name]],pilgrims[[#This Row],[packages.second_hotel_name]])</f>
        <v>Swissotel Al Maqam Makkah</v>
      </c>
      <c r="W188" s="1" t="str">
        <f>IF(pilgrims[[#This Row],[packages.second_hotel_name]]="",pilgrims[[#This Row],[packages.first_hotel_check_in]],pilgrims[[#This Row],[packages.second_hotel_check_in]])</f>
        <v>2026-05-21</v>
      </c>
      <c r="X188" s="1" t="str">
        <f>IF(pilgrims[[#This Row],[packages.second_hotel_name]]="",pilgrims[[#This Row],[packages.first_hotel_check_out]],pilgrims[[#This Row],[packages.second_hotel_check_out]])</f>
        <v>2026-05-25</v>
      </c>
      <c r="Y188" s="1" t="s">
        <v>16</v>
      </c>
      <c r="Z188" s="1" t="s">
        <v>214</v>
      </c>
      <c r="AA188" s="1" t="s">
        <v>1190</v>
      </c>
      <c r="AB188" s="1" t="s">
        <v>1190</v>
      </c>
      <c r="AC188" s="1" t="s">
        <v>212</v>
      </c>
      <c r="AD188" s="1" t="s">
        <v>133</v>
      </c>
      <c r="AE188" s="1" t="s">
        <v>1281</v>
      </c>
      <c r="AF188" s="4">
        <v>46160</v>
      </c>
      <c r="AG188" s="5">
        <v>0.3923611111111111</v>
      </c>
      <c r="AH188" s="1" t="s">
        <v>60</v>
      </c>
      <c r="AI188" s="1" t="s">
        <v>1280</v>
      </c>
      <c r="AJ188" s="4">
        <v>46173</v>
      </c>
      <c r="AK188" s="5">
        <v>0.12847222222222221</v>
      </c>
      <c r="AL188" s="1" t="s">
        <v>215</v>
      </c>
      <c r="AM188" s="1"/>
    </row>
    <row r="189" spans="1:39" x14ac:dyDescent="0.3">
      <c r="A189" s="1">
        <v>615594</v>
      </c>
      <c r="B189" s="1">
        <v>519550</v>
      </c>
      <c r="C189" s="1" t="s">
        <v>1189</v>
      </c>
      <c r="D189" s="38" t="s">
        <v>1708</v>
      </c>
      <c r="E189" s="4">
        <v>27602</v>
      </c>
      <c r="F189" s="1">
        <v>50</v>
      </c>
      <c r="G189" s="1" t="s">
        <v>212</v>
      </c>
      <c r="H189" s="1" t="s">
        <v>1501</v>
      </c>
      <c r="I189" s="1" t="s">
        <v>1501</v>
      </c>
      <c r="J189" s="1">
        <v>8538</v>
      </c>
      <c r="K189" s="1" t="s">
        <v>88</v>
      </c>
      <c r="L189" s="1" t="s">
        <v>8</v>
      </c>
      <c r="M189" s="1" t="s">
        <v>4</v>
      </c>
      <c r="N189" s="1" t="s">
        <v>15</v>
      </c>
      <c r="O189" s="1" t="s">
        <v>216</v>
      </c>
      <c r="P189" s="1" t="s">
        <v>53</v>
      </c>
      <c r="Q189" s="1" t="s">
        <v>8</v>
      </c>
      <c r="R189" s="1" t="s">
        <v>16</v>
      </c>
      <c r="S189" s="1" t="s">
        <v>5</v>
      </c>
      <c r="T189" s="1" t="s">
        <v>53</v>
      </c>
      <c r="U189" s="1" t="s">
        <v>6</v>
      </c>
      <c r="V189" s="1" t="str">
        <f>IF(pilgrims[[#This Row],[packages.second_hotel_name]]="",pilgrims[[#This Row],[packages.first_hotel_name]],pilgrims[[#This Row],[packages.second_hotel_name]])</f>
        <v>Movenpick Anwar Almadinah Hotel</v>
      </c>
      <c r="W189" s="1" t="str">
        <f>IF(pilgrims[[#This Row],[packages.second_hotel_name]]="",pilgrims[[#This Row],[packages.first_hotel_check_in]],pilgrims[[#This Row],[packages.second_hotel_check_in]])</f>
        <v>2026-05-30</v>
      </c>
      <c r="X189" s="1" t="str">
        <f>IF(pilgrims[[#This Row],[packages.second_hotel_name]]="",pilgrims[[#This Row],[packages.first_hotel_check_out]],pilgrims[[#This Row],[packages.second_hotel_check_out]])</f>
        <v>2026-06-02</v>
      </c>
      <c r="Y189" s="1" t="s">
        <v>4</v>
      </c>
      <c r="Z189" s="1" t="s">
        <v>214</v>
      </c>
      <c r="AA189" s="1" t="s">
        <v>1191</v>
      </c>
      <c r="AB189" s="1" t="s">
        <v>1191</v>
      </c>
      <c r="AC189" s="1" t="s">
        <v>212</v>
      </c>
      <c r="AD189" s="1" t="s">
        <v>57</v>
      </c>
      <c r="AE189" s="1" t="s">
        <v>1280</v>
      </c>
      <c r="AF189" s="4">
        <v>46163</v>
      </c>
      <c r="AG189" s="5">
        <v>0.2361111111111111</v>
      </c>
      <c r="AH189" s="1" t="s">
        <v>76</v>
      </c>
      <c r="AI189" s="1" t="s">
        <v>1281</v>
      </c>
      <c r="AJ189" s="4">
        <v>46175</v>
      </c>
      <c r="AK189" s="5">
        <v>0.93055555555555558</v>
      </c>
      <c r="AL189" s="1" t="s">
        <v>215</v>
      </c>
      <c r="AM189" s="1"/>
    </row>
    <row r="190" spans="1:39" x14ac:dyDescent="0.3">
      <c r="A190" s="1">
        <v>640715</v>
      </c>
      <c r="B190" s="1">
        <v>519550</v>
      </c>
      <c r="C190" s="1" t="s">
        <v>1188</v>
      </c>
      <c r="D190" s="38" t="s">
        <v>1709</v>
      </c>
      <c r="E190" s="4">
        <v>27027</v>
      </c>
      <c r="F190" s="1">
        <v>52</v>
      </c>
      <c r="G190" s="1" t="s">
        <v>212</v>
      </c>
      <c r="H190" s="1" t="s">
        <v>1501</v>
      </c>
      <c r="I190" s="1" t="s">
        <v>1501</v>
      </c>
      <c r="J190" s="1">
        <v>8538</v>
      </c>
      <c r="K190" s="1" t="s">
        <v>88</v>
      </c>
      <c r="L190" s="1" t="s">
        <v>8</v>
      </c>
      <c r="M190" s="1" t="s">
        <v>4</v>
      </c>
      <c r="N190" s="1" t="s">
        <v>15</v>
      </c>
      <c r="O190" s="1" t="s">
        <v>216</v>
      </c>
      <c r="P190" s="1" t="s">
        <v>53</v>
      </c>
      <c r="Q190" s="1" t="s">
        <v>8</v>
      </c>
      <c r="R190" s="1" t="s">
        <v>16</v>
      </c>
      <c r="S190" s="1" t="s">
        <v>5</v>
      </c>
      <c r="T190" s="1" t="s">
        <v>53</v>
      </c>
      <c r="U190" s="1" t="s">
        <v>6</v>
      </c>
      <c r="V190" s="1" t="str">
        <f>IF(pilgrims[[#This Row],[packages.second_hotel_name]]="",pilgrims[[#This Row],[packages.first_hotel_name]],pilgrims[[#This Row],[packages.second_hotel_name]])</f>
        <v>Movenpick Anwar Almadinah Hotel</v>
      </c>
      <c r="W190" s="1" t="str">
        <f>IF(pilgrims[[#This Row],[packages.second_hotel_name]]="",pilgrims[[#This Row],[packages.first_hotel_check_in]],pilgrims[[#This Row],[packages.second_hotel_check_in]])</f>
        <v>2026-05-30</v>
      </c>
      <c r="X190" s="1" t="str">
        <f>IF(pilgrims[[#This Row],[packages.second_hotel_name]]="",pilgrims[[#This Row],[packages.first_hotel_check_out]],pilgrims[[#This Row],[packages.second_hotel_check_out]])</f>
        <v>2026-06-02</v>
      </c>
      <c r="Y190" s="1" t="s">
        <v>4</v>
      </c>
      <c r="Z190" s="1" t="s">
        <v>214</v>
      </c>
      <c r="AA190" s="1" t="s">
        <v>1191</v>
      </c>
      <c r="AB190" s="1" t="s">
        <v>1191</v>
      </c>
      <c r="AC190" s="1" t="s">
        <v>212</v>
      </c>
      <c r="AD190" s="1" t="s">
        <v>57</v>
      </c>
      <c r="AE190" s="1" t="s">
        <v>1280</v>
      </c>
      <c r="AF190" s="4">
        <v>46163</v>
      </c>
      <c r="AG190" s="5">
        <v>0.2361111111111111</v>
      </c>
      <c r="AH190" s="1" t="s">
        <v>76</v>
      </c>
      <c r="AI190" s="1" t="s">
        <v>1281</v>
      </c>
      <c r="AJ190" s="4">
        <v>46175</v>
      </c>
      <c r="AK190" s="5">
        <v>0.93055555555555558</v>
      </c>
      <c r="AL190" s="1" t="s">
        <v>215</v>
      </c>
      <c r="AM190" s="1"/>
    </row>
    <row r="191" spans="1:39" x14ac:dyDescent="0.3">
      <c r="A191" s="1">
        <v>102924</v>
      </c>
      <c r="B191" s="1">
        <v>81387</v>
      </c>
      <c r="C191" s="1" t="s">
        <v>1188</v>
      </c>
      <c r="D191" s="38" t="s">
        <v>1710</v>
      </c>
      <c r="E191" s="4">
        <v>32336</v>
      </c>
      <c r="F191" s="1">
        <v>37</v>
      </c>
      <c r="G191" s="1" t="s">
        <v>212</v>
      </c>
      <c r="H191" s="1" t="s">
        <v>1501</v>
      </c>
      <c r="I191" s="1" t="s">
        <v>1501</v>
      </c>
      <c r="J191" s="1">
        <v>8530</v>
      </c>
      <c r="K191" s="1" t="s">
        <v>83</v>
      </c>
      <c r="L191" s="1" t="s">
        <v>19</v>
      </c>
      <c r="M191" s="1" t="s">
        <v>13</v>
      </c>
      <c r="N191" s="1" t="s">
        <v>5</v>
      </c>
      <c r="O191" s="1" t="s">
        <v>216</v>
      </c>
      <c r="P191" s="1" t="s">
        <v>53</v>
      </c>
      <c r="Q191" s="1" t="s">
        <v>19</v>
      </c>
      <c r="R191" s="1" t="s">
        <v>8</v>
      </c>
      <c r="S191" s="1" t="s">
        <v>15</v>
      </c>
      <c r="T191" s="1" t="s">
        <v>53</v>
      </c>
      <c r="U191" s="1" t="s">
        <v>8</v>
      </c>
      <c r="V191" s="1" t="str">
        <f>IF(pilgrims[[#This Row],[packages.second_hotel_name]]="",pilgrims[[#This Row],[packages.first_hotel_name]],pilgrims[[#This Row],[packages.second_hotel_name]])</f>
        <v>Swissotel Al Maqam Makkah</v>
      </c>
      <c r="W191" s="1" t="str">
        <f>IF(pilgrims[[#This Row],[packages.second_hotel_name]]="",pilgrims[[#This Row],[packages.first_hotel_check_in]],pilgrims[[#This Row],[packages.second_hotel_check_in]])</f>
        <v>2026-05-21</v>
      </c>
      <c r="X191" s="1" t="str">
        <f>IF(pilgrims[[#This Row],[packages.second_hotel_name]]="",pilgrims[[#This Row],[packages.first_hotel_check_out]],pilgrims[[#This Row],[packages.second_hotel_check_out]])</f>
        <v>2026-05-25</v>
      </c>
      <c r="Y191" s="1" t="s">
        <v>16</v>
      </c>
      <c r="Z191" s="1" t="s">
        <v>214</v>
      </c>
      <c r="AA191" s="1" t="s">
        <v>1203</v>
      </c>
      <c r="AB191" s="1" t="s">
        <v>1203</v>
      </c>
      <c r="AC191" s="1" t="s">
        <v>212</v>
      </c>
      <c r="AD191" s="1" t="s">
        <v>136</v>
      </c>
      <c r="AE191" s="1" t="s">
        <v>1281</v>
      </c>
      <c r="AF191" s="4">
        <v>46160</v>
      </c>
      <c r="AG191" s="5">
        <v>0.1076388888888889</v>
      </c>
      <c r="AH191" s="1" t="s">
        <v>71</v>
      </c>
      <c r="AI191" s="1" t="s">
        <v>1280</v>
      </c>
      <c r="AJ191" s="4">
        <v>46172</v>
      </c>
      <c r="AK191" s="5">
        <v>0.40972222222222221</v>
      </c>
      <c r="AL191" s="1" t="s">
        <v>215</v>
      </c>
      <c r="AM191" s="1"/>
    </row>
    <row r="192" spans="1:39" x14ac:dyDescent="0.3">
      <c r="A192" s="1">
        <v>51461</v>
      </c>
      <c r="B192" s="1">
        <v>43489</v>
      </c>
      <c r="C192" s="1" t="s">
        <v>1188</v>
      </c>
      <c r="D192" s="38" t="s">
        <v>1711</v>
      </c>
      <c r="E192" s="4">
        <v>31913</v>
      </c>
      <c r="F192" s="1">
        <v>38</v>
      </c>
      <c r="G192" s="1" t="s">
        <v>212</v>
      </c>
      <c r="H192" s="1" t="s">
        <v>1507</v>
      </c>
      <c r="I192" s="1" t="s">
        <v>1507</v>
      </c>
      <c r="J192" s="1">
        <v>8529</v>
      </c>
      <c r="K192" s="1" t="s">
        <v>82</v>
      </c>
      <c r="L192" s="1" t="s">
        <v>19</v>
      </c>
      <c r="M192" s="1" t="s">
        <v>13</v>
      </c>
      <c r="N192" s="1" t="s">
        <v>20</v>
      </c>
      <c r="O192" s="1" t="s">
        <v>216</v>
      </c>
      <c r="P192" s="1" t="s">
        <v>53</v>
      </c>
      <c r="Q192" s="1" t="s">
        <v>19</v>
      </c>
      <c r="R192" s="1" t="s">
        <v>8</v>
      </c>
      <c r="S192" s="1" t="s">
        <v>21</v>
      </c>
      <c r="T192" s="1" t="s">
        <v>53</v>
      </c>
      <c r="U192" s="1" t="s">
        <v>8</v>
      </c>
      <c r="V192" s="1" t="str">
        <f>IF(pilgrims[[#This Row],[packages.second_hotel_name]]="",pilgrims[[#This Row],[packages.first_hotel_name]],pilgrims[[#This Row],[packages.second_hotel_name]])</f>
        <v>Swissotel Makkah Hotel</v>
      </c>
      <c r="W192" s="1" t="str">
        <f>IF(pilgrims[[#This Row],[packages.second_hotel_name]]="",pilgrims[[#This Row],[packages.first_hotel_check_in]],pilgrims[[#This Row],[packages.second_hotel_check_in]])</f>
        <v>2026-05-21</v>
      </c>
      <c r="X192" s="1" t="str">
        <f>IF(pilgrims[[#This Row],[packages.second_hotel_name]]="",pilgrims[[#This Row],[packages.first_hotel_check_out]],pilgrims[[#This Row],[packages.second_hotel_check_out]])</f>
        <v>2026-05-25</v>
      </c>
      <c r="Y192" s="1" t="s">
        <v>16</v>
      </c>
      <c r="Z192" s="1" t="s">
        <v>261</v>
      </c>
      <c r="AA192" s="1" t="s">
        <v>532</v>
      </c>
      <c r="AB192" s="1" t="s">
        <v>1316</v>
      </c>
      <c r="AC192" s="1" t="s">
        <v>533</v>
      </c>
      <c r="AD192" s="1" t="s">
        <v>1317</v>
      </c>
      <c r="AE192" s="1" t="s">
        <v>1281</v>
      </c>
      <c r="AF192" s="4">
        <v>46160</v>
      </c>
      <c r="AG192" s="5">
        <v>0.67361111111111116</v>
      </c>
      <c r="AH192" s="1" t="s">
        <v>1318</v>
      </c>
      <c r="AI192" s="1" t="s">
        <v>1280</v>
      </c>
      <c r="AJ192" s="4">
        <v>46173</v>
      </c>
      <c r="AK192" s="5">
        <v>0.38194444444444442</v>
      </c>
      <c r="AL192" s="1" t="s">
        <v>215</v>
      </c>
      <c r="AM192" s="1"/>
    </row>
    <row r="193" spans="1:39" x14ac:dyDescent="0.3">
      <c r="A193" s="1">
        <v>487652</v>
      </c>
      <c r="B193" s="1">
        <v>383428</v>
      </c>
      <c r="C193" s="1" t="s">
        <v>1189</v>
      </c>
      <c r="D193" s="38" t="s">
        <v>1712</v>
      </c>
      <c r="E193" s="4">
        <v>29737</v>
      </c>
      <c r="F193" s="1">
        <v>44</v>
      </c>
      <c r="G193" s="1" t="s">
        <v>212</v>
      </c>
      <c r="H193" s="1" t="s">
        <v>1501</v>
      </c>
      <c r="I193" s="1" t="s">
        <v>1501</v>
      </c>
      <c r="J193" s="1">
        <v>8530</v>
      </c>
      <c r="K193" s="1" t="s">
        <v>83</v>
      </c>
      <c r="L193" s="1" t="s">
        <v>19</v>
      </c>
      <c r="M193" s="1" t="s">
        <v>13</v>
      </c>
      <c r="N193" s="1" t="s">
        <v>5</v>
      </c>
      <c r="O193" s="1" t="s">
        <v>216</v>
      </c>
      <c r="P193" s="1" t="s">
        <v>53</v>
      </c>
      <c r="Q193" s="1" t="s">
        <v>19</v>
      </c>
      <c r="R193" s="1" t="s">
        <v>8</v>
      </c>
      <c r="S193" s="1" t="s">
        <v>15</v>
      </c>
      <c r="T193" s="1" t="s">
        <v>53</v>
      </c>
      <c r="U193" s="1" t="s">
        <v>8</v>
      </c>
      <c r="V193" s="1" t="str">
        <f>IF(pilgrims[[#This Row],[packages.second_hotel_name]]="",pilgrims[[#This Row],[packages.first_hotel_name]],pilgrims[[#This Row],[packages.second_hotel_name]])</f>
        <v>Swissotel Al Maqam Makkah</v>
      </c>
      <c r="W193" s="1" t="str">
        <f>IF(pilgrims[[#This Row],[packages.second_hotel_name]]="",pilgrims[[#This Row],[packages.first_hotel_check_in]],pilgrims[[#This Row],[packages.second_hotel_check_in]])</f>
        <v>2026-05-21</v>
      </c>
      <c r="X193" s="1" t="str">
        <f>IF(pilgrims[[#This Row],[packages.second_hotel_name]]="",pilgrims[[#This Row],[packages.first_hotel_check_out]],pilgrims[[#This Row],[packages.second_hotel_check_out]])</f>
        <v>2026-05-25</v>
      </c>
      <c r="Y193" s="1" t="s">
        <v>16</v>
      </c>
      <c r="Z193" s="1" t="s">
        <v>214</v>
      </c>
      <c r="AA193" s="1" t="s">
        <v>1202</v>
      </c>
      <c r="AB193" s="1" t="s">
        <v>1202</v>
      </c>
      <c r="AC193" s="1" t="s">
        <v>212</v>
      </c>
      <c r="AD193" s="1" t="s">
        <v>136</v>
      </c>
      <c r="AE193" s="1" t="s">
        <v>1281</v>
      </c>
      <c r="AF193" s="4">
        <v>46160</v>
      </c>
      <c r="AG193" s="5">
        <v>0.1076388888888889</v>
      </c>
      <c r="AH193" s="1" t="s">
        <v>71</v>
      </c>
      <c r="AI193" s="1" t="s">
        <v>1280</v>
      </c>
      <c r="AJ193" s="4">
        <v>46172</v>
      </c>
      <c r="AK193" s="5">
        <v>0.40972222222222221</v>
      </c>
      <c r="AL193" s="1" t="s">
        <v>215</v>
      </c>
      <c r="AM193" s="1"/>
    </row>
    <row r="194" spans="1:39" x14ac:dyDescent="0.3">
      <c r="A194" s="1">
        <v>670648</v>
      </c>
      <c r="B194" s="1">
        <v>545229</v>
      </c>
      <c r="C194" s="1" t="s">
        <v>1188</v>
      </c>
      <c r="D194" s="38" t="s">
        <v>1713</v>
      </c>
      <c r="E194" s="4">
        <v>31535</v>
      </c>
      <c r="F194" s="1">
        <v>39</v>
      </c>
      <c r="G194" s="1" t="s">
        <v>212</v>
      </c>
      <c r="H194" s="1" t="s">
        <v>1501</v>
      </c>
      <c r="I194" s="1" t="s">
        <v>1501</v>
      </c>
      <c r="J194" s="1">
        <v>8538</v>
      </c>
      <c r="K194" s="1" t="s">
        <v>88</v>
      </c>
      <c r="L194" s="1" t="s">
        <v>8</v>
      </c>
      <c r="M194" s="1" t="s">
        <v>4</v>
      </c>
      <c r="N194" s="1" t="s">
        <v>15</v>
      </c>
      <c r="O194" s="1" t="s">
        <v>216</v>
      </c>
      <c r="P194" s="1" t="s">
        <v>53</v>
      </c>
      <c r="Q194" s="1" t="s">
        <v>8</v>
      </c>
      <c r="R194" s="1" t="s">
        <v>16</v>
      </c>
      <c r="S194" s="1" t="s">
        <v>5</v>
      </c>
      <c r="T194" s="1" t="s">
        <v>53</v>
      </c>
      <c r="U194" s="1" t="s">
        <v>6</v>
      </c>
      <c r="V194" s="1" t="str">
        <f>IF(pilgrims[[#This Row],[packages.second_hotel_name]]="",pilgrims[[#This Row],[packages.first_hotel_name]],pilgrims[[#This Row],[packages.second_hotel_name]])</f>
        <v>Movenpick Anwar Almadinah Hotel</v>
      </c>
      <c r="W194" s="1" t="str">
        <f>IF(pilgrims[[#This Row],[packages.second_hotel_name]]="",pilgrims[[#This Row],[packages.first_hotel_check_in]],pilgrims[[#This Row],[packages.second_hotel_check_in]])</f>
        <v>2026-05-30</v>
      </c>
      <c r="X194" s="1" t="str">
        <f>IF(pilgrims[[#This Row],[packages.second_hotel_name]]="",pilgrims[[#This Row],[packages.first_hotel_check_out]],pilgrims[[#This Row],[packages.second_hotel_check_out]])</f>
        <v>2026-06-02</v>
      </c>
      <c r="Y194" s="1" t="s">
        <v>4</v>
      </c>
      <c r="Z194" s="1" t="s">
        <v>261</v>
      </c>
      <c r="AA194" s="1" t="s">
        <v>537</v>
      </c>
      <c r="AB194" s="1" t="s">
        <v>1321</v>
      </c>
      <c r="AC194" s="1" t="s">
        <v>538</v>
      </c>
      <c r="AD194" s="1" t="s">
        <v>1322</v>
      </c>
      <c r="AE194" s="1" t="s">
        <v>1280</v>
      </c>
      <c r="AF194" s="4">
        <v>46163</v>
      </c>
      <c r="AG194" s="5">
        <v>0.80902777777777779</v>
      </c>
      <c r="AH194" s="1" t="s">
        <v>1323</v>
      </c>
      <c r="AI194" s="1" t="s">
        <v>1280</v>
      </c>
      <c r="AJ194" s="4">
        <v>46175</v>
      </c>
      <c r="AK194" s="5">
        <v>0.9375</v>
      </c>
      <c r="AL194" s="1" t="s">
        <v>215</v>
      </c>
      <c r="AM194" s="1"/>
    </row>
    <row r="195" spans="1:39" x14ac:dyDescent="0.3">
      <c r="A195" s="1">
        <v>72106</v>
      </c>
      <c r="B195" s="1">
        <v>59357</v>
      </c>
      <c r="C195" s="1" t="s">
        <v>1188</v>
      </c>
      <c r="D195" s="38" t="s">
        <v>1714</v>
      </c>
      <c r="E195" s="4">
        <v>24838</v>
      </c>
      <c r="F195" s="1">
        <v>58</v>
      </c>
      <c r="G195" s="1" t="s">
        <v>212</v>
      </c>
      <c r="H195" s="1" t="s">
        <v>1501</v>
      </c>
      <c r="I195" s="1" t="s">
        <v>1501</v>
      </c>
      <c r="J195" s="1">
        <v>8530</v>
      </c>
      <c r="K195" s="1" t="s">
        <v>83</v>
      </c>
      <c r="L195" s="1" t="s">
        <v>19</v>
      </c>
      <c r="M195" s="1" t="s">
        <v>13</v>
      </c>
      <c r="N195" s="1" t="s">
        <v>5</v>
      </c>
      <c r="O195" s="1" t="s">
        <v>216</v>
      </c>
      <c r="P195" s="1" t="s">
        <v>53</v>
      </c>
      <c r="Q195" s="1" t="s">
        <v>19</v>
      </c>
      <c r="R195" s="1" t="s">
        <v>8</v>
      </c>
      <c r="S195" s="1" t="s">
        <v>15</v>
      </c>
      <c r="T195" s="1" t="s">
        <v>53</v>
      </c>
      <c r="U195" s="1" t="s">
        <v>8</v>
      </c>
      <c r="V195" s="1" t="str">
        <f>IF(pilgrims[[#This Row],[packages.second_hotel_name]]="",pilgrims[[#This Row],[packages.first_hotel_name]],pilgrims[[#This Row],[packages.second_hotel_name]])</f>
        <v>Swissotel Al Maqam Makkah</v>
      </c>
      <c r="W195" s="1" t="str">
        <f>IF(pilgrims[[#This Row],[packages.second_hotel_name]]="",pilgrims[[#This Row],[packages.first_hotel_check_in]],pilgrims[[#This Row],[packages.second_hotel_check_in]])</f>
        <v>2026-05-21</v>
      </c>
      <c r="X195" s="1" t="str">
        <f>IF(pilgrims[[#This Row],[packages.second_hotel_name]]="",pilgrims[[#This Row],[packages.first_hotel_check_out]],pilgrims[[#This Row],[packages.second_hotel_check_out]])</f>
        <v>2026-05-25</v>
      </c>
      <c r="Y195" s="1" t="s">
        <v>16</v>
      </c>
      <c r="Z195" s="1" t="s">
        <v>214</v>
      </c>
      <c r="AA195" s="1" t="s">
        <v>1190</v>
      </c>
      <c r="AB195" s="1" t="s">
        <v>1190</v>
      </c>
      <c r="AC195" s="1" t="s">
        <v>212</v>
      </c>
      <c r="AD195" s="1" t="s">
        <v>133</v>
      </c>
      <c r="AE195" s="1" t="s">
        <v>1281</v>
      </c>
      <c r="AF195" s="4">
        <v>46160</v>
      </c>
      <c r="AG195" s="5">
        <v>0.3923611111111111</v>
      </c>
      <c r="AH195" s="1" t="s">
        <v>60</v>
      </c>
      <c r="AI195" s="1" t="s">
        <v>1280</v>
      </c>
      <c r="AJ195" s="4">
        <v>46173</v>
      </c>
      <c r="AK195" s="5">
        <v>0.12847222222222221</v>
      </c>
      <c r="AL195" s="1" t="s">
        <v>215</v>
      </c>
      <c r="AM195" s="1"/>
    </row>
    <row r="196" spans="1:39" x14ac:dyDescent="0.3">
      <c r="A196" s="1">
        <v>868390</v>
      </c>
      <c r="B196" s="1">
        <v>545229</v>
      </c>
      <c r="C196" s="1" t="s">
        <v>1189</v>
      </c>
      <c r="D196" s="38" t="s">
        <v>1715</v>
      </c>
      <c r="E196" s="4">
        <v>34235</v>
      </c>
      <c r="F196" s="1">
        <v>32</v>
      </c>
      <c r="G196" s="1" t="s">
        <v>212</v>
      </c>
      <c r="H196" s="1" t="s">
        <v>1501</v>
      </c>
      <c r="I196" s="1" t="s">
        <v>1501</v>
      </c>
      <c r="J196" s="1">
        <v>8538</v>
      </c>
      <c r="K196" s="1" t="s">
        <v>88</v>
      </c>
      <c r="L196" s="1" t="s">
        <v>8</v>
      </c>
      <c r="M196" s="1" t="s">
        <v>4</v>
      </c>
      <c r="N196" s="1" t="s">
        <v>15</v>
      </c>
      <c r="O196" s="1" t="s">
        <v>216</v>
      </c>
      <c r="P196" s="1" t="s">
        <v>53</v>
      </c>
      <c r="Q196" s="1" t="s">
        <v>8</v>
      </c>
      <c r="R196" s="1" t="s">
        <v>16</v>
      </c>
      <c r="S196" s="1" t="s">
        <v>5</v>
      </c>
      <c r="T196" s="1" t="s">
        <v>53</v>
      </c>
      <c r="U196" s="1" t="s">
        <v>6</v>
      </c>
      <c r="V196" s="1" t="str">
        <f>IF(pilgrims[[#This Row],[packages.second_hotel_name]]="",pilgrims[[#This Row],[packages.first_hotel_name]],pilgrims[[#This Row],[packages.second_hotel_name]])</f>
        <v>Movenpick Anwar Almadinah Hotel</v>
      </c>
      <c r="W196" s="1" t="str">
        <f>IF(pilgrims[[#This Row],[packages.second_hotel_name]]="",pilgrims[[#This Row],[packages.first_hotel_check_in]],pilgrims[[#This Row],[packages.second_hotel_check_in]])</f>
        <v>2026-05-30</v>
      </c>
      <c r="X196" s="1" t="str">
        <f>IF(pilgrims[[#This Row],[packages.second_hotel_name]]="",pilgrims[[#This Row],[packages.first_hotel_check_out]],pilgrims[[#This Row],[packages.second_hotel_check_out]])</f>
        <v>2026-06-02</v>
      </c>
      <c r="Y196" s="1" t="s">
        <v>4</v>
      </c>
      <c r="Z196" s="1" t="s">
        <v>261</v>
      </c>
      <c r="AA196" s="1" t="s">
        <v>537</v>
      </c>
      <c r="AB196" s="1" t="s">
        <v>1321</v>
      </c>
      <c r="AC196" s="1" t="s">
        <v>538</v>
      </c>
      <c r="AD196" s="1" t="s">
        <v>1322</v>
      </c>
      <c r="AE196" s="1" t="s">
        <v>1280</v>
      </c>
      <c r="AF196" s="4">
        <v>46163</v>
      </c>
      <c r="AG196" s="5">
        <v>0.80902777777777779</v>
      </c>
      <c r="AH196" s="1" t="s">
        <v>1323</v>
      </c>
      <c r="AI196" s="1" t="s">
        <v>1280</v>
      </c>
      <c r="AJ196" s="4">
        <v>46175</v>
      </c>
      <c r="AK196" s="5">
        <v>0.9375</v>
      </c>
      <c r="AL196" s="1" t="s">
        <v>215</v>
      </c>
      <c r="AM196" s="1"/>
    </row>
    <row r="197" spans="1:39" x14ac:dyDescent="0.3">
      <c r="A197" s="1">
        <v>76398</v>
      </c>
      <c r="B197" s="1">
        <v>59357</v>
      </c>
      <c r="C197" s="1" t="s">
        <v>1189</v>
      </c>
      <c r="D197" s="38" t="s">
        <v>1716</v>
      </c>
      <c r="E197" s="4">
        <v>27529</v>
      </c>
      <c r="F197" s="1">
        <v>50</v>
      </c>
      <c r="G197" s="1" t="s">
        <v>212</v>
      </c>
      <c r="H197" s="1" t="s">
        <v>1501</v>
      </c>
      <c r="I197" s="1" t="s">
        <v>1501</v>
      </c>
      <c r="J197" s="1">
        <v>8530</v>
      </c>
      <c r="K197" s="1" t="s">
        <v>83</v>
      </c>
      <c r="L197" s="1" t="s">
        <v>19</v>
      </c>
      <c r="M197" s="1" t="s">
        <v>13</v>
      </c>
      <c r="N197" s="1" t="s">
        <v>5</v>
      </c>
      <c r="O197" s="1" t="s">
        <v>216</v>
      </c>
      <c r="P197" s="1" t="s">
        <v>53</v>
      </c>
      <c r="Q197" s="1" t="s">
        <v>19</v>
      </c>
      <c r="R197" s="1" t="s">
        <v>8</v>
      </c>
      <c r="S197" s="1" t="s">
        <v>15</v>
      </c>
      <c r="T197" s="1" t="s">
        <v>53</v>
      </c>
      <c r="U197" s="1" t="s">
        <v>8</v>
      </c>
      <c r="V197" s="1" t="str">
        <f>IF(pilgrims[[#This Row],[packages.second_hotel_name]]="",pilgrims[[#This Row],[packages.first_hotel_name]],pilgrims[[#This Row],[packages.second_hotel_name]])</f>
        <v>Swissotel Al Maqam Makkah</v>
      </c>
      <c r="W197" s="1" t="str">
        <f>IF(pilgrims[[#This Row],[packages.second_hotel_name]]="",pilgrims[[#This Row],[packages.first_hotel_check_in]],pilgrims[[#This Row],[packages.second_hotel_check_in]])</f>
        <v>2026-05-21</v>
      </c>
      <c r="X197" s="1" t="str">
        <f>IF(pilgrims[[#This Row],[packages.second_hotel_name]]="",pilgrims[[#This Row],[packages.first_hotel_check_out]],pilgrims[[#This Row],[packages.second_hotel_check_out]])</f>
        <v>2026-05-25</v>
      </c>
      <c r="Y197" s="1" t="s">
        <v>16</v>
      </c>
      <c r="Z197" s="1" t="s">
        <v>214</v>
      </c>
      <c r="AA197" s="1" t="s">
        <v>1190</v>
      </c>
      <c r="AB197" s="1" t="s">
        <v>1190</v>
      </c>
      <c r="AC197" s="1" t="s">
        <v>212</v>
      </c>
      <c r="AD197" s="1" t="s">
        <v>133</v>
      </c>
      <c r="AE197" s="1" t="s">
        <v>1281</v>
      </c>
      <c r="AF197" s="4">
        <v>46160</v>
      </c>
      <c r="AG197" s="5">
        <v>0.3923611111111111</v>
      </c>
      <c r="AH197" s="1" t="s">
        <v>60</v>
      </c>
      <c r="AI197" s="1" t="s">
        <v>1280</v>
      </c>
      <c r="AJ197" s="4">
        <v>46173</v>
      </c>
      <c r="AK197" s="5">
        <v>0.12847222222222221</v>
      </c>
      <c r="AL197" s="1" t="s">
        <v>215</v>
      </c>
      <c r="AM197" s="1"/>
    </row>
    <row r="198" spans="1:39" x14ac:dyDescent="0.3">
      <c r="A198" s="1">
        <v>826354</v>
      </c>
      <c r="B198" s="1">
        <v>668030</v>
      </c>
      <c r="C198" s="1" t="s">
        <v>1189</v>
      </c>
      <c r="D198" s="38" t="s">
        <v>1717</v>
      </c>
      <c r="E198" s="4">
        <v>28309</v>
      </c>
      <c r="F198" s="1">
        <v>48</v>
      </c>
      <c r="G198" s="1" t="s">
        <v>212</v>
      </c>
      <c r="H198" s="1" t="s">
        <v>1502</v>
      </c>
      <c r="I198" s="1" t="s">
        <v>1502</v>
      </c>
      <c r="J198" s="1">
        <v>8529</v>
      </c>
      <c r="K198" s="1" t="s">
        <v>82</v>
      </c>
      <c r="L198" s="1" t="s">
        <v>19</v>
      </c>
      <c r="M198" s="1" t="s">
        <v>13</v>
      </c>
      <c r="N198" s="1" t="s">
        <v>20</v>
      </c>
      <c r="O198" s="1" t="s">
        <v>216</v>
      </c>
      <c r="P198" s="1" t="s">
        <v>53</v>
      </c>
      <c r="Q198" s="1" t="s">
        <v>19</v>
      </c>
      <c r="R198" s="1" t="s">
        <v>8</v>
      </c>
      <c r="S198" s="1" t="s">
        <v>21</v>
      </c>
      <c r="T198" s="1" t="s">
        <v>53</v>
      </c>
      <c r="U198" s="1" t="s">
        <v>8</v>
      </c>
      <c r="V198" s="1" t="str">
        <f>IF(pilgrims[[#This Row],[packages.second_hotel_name]]="",pilgrims[[#This Row],[packages.first_hotel_name]],pilgrims[[#This Row],[packages.second_hotel_name]])</f>
        <v>Swissotel Makkah Hotel</v>
      </c>
      <c r="W198" s="1" t="str">
        <f>IF(pilgrims[[#This Row],[packages.second_hotel_name]]="",pilgrims[[#This Row],[packages.first_hotel_check_in]],pilgrims[[#This Row],[packages.second_hotel_check_in]])</f>
        <v>2026-05-21</v>
      </c>
      <c r="X198" s="1" t="str">
        <f>IF(pilgrims[[#This Row],[packages.second_hotel_name]]="",pilgrims[[#This Row],[packages.first_hotel_check_out]],pilgrims[[#This Row],[packages.second_hotel_check_out]])</f>
        <v>2026-05-25</v>
      </c>
      <c r="Y198" s="1" t="s">
        <v>16</v>
      </c>
      <c r="Z198" s="1" t="s">
        <v>214</v>
      </c>
      <c r="AA198" s="1" t="s">
        <v>1209</v>
      </c>
      <c r="AB198" s="1" t="s">
        <v>1209</v>
      </c>
      <c r="AC198" s="1" t="s">
        <v>212</v>
      </c>
      <c r="AD198" s="1" t="s">
        <v>134</v>
      </c>
      <c r="AE198" s="1" t="s">
        <v>1281</v>
      </c>
      <c r="AF198" s="4">
        <v>46160</v>
      </c>
      <c r="AG198" s="5">
        <v>0.73958333333333337</v>
      </c>
      <c r="AH198" s="1" t="s">
        <v>68</v>
      </c>
      <c r="AI198" s="1" t="s">
        <v>1280</v>
      </c>
      <c r="AJ198" s="4">
        <v>46172</v>
      </c>
      <c r="AK198" s="5">
        <v>0.38541666666666669</v>
      </c>
      <c r="AL198" s="1" t="s">
        <v>215</v>
      </c>
      <c r="AM198" s="1"/>
    </row>
    <row r="199" spans="1:39" x14ac:dyDescent="0.3">
      <c r="A199" s="1">
        <v>477149</v>
      </c>
      <c r="B199" s="1">
        <v>374581</v>
      </c>
      <c r="C199" s="1" t="s">
        <v>1188</v>
      </c>
      <c r="D199" s="38" t="s">
        <v>1718</v>
      </c>
      <c r="E199" s="4">
        <v>36514</v>
      </c>
      <c r="F199" s="1">
        <v>26</v>
      </c>
      <c r="G199" s="1" t="s">
        <v>212</v>
      </c>
      <c r="H199" s="1" t="s">
        <v>1502</v>
      </c>
      <c r="I199" s="1" t="s">
        <v>1515</v>
      </c>
      <c r="J199" s="1">
        <v>8530</v>
      </c>
      <c r="K199" s="1" t="s">
        <v>83</v>
      </c>
      <c r="L199" s="1" t="s">
        <v>19</v>
      </c>
      <c r="M199" s="1" t="s">
        <v>13</v>
      </c>
      <c r="N199" s="1" t="s">
        <v>5</v>
      </c>
      <c r="O199" s="1" t="s">
        <v>216</v>
      </c>
      <c r="P199" s="1" t="s">
        <v>53</v>
      </c>
      <c r="Q199" s="1" t="s">
        <v>19</v>
      </c>
      <c r="R199" s="1" t="s">
        <v>8</v>
      </c>
      <c r="S199" s="1" t="s">
        <v>15</v>
      </c>
      <c r="T199" s="1" t="s">
        <v>53</v>
      </c>
      <c r="U199" s="1" t="s">
        <v>8</v>
      </c>
      <c r="V199" s="1" t="str">
        <f>IF(pilgrims[[#This Row],[packages.second_hotel_name]]="",pilgrims[[#This Row],[packages.first_hotel_name]],pilgrims[[#This Row],[packages.second_hotel_name]])</f>
        <v>Swissotel Al Maqam Makkah</v>
      </c>
      <c r="W199" s="1" t="str">
        <f>IF(pilgrims[[#This Row],[packages.second_hotel_name]]="",pilgrims[[#This Row],[packages.first_hotel_check_in]],pilgrims[[#This Row],[packages.second_hotel_check_in]])</f>
        <v>2026-05-21</v>
      </c>
      <c r="X199" s="1" t="str">
        <f>IF(pilgrims[[#This Row],[packages.second_hotel_name]]="",pilgrims[[#This Row],[packages.first_hotel_check_out]],pilgrims[[#This Row],[packages.second_hotel_check_out]])</f>
        <v>2026-05-25</v>
      </c>
      <c r="Y199" s="1" t="s">
        <v>16</v>
      </c>
      <c r="Z199" s="1" t="s">
        <v>214</v>
      </c>
      <c r="AA199" s="1" t="s">
        <v>1207</v>
      </c>
      <c r="AB199" s="1" t="s">
        <v>1207</v>
      </c>
      <c r="AC199" s="1" t="s">
        <v>212</v>
      </c>
      <c r="AD199" s="1" t="s">
        <v>135</v>
      </c>
      <c r="AE199" s="1" t="s">
        <v>1281</v>
      </c>
      <c r="AF199" s="4">
        <v>46160</v>
      </c>
      <c r="AG199" s="5">
        <v>0.89236111111111116</v>
      </c>
      <c r="AH199" s="1" t="s">
        <v>68</v>
      </c>
      <c r="AI199" s="1" t="s">
        <v>1280</v>
      </c>
      <c r="AJ199" s="4">
        <v>46172</v>
      </c>
      <c r="AK199" s="5">
        <v>0.38541666666666669</v>
      </c>
      <c r="AL199" s="1" t="s">
        <v>215</v>
      </c>
      <c r="AM199" s="1"/>
    </row>
    <row r="200" spans="1:39" x14ac:dyDescent="0.3">
      <c r="A200" s="1">
        <v>744826</v>
      </c>
      <c r="B200" s="1">
        <v>603765</v>
      </c>
      <c r="C200" s="1" t="s">
        <v>1189</v>
      </c>
      <c r="D200" s="38" t="s">
        <v>1719</v>
      </c>
      <c r="E200" s="4">
        <v>27270</v>
      </c>
      <c r="F200" s="1">
        <v>51</v>
      </c>
      <c r="G200" s="1" t="s">
        <v>212</v>
      </c>
      <c r="H200" s="1" t="s">
        <v>1502</v>
      </c>
      <c r="I200" s="1" t="s">
        <v>1502</v>
      </c>
      <c r="J200" s="1">
        <v>8538</v>
      </c>
      <c r="K200" s="1" t="s">
        <v>88</v>
      </c>
      <c r="L200" s="1" t="s">
        <v>8</v>
      </c>
      <c r="M200" s="1" t="s">
        <v>4</v>
      </c>
      <c r="N200" s="1" t="s">
        <v>15</v>
      </c>
      <c r="O200" s="1" t="s">
        <v>216</v>
      </c>
      <c r="P200" s="1" t="s">
        <v>53</v>
      </c>
      <c r="Q200" s="1" t="s">
        <v>8</v>
      </c>
      <c r="R200" s="1" t="s">
        <v>16</v>
      </c>
      <c r="S200" s="1" t="s">
        <v>5</v>
      </c>
      <c r="T200" s="1" t="s">
        <v>53</v>
      </c>
      <c r="U200" s="1" t="s">
        <v>6</v>
      </c>
      <c r="V200" s="1" t="str">
        <f>IF(pilgrims[[#This Row],[packages.second_hotel_name]]="",pilgrims[[#This Row],[packages.first_hotel_name]],pilgrims[[#This Row],[packages.second_hotel_name]])</f>
        <v>Movenpick Anwar Almadinah Hotel</v>
      </c>
      <c r="W200" s="1" t="str">
        <f>IF(pilgrims[[#This Row],[packages.second_hotel_name]]="",pilgrims[[#This Row],[packages.first_hotel_check_in]],pilgrims[[#This Row],[packages.second_hotel_check_in]])</f>
        <v>2026-05-30</v>
      </c>
      <c r="X200" s="1" t="str">
        <f>IF(pilgrims[[#This Row],[packages.second_hotel_name]]="",pilgrims[[#This Row],[packages.first_hotel_check_out]],pilgrims[[#This Row],[packages.second_hotel_check_out]])</f>
        <v>2026-06-02</v>
      </c>
      <c r="Y200" s="1" t="s">
        <v>4</v>
      </c>
      <c r="Z200" s="1" t="s">
        <v>261</v>
      </c>
      <c r="AA200" s="1" t="s">
        <v>547</v>
      </c>
      <c r="AB200" s="1" t="s">
        <v>1324</v>
      </c>
      <c r="AC200" s="1" t="s">
        <v>548</v>
      </c>
      <c r="AD200" s="1" t="s">
        <v>1325</v>
      </c>
      <c r="AE200" s="1" t="s">
        <v>1280</v>
      </c>
      <c r="AF200" s="4">
        <v>46163</v>
      </c>
      <c r="AG200" s="5">
        <v>0.73958333333333337</v>
      </c>
      <c r="AH200" s="1" t="s">
        <v>1326</v>
      </c>
      <c r="AI200" s="1" t="s">
        <v>1281</v>
      </c>
      <c r="AJ200" s="4">
        <v>46175</v>
      </c>
      <c r="AK200" s="5">
        <v>0.73263888888888884</v>
      </c>
      <c r="AL200" s="1" t="s">
        <v>215</v>
      </c>
      <c r="AM200" s="1"/>
    </row>
    <row r="201" spans="1:39" x14ac:dyDescent="0.3">
      <c r="A201" s="1">
        <v>23828</v>
      </c>
      <c r="B201" s="1">
        <v>488111</v>
      </c>
      <c r="C201" s="1" t="s">
        <v>1188</v>
      </c>
      <c r="D201" s="38" t="s">
        <v>1720</v>
      </c>
      <c r="E201" s="4">
        <v>20040</v>
      </c>
      <c r="F201" s="1">
        <v>71</v>
      </c>
      <c r="G201" s="1" t="s">
        <v>212</v>
      </c>
      <c r="H201" s="1" t="s">
        <v>1501</v>
      </c>
      <c r="I201" s="1" t="s">
        <v>1501</v>
      </c>
      <c r="J201" s="1">
        <v>8525</v>
      </c>
      <c r="K201" s="1" t="s">
        <v>77</v>
      </c>
      <c r="L201" s="1" t="s">
        <v>19</v>
      </c>
      <c r="M201" s="1" t="s">
        <v>13</v>
      </c>
      <c r="N201" s="1" t="s">
        <v>10</v>
      </c>
      <c r="O201" s="1" t="s">
        <v>216</v>
      </c>
      <c r="P201" s="1" t="s">
        <v>52</v>
      </c>
      <c r="Q201" s="1" t="s">
        <v>19</v>
      </c>
      <c r="R201" s="1" t="s">
        <v>8</v>
      </c>
      <c r="S201" s="1" t="s">
        <v>12</v>
      </c>
      <c r="T201" s="1" t="s">
        <v>53</v>
      </c>
      <c r="U201" s="1" t="s">
        <v>8</v>
      </c>
      <c r="V201" s="1" t="str">
        <f>IF(pilgrims[[#This Row],[packages.second_hotel_name]]="",pilgrims[[#This Row],[packages.first_hotel_name]],pilgrims[[#This Row],[packages.second_hotel_name]])</f>
        <v>Makkah Clock Royal Tower A Fairmont Hotel</v>
      </c>
      <c r="W201" s="1" t="str">
        <f>IF(pilgrims[[#This Row],[packages.second_hotel_name]]="",pilgrims[[#This Row],[packages.first_hotel_check_in]],pilgrims[[#This Row],[packages.second_hotel_check_in]])</f>
        <v>2026-05-21</v>
      </c>
      <c r="X201" s="1" t="str">
        <f>IF(pilgrims[[#This Row],[packages.second_hotel_name]]="",pilgrims[[#This Row],[packages.first_hotel_check_out]],pilgrims[[#This Row],[packages.second_hotel_check_out]])</f>
        <v>2026-05-24</v>
      </c>
      <c r="Y201" s="1" t="s">
        <v>11</v>
      </c>
      <c r="Z201" s="1" t="s">
        <v>214</v>
      </c>
      <c r="AA201" s="1" t="s">
        <v>1190</v>
      </c>
      <c r="AB201" s="1" t="s">
        <v>1190</v>
      </c>
      <c r="AC201" s="1" t="s">
        <v>212</v>
      </c>
      <c r="AD201" s="1" t="s">
        <v>133</v>
      </c>
      <c r="AE201" s="1" t="s">
        <v>1281</v>
      </c>
      <c r="AF201" s="4">
        <v>46160</v>
      </c>
      <c r="AG201" s="5">
        <v>0.3923611111111111</v>
      </c>
      <c r="AH201" s="1" t="s">
        <v>60</v>
      </c>
      <c r="AI201" s="1" t="s">
        <v>1280</v>
      </c>
      <c r="AJ201" s="4">
        <v>46173</v>
      </c>
      <c r="AK201" s="5">
        <v>0.12847222222222221</v>
      </c>
      <c r="AL201" s="1" t="s">
        <v>215</v>
      </c>
      <c r="AM201" s="1"/>
    </row>
    <row r="202" spans="1:39" x14ac:dyDescent="0.3">
      <c r="A202" s="1">
        <v>748546</v>
      </c>
      <c r="B202" s="1">
        <v>603765</v>
      </c>
      <c r="C202" s="1" t="s">
        <v>1189</v>
      </c>
      <c r="D202" s="38" t="s">
        <v>1721</v>
      </c>
      <c r="E202" s="4">
        <v>16905</v>
      </c>
      <c r="F202" s="1">
        <v>79</v>
      </c>
      <c r="G202" s="1" t="s">
        <v>212</v>
      </c>
      <c r="H202" s="1" t="s">
        <v>1502</v>
      </c>
      <c r="I202" s="1" t="s">
        <v>1502</v>
      </c>
      <c r="J202" s="1">
        <v>8538</v>
      </c>
      <c r="K202" s="1" t="s">
        <v>88</v>
      </c>
      <c r="L202" s="1" t="s">
        <v>8</v>
      </c>
      <c r="M202" s="1" t="s">
        <v>4</v>
      </c>
      <c r="N202" s="1" t="s">
        <v>15</v>
      </c>
      <c r="O202" s="1" t="s">
        <v>216</v>
      </c>
      <c r="P202" s="1" t="s">
        <v>53</v>
      </c>
      <c r="Q202" s="1" t="s">
        <v>8</v>
      </c>
      <c r="R202" s="1" t="s">
        <v>16</v>
      </c>
      <c r="S202" s="1" t="s">
        <v>5</v>
      </c>
      <c r="T202" s="1" t="s">
        <v>53</v>
      </c>
      <c r="U202" s="1" t="s">
        <v>6</v>
      </c>
      <c r="V202" s="1" t="str">
        <f>IF(pilgrims[[#This Row],[packages.second_hotel_name]]="",pilgrims[[#This Row],[packages.first_hotel_name]],pilgrims[[#This Row],[packages.second_hotel_name]])</f>
        <v>Movenpick Anwar Almadinah Hotel</v>
      </c>
      <c r="W202" s="1" t="str">
        <f>IF(pilgrims[[#This Row],[packages.second_hotel_name]]="",pilgrims[[#This Row],[packages.first_hotel_check_in]],pilgrims[[#This Row],[packages.second_hotel_check_in]])</f>
        <v>2026-05-30</v>
      </c>
      <c r="X202" s="1" t="str">
        <f>IF(pilgrims[[#This Row],[packages.second_hotel_name]]="",pilgrims[[#This Row],[packages.first_hotel_check_out]],pilgrims[[#This Row],[packages.second_hotel_check_out]])</f>
        <v>2026-06-02</v>
      </c>
      <c r="Y202" s="1" t="s">
        <v>4</v>
      </c>
      <c r="Z202" s="1" t="s">
        <v>261</v>
      </c>
      <c r="AA202" s="1" t="s">
        <v>547</v>
      </c>
      <c r="AB202" s="1" t="s">
        <v>1324</v>
      </c>
      <c r="AC202" s="1" t="s">
        <v>548</v>
      </c>
      <c r="AD202" s="1" t="s">
        <v>1325</v>
      </c>
      <c r="AE202" s="1" t="s">
        <v>1280</v>
      </c>
      <c r="AF202" s="4">
        <v>46163</v>
      </c>
      <c r="AG202" s="5">
        <v>0.73958333333333337</v>
      </c>
      <c r="AH202" s="1" t="s">
        <v>1326</v>
      </c>
      <c r="AI202" s="1" t="s">
        <v>1281</v>
      </c>
      <c r="AJ202" s="4">
        <v>46175</v>
      </c>
      <c r="AK202" s="5">
        <v>0.73263888888888884</v>
      </c>
      <c r="AL202" s="1" t="s">
        <v>215</v>
      </c>
      <c r="AM202" s="1"/>
    </row>
    <row r="203" spans="1:39" x14ac:dyDescent="0.3">
      <c r="A203" s="1">
        <v>605502</v>
      </c>
      <c r="B203" s="1">
        <v>488111</v>
      </c>
      <c r="C203" s="1" t="s">
        <v>1189</v>
      </c>
      <c r="D203" s="38" t="s">
        <v>1722</v>
      </c>
      <c r="E203" s="4">
        <v>23428</v>
      </c>
      <c r="F203" s="1">
        <v>62</v>
      </c>
      <c r="G203" s="1" t="s">
        <v>212</v>
      </c>
      <c r="H203" s="1" t="s">
        <v>1501</v>
      </c>
      <c r="I203" s="1" t="s">
        <v>1501</v>
      </c>
      <c r="J203" s="1">
        <v>8525</v>
      </c>
      <c r="K203" s="1" t="s">
        <v>77</v>
      </c>
      <c r="L203" s="1" t="s">
        <v>19</v>
      </c>
      <c r="M203" s="1" t="s">
        <v>13</v>
      </c>
      <c r="N203" s="1" t="s">
        <v>10</v>
      </c>
      <c r="O203" s="1" t="s">
        <v>216</v>
      </c>
      <c r="P203" s="1" t="s">
        <v>52</v>
      </c>
      <c r="Q203" s="1" t="s">
        <v>19</v>
      </c>
      <c r="R203" s="1" t="s">
        <v>8</v>
      </c>
      <c r="S203" s="1" t="s">
        <v>12</v>
      </c>
      <c r="T203" s="1" t="s">
        <v>53</v>
      </c>
      <c r="U203" s="1" t="s">
        <v>8</v>
      </c>
      <c r="V203" s="1" t="str">
        <f>IF(pilgrims[[#This Row],[packages.second_hotel_name]]="",pilgrims[[#This Row],[packages.first_hotel_name]],pilgrims[[#This Row],[packages.second_hotel_name]])</f>
        <v>Makkah Clock Royal Tower A Fairmont Hotel</v>
      </c>
      <c r="W203" s="1" t="str">
        <f>IF(pilgrims[[#This Row],[packages.second_hotel_name]]="",pilgrims[[#This Row],[packages.first_hotel_check_in]],pilgrims[[#This Row],[packages.second_hotel_check_in]])</f>
        <v>2026-05-21</v>
      </c>
      <c r="X203" s="1" t="str">
        <f>IF(pilgrims[[#This Row],[packages.second_hotel_name]]="",pilgrims[[#This Row],[packages.first_hotel_check_out]],pilgrims[[#This Row],[packages.second_hotel_check_out]])</f>
        <v>2026-05-24</v>
      </c>
      <c r="Y203" s="1" t="s">
        <v>11</v>
      </c>
      <c r="Z203" s="1" t="s">
        <v>214</v>
      </c>
      <c r="AA203" s="1" t="s">
        <v>1190</v>
      </c>
      <c r="AB203" s="1" t="s">
        <v>1190</v>
      </c>
      <c r="AC203" s="1" t="s">
        <v>212</v>
      </c>
      <c r="AD203" s="1" t="s">
        <v>133</v>
      </c>
      <c r="AE203" s="1" t="s">
        <v>1281</v>
      </c>
      <c r="AF203" s="4">
        <v>46160</v>
      </c>
      <c r="AG203" s="5">
        <v>0.3923611111111111</v>
      </c>
      <c r="AH203" s="1" t="s">
        <v>60</v>
      </c>
      <c r="AI203" s="1" t="s">
        <v>1280</v>
      </c>
      <c r="AJ203" s="4">
        <v>46173</v>
      </c>
      <c r="AK203" s="5">
        <v>0.12847222222222221</v>
      </c>
      <c r="AL203" s="1" t="s">
        <v>215</v>
      </c>
      <c r="AM203" s="1"/>
    </row>
    <row r="204" spans="1:39" x14ac:dyDescent="0.3">
      <c r="A204" s="1">
        <v>605514</v>
      </c>
      <c r="B204" s="1">
        <v>488111</v>
      </c>
      <c r="C204" s="1" t="s">
        <v>1188</v>
      </c>
      <c r="D204" s="38" t="s">
        <v>1723</v>
      </c>
      <c r="E204" s="4">
        <v>20400</v>
      </c>
      <c r="F204" s="1">
        <v>70</v>
      </c>
      <c r="G204" s="1" t="s">
        <v>212</v>
      </c>
      <c r="H204" s="1" t="s">
        <v>1501</v>
      </c>
      <c r="I204" s="1" t="s">
        <v>1501</v>
      </c>
      <c r="J204" s="1">
        <v>8525</v>
      </c>
      <c r="K204" s="1" t="s">
        <v>77</v>
      </c>
      <c r="L204" s="1" t="s">
        <v>19</v>
      </c>
      <c r="M204" s="1" t="s">
        <v>13</v>
      </c>
      <c r="N204" s="1" t="s">
        <v>10</v>
      </c>
      <c r="O204" s="1" t="s">
        <v>216</v>
      </c>
      <c r="P204" s="1" t="s">
        <v>52</v>
      </c>
      <c r="Q204" s="1" t="s">
        <v>19</v>
      </c>
      <c r="R204" s="1" t="s">
        <v>8</v>
      </c>
      <c r="S204" s="1" t="s">
        <v>12</v>
      </c>
      <c r="T204" s="1" t="s">
        <v>53</v>
      </c>
      <c r="U204" s="1" t="s">
        <v>8</v>
      </c>
      <c r="V204" s="1" t="str">
        <f>IF(pilgrims[[#This Row],[packages.second_hotel_name]]="",pilgrims[[#This Row],[packages.first_hotel_name]],pilgrims[[#This Row],[packages.second_hotel_name]])</f>
        <v>Makkah Clock Royal Tower A Fairmont Hotel</v>
      </c>
      <c r="W204" s="1" t="str">
        <f>IF(pilgrims[[#This Row],[packages.second_hotel_name]]="",pilgrims[[#This Row],[packages.first_hotel_check_in]],pilgrims[[#This Row],[packages.second_hotel_check_in]])</f>
        <v>2026-05-21</v>
      </c>
      <c r="X204" s="1" t="str">
        <f>IF(pilgrims[[#This Row],[packages.second_hotel_name]]="",pilgrims[[#This Row],[packages.first_hotel_check_out]],pilgrims[[#This Row],[packages.second_hotel_check_out]])</f>
        <v>2026-05-24</v>
      </c>
      <c r="Y204" s="1" t="s">
        <v>11</v>
      </c>
      <c r="Z204" s="1" t="s">
        <v>214</v>
      </c>
      <c r="AA204" s="1" t="s">
        <v>1190</v>
      </c>
      <c r="AB204" s="1" t="s">
        <v>1190</v>
      </c>
      <c r="AC204" s="1" t="s">
        <v>212</v>
      </c>
      <c r="AD204" s="1" t="s">
        <v>133</v>
      </c>
      <c r="AE204" s="1" t="s">
        <v>1281</v>
      </c>
      <c r="AF204" s="4">
        <v>46160</v>
      </c>
      <c r="AG204" s="5">
        <v>0.3923611111111111</v>
      </c>
      <c r="AH204" s="1" t="s">
        <v>60</v>
      </c>
      <c r="AI204" s="1" t="s">
        <v>1280</v>
      </c>
      <c r="AJ204" s="4">
        <v>46173</v>
      </c>
      <c r="AK204" s="5">
        <v>0.12847222222222221</v>
      </c>
      <c r="AL204" s="1" t="s">
        <v>215</v>
      </c>
      <c r="AM204" s="1"/>
    </row>
    <row r="205" spans="1:39" x14ac:dyDescent="0.3">
      <c r="A205" s="1">
        <v>636433</v>
      </c>
      <c r="B205" s="1">
        <v>488111</v>
      </c>
      <c r="C205" s="1" t="s">
        <v>1189</v>
      </c>
      <c r="D205" s="38" t="s">
        <v>1724</v>
      </c>
      <c r="E205" s="4">
        <v>25010</v>
      </c>
      <c r="F205" s="1">
        <v>57</v>
      </c>
      <c r="G205" s="1" t="s">
        <v>212</v>
      </c>
      <c r="H205" s="1" t="s">
        <v>1501</v>
      </c>
      <c r="I205" s="1" t="s">
        <v>1501</v>
      </c>
      <c r="J205" s="1">
        <v>8525</v>
      </c>
      <c r="K205" s="1" t="s">
        <v>77</v>
      </c>
      <c r="L205" s="1" t="s">
        <v>19</v>
      </c>
      <c r="M205" s="1" t="s">
        <v>13</v>
      </c>
      <c r="N205" s="1" t="s">
        <v>10</v>
      </c>
      <c r="O205" s="1" t="s">
        <v>216</v>
      </c>
      <c r="P205" s="1" t="s">
        <v>52</v>
      </c>
      <c r="Q205" s="1" t="s">
        <v>19</v>
      </c>
      <c r="R205" s="1" t="s">
        <v>8</v>
      </c>
      <c r="S205" s="1" t="s">
        <v>12</v>
      </c>
      <c r="T205" s="1" t="s">
        <v>53</v>
      </c>
      <c r="U205" s="1" t="s">
        <v>8</v>
      </c>
      <c r="V205" s="1" t="str">
        <f>IF(pilgrims[[#This Row],[packages.second_hotel_name]]="",pilgrims[[#This Row],[packages.first_hotel_name]],pilgrims[[#This Row],[packages.second_hotel_name]])</f>
        <v>Makkah Clock Royal Tower A Fairmont Hotel</v>
      </c>
      <c r="W205" s="1" t="str">
        <f>IF(pilgrims[[#This Row],[packages.second_hotel_name]]="",pilgrims[[#This Row],[packages.first_hotel_check_in]],pilgrims[[#This Row],[packages.second_hotel_check_in]])</f>
        <v>2026-05-21</v>
      </c>
      <c r="X205" s="1" t="str">
        <f>IF(pilgrims[[#This Row],[packages.second_hotel_name]]="",pilgrims[[#This Row],[packages.first_hotel_check_out]],pilgrims[[#This Row],[packages.second_hotel_check_out]])</f>
        <v>2026-05-24</v>
      </c>
      <c r="Y205" s="1" t="s">
        <v>11</v>
      </c>
      <c r="Z205" s="1" t="s">
        <v>214</v>
      </c>
      <c r="AA205" s="1" t="s">
        <v>1190</v>
      </c>
      <c r="AB205" s="1" t="s">
        <v>1190</v>
      </c>
      <c r="AC205" s="1" t="s">
        <v>212</v>
      </c>
      <c r="AD205" s="1" t="s">
        <v>133</v>
      </c>
      <c r="AE205" s="1" t="s">
        <v>1281</v>
      </c>
      <c r="AF205" s="4">
        <v>46160</v>
      </c>
      <c r="AG205" s="5">
        <v>0.3923611111111111</v>
      </c>
      <c r="AH205" s="1" t="s">
        <v>60</v>
      </c>
      <c r="AI205" s="1" t="s">
        <v>1280</v>
      </c>
      <c r="AJ205" s="4">
        <v>46173</v>
      </c>
      <c r="AK205" s="5">
        <v>0.12847222222222221</v>
      </c>
      <c r="AL205" s="1" t="s">
        <v>215</v>
      </c>
      <c r="AM205" s="1"/>
    </row>
    <row r="206" spans="1:39" x14ac:dyDescent="0.3">
      <c r="A206" s="1">
        <v>103048</v>
      </c>
      <c r="B206" s="1">
        <v>152192</v>
      </c>
      <c r="C206" s="1" t="s">
        <v>1189</v>
      </c>
      <c r="D206" s="38" t="s">
        <v>1725</v>
      </c>
      <c r="E206" s="4">
        <v>31053</v>
      </c>
      <c r="F206" s="1">
        <v>41</v>
      </c>
      <c r="G206" s="1" t="s">
        <v>212</v>
      </c>
      <c r="H206" s="1" t="s">
        <v>1507</v>
      </c>
      <c r="I206" s="1" t="s">
        <v>1516</v>
      </c>
      <c r="J206" s="1">
        <v>8537</v>
      </c>
      <c r="K206" s="1" t="s">
        <v>87</v>
      </c>
      <c r="L206" s="1" t="s">
        <v>8</v>
      </c>
      <c r="M206" s="1" t="s">
        <v>4</v>
      </c>
      <c r="N206" s="1" t="s">
        <v>21</v>
      </c>
      <c r="O206" s="1" t="s">
        <v>216</v>
      </c>
      <c r="P206" s="1" t="s">
        <v>53</v>
      </c>
      <c r="Q206" s="1" t="s">
        <v>8</v>
      </c>
      <c r="R206" s="1" t="s">
        <v>16</v>
      </c>
      <c r="S206" s="1" t="s">
        <v>5</v>
      </c>
      <c r="T206" s="1" t="s">
        <v>53</v>
      </c>
      <c r="U206" s="1" t="s">
        <v>6</v>
      </c>
      <c r="V206" s="1" t="str">
        <f>IF(pilgrims[[#This Row],[packages.second_hotel_name]]="",pilgrims[[#This Row],[packages.first_hotel_name]],pilgrims[[#This Row],[packages.second_hotel_name]])</f>
        <v>Movenpick Anwar Almadinah Hotel</v>
      </c>
      <c r="W206" s="1" t="str">
        <f>IF(pilgrims[[#This Row],[packages.second_hotel_name]]="",pilgrims[[#This Row],[packages.first_hotel_check_in]],pilgrims[[#This Row],[packages.second_hotel_check_in]])</f>
        <v>2026-05-30</v>
      </c>
      <c r="X206" s="1" t="str">
        <f>IF(pilgrims[[#This Row],[packages.second_hotel_name]]="",pilgrims[[#This Row],[packages.first_hotel_check_out]],pilgrims[[#This Row],[packages.second_hotel_check_out]])</f>
        <v>2026-06-02</v>
      </c>
      <c r="Y206" s="1" t="s">
        <v>4</v>
      </c>
      <c r="Z206" s="1" t="s">
        <v>261</v>
      </c>
      <c r="AA206" s="1" t="s">
        <v>557</v>
      </c>
      <c r="AB206" s="1" t="s">
        <v>1330</v>
      </c>
      <c r="AC206" s="1" t="s">
        <v>558</v>
      </c>
      <c r="AD206" s="1" t="s">
        <v>1331</v>
      </c>
      <c r="AE206" s="1" t="s">
        <v>1280</v>
      </c>
      <c r="AF206" s="4">
        <v>46163</v>
      </c>
      <c r="AG206" s="5">
        <v>0.94444444444444442</v>
      </c>
      <c r="AH206" s="1" t="s">
        <v>1332</v>
      </c>
      <c r="AI206" s="1" t="s">
        <v>1280</v>
      </c>
      <c r="AJ206" s="4">
        <v>46175</v>
      </c>
      <c r="AK206" s="5">
        <v>5.5555555555555552E-2</v>
      </c>
      <c r="AL206" s="1" t="s">
        <v>215</v>
      </c>
      <c r="AM206" s="1"/>
    </row>
    <row r="207" spans="1:39" x14ac:dyDescent="0.3">
      <c r="A207" s="1">
        <v>691449</v>
      </c>
      <c r="B207" s="1">
        <v>488111</v>
      </c>
      <c r="C207" s="1" t="s">
        <v>1189</v>
      </c>
      <c r="D207" s="38" t="s">
        <v>1726</v>
      </c>
      <c r="E207" s="4">
        <v>21050</v>
      </c>
      <c r="F207" s="1">
        <v>68</v>
      </c>
      <c r="G207" s="1" t="s">
        <v>212</v>
      </c>
      <c r="H207" s="1" t="s">
        <v>1501</v>
      </c>
      <c r="I207" s="1" t="s">
        <v>1501</v>
      </c>
      <c r="J207" s="1">
        <v>8525</v>
      </c>
      <c r="K207" s="1" t="s">
        <v>77</v>
      </c>
      <c r="L207" s="1" t="s">
        <v>19</v>
      </c>
      <c r="M207" s="1" t="s">
        <v>13</v>
      </c>
      <c r="N207" s="1" t="s">
        <v>10</v>
      </c>
      <c r="O207" s="1" t="s">
        <v>216</v>
      </c>
      <c r="P207" s="1" t="s">
        <v>52</v>
      </c>
      <c r="Q207" s="1" t="s">
        <v>19</v>
      </c>
      <c r="R207" s="1" t="s">
        <v>8</v>
      </c>
      <c r="S207" s="1" t="s">
        <v>12</v>
      </c>
      <c r="T207" s="1" t="s">
        <v>53</v>
      </c>
      <c r="U207" s="1" t="s">
        <v>8</v>
      </c>
      <c r="V207" s="1" t="str">
        <f>IF(pilgrims[[#This Row],[packages.second_hotel_name]]="",pilgrims[[#This Row],[packages.first_hotel_name]],pilgrims[[#This Row],[packages.second_hotel_name]])</f>
        <v>Makkah Clock Royal Tower A Fairmont Hotel</v>
      </c>
      <c r="W207" s="1" t="str">
        <f>IF(pilgrims[[#This Row],[packages.second_hotel_name]]="",pilgrims[[#This Row],[packages.first_hotel_check_in]],pilgrims[[#This Row],[packages.second_hotel_check_in]])</f>
        <v>2026-05-21</v>
      </c>
      <c r="X207" s="1" t="str">
        <f>IF(pilgrims[[#This Row],[packages.second_hotel_name]]="",pilgrims[[#This Row],[packages.first_hotel_check_out]],pilgrims[[#This Row],[packages.second_hotel_check_out]])</f>
        <v>2026-05-24</v>
      </c>
      <c r="Y207" s="1" t="s">
        <v>11</v>
      </c>
      <c r="Z207" s="1" t="s">
        <v>214</v>
      </c>
      <c r="AA207" s="1" t="s">
        <v>1190</v>
      </c>
      <c r="AB207" s="1" t="s">
        <v>1190</v>
      </c>
      <c r="AC207" s="1" t="s">
        <v>212</v>
      </c>
      <c r="AD207" s="1" t="s">
        <v>133</v>
      </c>
      <c r="AE207" s="1" t="s">
        <v>1281</v>
      </c>
      <c r="AF207" s="4">
        <v>46160</v>
      </c>
      <c r="AG207" s="5">
        <v>0.3923611111111111</v>
      </c>
      <c r="AH207" s="1" t="s">
        <v>60</v>
      </c>
      <c r="AI207" s="1" t="s">
        <v>1280</v>
      </c>
      <c r="AJ207" s="4">
        <v>46173</v>
      </c>
      <c r="AK207" s="5">
        <v>0.12847222222222221</v>
      </c>
      <c r="AL207" s="1" t="s">
        <v>215</v>
      </c>
      <c r="AM207" s="1"/>
    </row>
    <row r="208" spans="1:39" x14ac:dyDescent="0.3">
      <c r="A208" s="1">
        <v>197145</v>
      </c>
      <c r="B208" s="1">
        <v>152192</v>
      </c>
      <c r="C208" s="1" t="s">
        <v>1188</v>
      </c>
      <c r="D208" s="38" t="s">
        <v>1727</v>
      </c>
      <c r="E208" s="4">
        <v>25471</v>
      </c>
      <c r="F208" s="1">
        <v>56</v>
      </c>
      <c r="G208" s="1" t="s">
        <v>212</v>
      </c>
      <c r="H208" s="1" t="s">
        <v>1507</v>
      </c>
      <c r="I208" s="1" t="s">
        <v>1507</v>
      </c>
      <c r="J208" s="1">
        <v>8537</v>
      </c>
      <c r="K208" s="1" t="s">
        <v>87</v>
      </c>
      <c r="L208" s="1" t="s">
        <v>8</v>
      </c>
      <c r="M208" s="1" t="s">
        <v>4</v>
      </c>
      <c r="N208" s="1" t="s">
        <v>21</v>
      </c>
      <c r="O208" s="1" t="s">
        <v>216</v>
      </c>
      <c r="P208" s="1" t="s">
        <v>53</v>
      </c>
      <c r="Q208" s="1" t="s">
        <v>8</v>
      </c>
      <c r="R208" s="1" t="s">
        <v>16</v>
      </c>
      <c r="S208" s="1" t="s">
        <v>5</v>
      </c>
      <c r="T208" s="1" t="s">
        <v>53</v>
      </c>
      <c r="U208" s="1" t="s">
        <v>6</v>
      </c>
      <c r="V208" s="1" t="str">
        <f>IF(pilgrims[[#This Row],[packages.second_hotel_name]]="",pilgrims[[#This Row],[packages.first_hotel_name]],pilgrims[[#This Row],[packages.second_hotel_name]])</f>
        <v>Movenpick Anwar Almadinah Hotel</v>
      </c>
      <c r="W208" s="1" t="str">
        <f>IF(pilgrims[[#This Row],[packages.second_hotel_name]]="",pilgrims[[#This Row],[packages.first_hotel_check_in]],pilgrims[[#This Row],[packages.second_hotel_check_in]])</f>
        <v>2026-05-30</v>
      </c>
      <c r="X208" s="1" t="str">
        <f>IF(pilgrims[[#This Row],[packages.second_hotel_name]]="",pilgrims[[#This Row],[packages.first_hotel_check_out]],pilgrims[[#This Row],[packages.second_hotel_check_out]])</f>
        <v>2026-06-02</v>
      </c>
      <c r="Y208" s="1" t="s">
        <v>4</v>
      </c>
      <c r="Z208" s="1" t="s">
        <v>261</v>
      </c>
      <c r="AA208" s="1" t="s">
        <v>557</v>
      </c>
      <c r="AB208" s="1" t="s">
        <v>1330</v>
      </c>
      <c r="AC208" s="1" t="s">
        <v>558</v>
      </c>
      <c r="AD208" s="1" t="s">
        <v>1331</v>
      </c>
      <c r="AE208" s="1" t="s">
        <v>1280</v>
      </c>
      <c r="AF208" s="4">
        <v>46163</v>
      </c>
      <c r="AG208" s="5">
        <v>0.94444444444444442</v>
      </c>
      <c r="AH208" s="1" t="s">
        <v>1332</v>
      </c>
      <c r="AI208" s="1" t="s">
        <v>1280</v>
      </c>
      <c r="AJ208" s="4">
        <v>46175</v>
      </c>
      <c r="AK208" s="5">
        <v>5.5555555555555552E-2</v>
      </c>
      <c r="AL208" s="1" t="s">
        <v>215</v>
      </c>
      <c r="AM208" s="1"/>
    </row>
    <row r="209" spans="1:39" x14ac:dyDescent="0.3">
      <c r="A209" s="1">
        <v>18606</v>
      </c>
      <c r="B209" s="1">
        <v>16871</v>
      </c>
      <c r="C209" s="1" t="s">
        <v>1188</v>
      </c>
      <c r="D209" s="38" t="s">
        <v>1728</v>
      </c>
      <c r="E209" s="4">
        <v>27165</v>
      </c>
      <c r="F209" s="1">
        <v>51</v>
      </c>
      <c r="G209" s="1" t="s">
        <v>212</v>
      </c>
      <c r="H209" s="1" t="s">
        <v>1501</v>
      </c>
      <c r="I209" s="1" t="s">
        <v>1501</v>
      </c>
      <c r="J209" s="1">
        <v>8544</v>
      </c>
      <c r="K209" s="1" t="s">
        <v>90</v>
      </c>
      <c r="L209" s="1" t="s">
        <v>19</v>
      </c>
      <c r="M209" s="1" t="s">
        <v>13</v>
      </c>
      <c r="N209" s="1" t="s">
        <v>5</v>
      </c>
      <c r="O209" s="1" t="s">
        <v>216</v>
      </c>
      <c r="P209" s="1" t="s">
        <v>53</v>
      </c>
      <c r="Q209" s="1" t="s">
        <v>19</v>
      </c>
      <c r="R209" s="1" t="s">
        <v>8</v>
      </c>
      <c r="S209" s="1" t="s">
        <v>21</v>
      </c>
      <c r="T209" s="1" t="s">
        <v>53</v>
      </c>
      <c r="U209" s="1" t="s">
        <v>8</v>
      </c>
      <c r="V209" s="1" t="str">
        <f>IF(pilgrims[[#This Row],[packages.second_hotel_name]]="",pilgrims[[#This Row],[packages.first_hotel_name]],pilgrims[[#This Row],[packages.second_hotel_name]])</f>
        <v>Swissotel Makkah Hotel</v>
      </c>
      <c r="W209" s="1" t="str">
        <f>IF(pilgrims[[#This Row],[packages.second_hotel_name]]="",pilgrims[[#This Row],[packages.first_hotel_check_in]],pilgrims[[#This Row],[packages.second_hotel_check_in]])</f>
        <v>2026-05-21</v>
      </c>
      <c r="X209" s="1" t="str">
        <f>IF(pilgrims[[#This Row],[packages.second_hotel_name]]="",pilgrims[[#This Row],[packages.first_hotel_check_out]],pilgrims[[#This Row],[packages.second_hotel_check_out]])</f>
        <v>2026-05-24</v>
      </c>
      <c r="Y209" s="1" t="s">
        <v>11</v>
      </c>
      <c r="Z209" s="1" t="s">
        <v>214</v>
      </c>
      <c r="AA209" s="1" t="s">
        <v>1193</v>
      </c>
      <c r="AB209" s="1" t="s">
        <v>1193</v>
      </c>
      <c r="AC209" s="1" t="s">
        <v>212</v>
      </c>
      <c r="AD209" s="1" t="s">
        <v>134</v>
      </c>
      <c r="AE209" s="1" t="s">
        <v>1281</v>
      </c>
      <c r="AF209" s="4">
        <v>46160</v>
      </c>
      <c r="AG209" s="5">
        <v>0.73958333333333337</v>
      </c>
      <c r="AH209" s="1" t="s">
        <v>63</v>
      </c>
      <c r="AI209" s="1" t="s">
        <v>1280</v>
      </c>
      <c r="AJ209" s="4">
        <v>46172</v>
      </c>
      <c r="AK209" s="5">
        <v>0.35069444444444442</v>
      </c>
      <c r="AL209" s="1" t="s">
        <v>215</v>
      </c>
      <c r="AM209" s="1"/>
    </row>
    <row r="210" spans="1:39" x14ac:dyDescent="0.3">
      <c r="A210" s="1">
        <v>696422</v>
      </c>
      <c r="B210" s="1">
        <v>16871</v>
      </c>
      <c r="C210" s="1" t="s">
        <v>1189</v>
      </c>
      <c r="D210" s="38" t="s">
        <v>1729</v>
      </c>
      <c r="E210" s="4">
        <v>28808</v>
      </c>
      <c r="F210" s="1">
        <v>47</v>
      </c>
      <c r="G210" s="1" t="s">
        <v>212</v>
      </c>
      <c r="H210" s="1" t="s">
        <v>1501</v>
      </c>
      <c r="I210" s="1" t="s">
        <v>1501</v>
      </c>
      <c r="J210" s="1">
        <v>8544</v>
      </c>
      <c r="K210" s="1" t="s">
        <v>90</v>
      </c>
      <c r="L210" s="1" t="s">
        <v>19</v>
      </c>
      <c r="M210" s="1" t="s">
        <v>13</v>
      </c>
      <c r="N210" s="1" t="s">
        <v>5</v>
      </c>
      <c r="O210" s="1" t="s">
        <v>216</v>
      </c>
      <c r="P210" s="1" t="s">
        <v>53</v>
      </c>
      <c r="Q210" s="1" t="s">
        <v>19</v>
      </c>
      <c r="R210" s="1" t="s">
        <v>8</v>
      </c>
      <c r="S210" s="1" t="s">
        <v>21</v>
      </c>
      <c r="T210" s="1" t="s">
        <v>53</v>
      </c>
      <c r="U210" s="1" t="s">
        <v>8</v>
      </c>
      <c r="V210" s="1" t="str">
        <f>IF(pilgrims[[#This Row],[packages.second_hotel_name]]="",pilgrims[[#This Row],[packages.first_hotel_name]],pilgrims[[#This Row],[packages.second_hotel_name]])</f>
        <v>Swissotel Makkah Hotel</v>
      </c>
      <c r="W210" s="1" t="str">
        <f>IF(pilgrims[[#This Row],[packages.second_hotel_name]]="",pilgrims[[#This Row],[packages.first_hotel_check_in]],pilgrims[[#This Row],[packages.second_hotel_check_in]])</f>
        <v>2026-05-21</v>
      </c>
      <c r="X210" s="1" t="str">
        <f>IF(pilgrims[[#This Row],[packages.second_hotel_name]]="",pilgrims[[#This Row],[packages.first_hotel_check_out]],pilgrims[[#This Row],[packages.second_hotel_check_out]])</f>
        <v>2026-05-24</v>
      </c>
      <c r="Y210" s="1" t="s">
        <v>11</v>
      </c>
      <c r="Z210" s="1" t="s">
        <v>214</v>
      </c>
      <c r="AA210" s="1" t="s">
        <v>1193</v>
      </c>
      <c r="AB210" s="1" t="s">
        <v>1193</v>
      </c>
      <c r="AC210" s="1" t="s">
        <v>212</v>
      </c>
      <c r="AD210" s="1" t="s">
        <v>134</v>
      </c>
      <c r="AE210" s="1" t="s">
        <v>1281</v>
      </c>
      <c r="AF210" s="4">
        <v>46160</v>
      </c>
      <c r="AG210" s="5">
        <v>0.73958333333333337</v>
      </c>
      <c r="AH210" s="1" t="s">
        <v>63</v>
      </c>
      <c r="AI210" s="1" t="s">
        <v>1280</v>
      </c>
      <c r="AJ210" s="4">
        <v>46172</v>
      </c>
      <c r="AK210" s="5">
        <v>0.35069444444444442</v>
      </c>
      <c r="AL210" s="1" t="s">
        <v>215</v>
      </c>
      <c r="AM210" s="1"/>
    </row>
    <row r="211" spans="1:39" x14ac:dyDescent="0.3">
      <c r="A211" s="1">
        <v>838073</v>
      </c>
      <c r="B211" s="1">
        <v>677576</v>
      </c>
      <c r="C211" s="1" t="s">
        <v>1188</v>
      </c>
      <c r="D211" s="38" t="s">
        <v>1730</v>
      </c>
      <c r="E211" s="4">
        <v>30188</v>
      </c>
      <c r="F211" s="1">
        <v>43</v>
      </c>
      <c r="G211" s="1" t="s">
        <v>212</v>
      </c>
      <c r="H211" s="1" t="s">
        <v>1501</v>
      </c>
      <c r="I211" s="1" t="s">
        <v>1501</v>
      </c>
      <c r="J211" s="1">
        <v>8529</v>
      </c>
      <c r="K211" s="1" t="s">
        <v>82</v>
      </c>
      <c r="L211" s="1" t="s">
        <v>19</v>
      </c>
      <c r="M211" s="1" t="s">
        <v>13</v>
      </c>
      <c r="N211" s="1" t="s">
        <v>20</v>
      </c>
      <c r="O211" s="1" t="s">
        <v>216</v>
      </c>
      <c r="P211" s="1" t="s">
        <v>53</v>
      </c>
      <c r="Q211" s="1" t="s">
        <v>19</v>
      </c>
      <c r="R211" s="1" t="s">
        <v>8</v>
      </c>
      <c r="S211" s="1" t="s">
        <v>21</v>
      </c>
      <c r="T211" s="1" t="s">
        <v>53</v>
      </c>
      <c r="U211" s="1" t="s">
        <v>8</v>
      </c>
      <c r="V211" s="1" t="str">
        <f>IF(pilgrims[[#This Row],[packages.second_hotel_name]]="",pilgrims[[#This Row],[packages.first_hotel_name]],pilgrims[[#This Row],[packages.second_hotel_name]])</f>
        <v>Swissotel Makkah Hotel</v>
      </c>
      <c r="W211" s="1" t="str">
        <f>IF(pilgrims[[#This Row],[packages.second_hotel_name]]="",pilgrims[[#This Row],[packages.first_hotel_check_in]],pilgrims[[#This Row],[packages.second_hotel_check_in]])</f>
        <v>2026-05-21</v>
      </c>
      <c r="X211" s="1" t="str">
        <f>IF(pilgrims[[#This Row],[packages.second_hotel_name]]="",pilgrims[[#This Row],[packages.first_hotel_check_out]],pilgrims[[#This Row],[packages.second_hotel_check_out]])</f>
        <v>2026-05-25</v>
      </c>
      <c r="Y211" s="1" t="s">
        <v>16</v>
      </c>
      <c r="Z211" s="1" t="s">
        <v>261</v>
      </c>
      <c r="AA211" s="1" t="s">
        <v>566</v>
      </c>
      <c r="AB211" s="1" t="s">
        <v>1355</v>
      </c>
      <c r="AC211" s="1" t="s">
        <v>567</v>
      </c>
      <c r="AD211" s="1" t="s">
        <v>1356</v>
      </c>
      <c r="AE211" s="1" t="s">
        <v>1280</v>
      </c>
      <c r="AF211" s="4">
        <v>46160</v>
      </c>
      <c r="AG211" s="5">
        <v>0.57986111111111116</v>
      </c>
      <c r="AH211" s="1" t="s">
        <v>1357</v>
      </c>
      <c r="AI211" s="1" t="s">
        <v>1280</v>
      </c>
      <c r="AJ211" s="4">
        <v>46173</v>
      </c>
      <c r="AK211" s="5">
        <v>0.3923611111111111</v>
      </c>
      <c r="AL211" s="1" t="s">
        <v>215</v>
      </c>
      <c r="AM211" s="1"/>
    </row>
    <row r="212" spans="1:39" x14ac:dyDescent="0.3">
      <c r="A212" s="1">
        <v>744322</v>
      </c>
      <c r="B212" s="1">
        <v>603400</v>
      </c>
      <c r="C212" s="1" t="s">
        <v>1189</v>
      </c>
      <c r="D212" s="38" t="s">
        <v>1731</v>
      </c>
      <c r="E212" s="4">
        <v>25534</v>
      </c>
      <c r="F212" s="1">
        <v>56</v>
      </c>
      <c r="G212" s="1" t="s">
        <v>212</v>
      </c>
      <c r="H212" s="1" t="s">
        <v>1501</v>
      </c>
      <c r="I212" s="1" t="s">
        <v>1501</v>
      </c>
      <c r="J212" s="1">
        <v>8525</v>
      </c>
      <c r="K212" s="1" t="s">
        <v>77</v>
      </c>
      <c r="L212" s="1" t="s">
        <v>19</v>
      </c>
      <c r="M212" s="1" t="s">
        <v>13</v>
      </c>
      <c r="N212" s="1" t="s">
        <v>10</v>
      </c>
      <c r="O212" s="1" t="s">
        <v>216</v>
      </c>
      <c r="P212" s="1" t="s">
        <v>52</v>
      </c>
      <c r="Q212" s="1" t="s">
        <v>19</v>
      </c>
      <c r="R212" s="1" t="s">
        <v>8</v>
      </c>
      <c r="S212" s="1" t="s">
        <v>12</v>
      </c>
      <c r="T212" s="1" t="s">
        <v>53</v>
      </c>
      <c r="U212" s="1" t="s">
        <v>8</v>
      </c>
      <c r="V212" s="1" t="str">
        <f>IF(pilgrims[[#This Row],[packages.second_hotel_name]]="",pilgrims[[#This Row],[packages.first_hotel_name]],pilgrims[[#This Row],[packages.second_hotel_name]])</f>
        <v>Makkah Clock Royal Tower A Fairmont Hotel</v>
      </c>
      <c r="W212" s="1" t="str">
        <f>IF(pilgrims[[#This Row],[packages.second_hotel_name]]="",pilgrims[[#This Row],[packages.first_hotel_check_in]],pilgrims[[#This Row],[packages.second_hotel_check_in]])</f>
        <v>2026-05-21</v>
      </c>
      <c r="X212" s="1" t="str">
        <f>IF(pilgrims[[#This Row],[packages.second_hotel_name]]="",pilgrims[[#This Row],[packages.first_hotel_check_out]],pilgrims[[#This Row],[packages.second_hotel_check_out]])</f>
        <v>2026-05-24</v>
      </c>
      <c r="Y212" s="1" t="s">
        <v>11</v>
      </c>
      <c r="Z212" s="1" t="s">
        <v>214</v>
      </c>
      <c r="AA212" s="1" t="s">
        <v>1190</v>
      </c>
      <c r="AB212" s="1" t="s">
        <v>1190</v>
      </c>
      <c r="AC212" s="1" t="s">
        <v>212</v>
      </c>
      <c r="AD212" s="1" t="s">
        <v>133</v>
      </c>
      <c r="AE212" s="1" t="s">
        <v>1281</v>
      </c>
      <c r="AF212" s="4">
        <v>46160</v>
      </c>
      <c r="AG212" s="5">
        <v>0.3923611111111111</v>
      </c>
      <c r="AH212" s="1" t="s">
        <v>60</v>
      </c>
      <c r="AI212" s="1" t="s">
        <v>1280</v>
      </c>
      <c r="AJ212" s="4">
        <v>46173</v>
      </c>
      <c r="AK212" s="5">
        <v>0.12847222222222221</v>
      </c>
      <c r="AL212" s="1" t="s">
        <v>215</v>
      </c>
      <c r="AM212" s="1"/>
    </row>
    <row r="213" spans="1:39" x14ac:dyDescent="0.3">
      <c r="A213" s="1">
        <v>838121</v>
      </c>
      <c r="B213" s="1">
        <v>677576</v>
      </c>
      <c r="C213" s="1" t="s">
        <v>1189</v>
      </c>
      <c r="D213" s="38" t="s">
        <v>1732</v>
      </c>
      <c r="E213" s="4">
        <v>30711</v>
      </c>
      <c r="F213" s="1">
        <v>42</v>
      </c>
      <c r="G213" s="1" t="s">
        <v>212</v>
      </c>
      <c r="H213" s="1" t="s">
        <v>1501</v>
      </c>
      <c r="I213" s="1" t="s">
        <v>1501</v>
      </c>
      <c r="J213" s="1">
        <v>8529</v>
      </c>
      <c r="K213" s="1" t="s">
        <v>82</v>
      </c>
      <c r="L213" s="1" t="s">
        <v>19</v>
      </c>
      <c r="M213" s="1" t="s">
        <v>13</v>
      </c>
      <c r="N213" s="1" t="s">
        <v>20</v>
      </c>
      <c r="O213" s="1" t="s">
        <v>216</v>
      </c>
      <c r="P213" s="1" t="s">
        <v>53</v>
      </c>
      <c r="Q213" s="1" t="s">
        <v>19</v>
      </c>
      <c r="R213" s="1" t="s">
        <v>8</v>
      </c>
      <c r="S213" s="1" t="s">
        <v>21</v>
      </c>
      <c r="T213" s="1" t="s">
        <v>53</v>
      </c>
      <c r="U213" s="1" t="s">
        <v>8</v>
      </c>
      <c r="V213" s="1" t="str">
        <f>IF(pilgrims[[#This Row],[packages.second_hotel_name]]="",pilgrims[[#This Row],[packages.first_hotel_name]],pilgrims[[#This Row],[packages.second_hotel_name]])</f>
        <v>Swissotel Makkah Hotel</v>
      </c>
      <c r="W213" s="1" t="str">
        <f>IF(pilgrims[[#This Row],[packages.second_hotel_name]]="",pilgrims[[#This Row],[packages.first_hotel_check_in]],pilgrims[[#This Row],[packages.second_hotel_check_in]])</f>
        <v>2026-05-21</v>
      </c>
      <c r="X213" s="1" t="str">
        <f>IF(pilgrims[[#This Row],[packages.second_hotel_name]]="",pilgrims[[#This Row],[packages.first_hotel_check_out]],pilgrims[[#This Row],[packages.second_hotel_check_out]])</f>
        <v>2026-05-25</v>
      </c>
      <c r="Y213" s="1" t="s">
        <v>16</v>
      </c>
      <c r="Z213" s="1" t="s">
        <v>261</v>
      </c>
      <c r="AA213" s="1" t="s">
        <v>566</v>
      </c>
      <c r="AB213" s="1" t="s">
        <v>1355</v>
      </c>
      <c r="AC213" s="1" t="s">
        <v>567</v>
      </c>
      <c r="AD213" s="1" t="s">
        <v>1356</v>
      </c>
      <c r="AE213" s="1" t="s">
        <v>1280</v>
      </c>
      <c r="AF213" s="4">
        <v>46160</v>
      </c>
      <c r="AG213" s="5">
        <v>0.57986111111111116</v>
      </c>
      <c r="AH213" s="1" t="s">
        <v>1357</v>
      </c>
      <c r="AI213" s="1" t="s">
        <v>1280</v>
      </c>
      <c r="AJ213" s="4">
        <v>46173</v>
      </c>
      <c r="AK213" s="5">
        <v>0.3923611111111111</v>
      </c>
      <c r="AL213" s="1" t="s">
        <v>215</v>
      </c>
      <c r="AM213" s="1"/>
    </row>
    <row r="214" spans="1:39" x14ac:dyDescent="0.3">
      <c r="A214" s="1">
        <v>553890</v>
      </c>
      <c r="B214" s="1">
        <v>625995</v>
      </c>
      <c r="C214" s="1" t="s">
        <v>1189</v>
      </c>
      <c r="D214" s="38" t="s">
        <v>1733</v>
      </c>
      <c r="E214" s="4">
        <v>30853</v>
      </c>
      <c r="F214" s="1">
        <v>41</v>
      </c>
      <c r="G214" s="1" t="s">
        <v>212</v>
      </c>
      <c r="H214" s="1" t="s">
        <v>1501</v>
      </c>
      <c r="I214" s="1" t="s">
        <v>1501</v>
      </c>
      <c r="J214" s="1">
        <v>8528</v>
      </c>
      <c r="K214" s="1" t="s">
        <v>81</v>
      </c>
      <c r="L214" s="1" t="s">
        <v>19</v>
      </c>
      <c r="M214" s="1" t="s">
        <v>6</v>
      </c>
      <c r="N214" s="1" t="s">
        <v>10</v>
      </c>
      <c r="O214" s="1" t="s">
        <v>216</v>
      </c>
      <c r="P214" s="1" t="s">
        <v>52</v>
      </c>
      <c r="Q214" s="1" t="s">
        <v>19</v>
      </c>
      <c r="R214" s="1" t="s">
        <v>8</v>
      </c>
      <c r="S214" s="1" t="s">
        <v>12</v>
      </c>
      <c r="T214" s="1" t="s">
        <v>53</v>
      </c>
      <c r="U214" s="1" t="s">
        <v>8</v>
      </c>
      <c r="V214" s="1" t="str">
        <f>IF(pilgrims[[#This Row],[packages.second_hotel_name]]="",pilgrims[[#This Row],[packages.first_hotel_name]],pilgrims[[#This Row],[packages.second_hotel_name]])</f>
        <v>Makkah Clock Royal Tower A Fairmont Hotel</v>
      </c>
      <c r="W214" s="1" t="str">
        <f>IF(pilgrims[[#This Row],[packages.second_hotel_name]]="",pilgrims[[#This Row],[packages.first_hotel_check_in]],pilgrims[[#This Row],[packages.second_hotel_check_in]])</f>
        <v>2026-05-21</v>
      </c>
      <c r="X214" s="1" t="str">
        <f>IF(pilgrims[[#This Row],[packages.second_hotel_name]]="",pilgrims[[#This Row],[packages.first_hotel_check_out]],pilgrims[[#This Row],[packages.second_hotel_check_out]])</f>
        <v>2026-05-25</v>
      </c>
      <c r="Y214" s="1" t="s">
        <v>16</v>
      </c>
      <c r="Z214" s="1" t="s">
        <v>214</v>
      </c>
      <c r="AA214" s="1" t="s">
        <v>1193</v>
      </c>
      <c r="AB214" s="1" t="s">
        <v>1193</v>
      </c>
      <c r="AC214" s="1" t="s">
        <v>212</v>
      </c>
      <c r="AD214" s="1" t="s">
        <v>134</v>
      </c>
      <c r="AE214" s="1" t="s">
        <v>1281</v>
      </c>
      <c r="AF214" s="4">
        <v>46160</v>
      </c>
      <c r="AG214" s="5">
        <v>0.73958333333333337</v>
      </c>
      <c r="AH214" s="1" t="s">
        <v>63</v>
      </c>
      <c r="AI214" s="1" t="s">
        <v>1280</v>
      </c>
      <c r="AJ214" s="4">
        <v>46172</v>
      </c>
      <c r="AK214" s="5">
        <v>0.35069444444444442</v>
      </c>
      <c r="AL214" s="1" t="s">
        <v>215</v>
      </c>
      <c r="AM214" s="1"/>
    </row>
    <row r="215" spans="1:39" x14ac:dyDescent="0.3">
      <c r="A215" s="1">
        <v>772227</v>
      </c>
      <c r="B215" s="1">
        <v>625995</v>
      </c>
      <c r="C215" s="1" t="s">
        <v>1188</v>
      </c>
      <c r="D215" s="38" t="s">
        <v>1734</v>
      </c>
      <c r="E215" s="4">
        <v>25714</v>
      </c>
      <c r="F215" s="1">
        <v>55</v>
      </c>
      <c r="G215" s="1" t="s">
        <v>212</v>
      </c>
      <c r="H215" s="1" t="s">
        <v>1501</v>
      </c>
      <c r="I215" s="1" t="s">
        <v>1501</v>
      </c>
      <c r="J215" s="1">
        <v>8528</v>
      </c>
      <c r="K215" s="1" t="s">
        <v>81</v>
      </c>
      <c r="L215" s="1" t="s">
        <v>19</v>
      </c>
      <c r="M215" s="1" t="s">
        <v>6</v>
      </c>
      <c r="N215" s="1" t="s">
        <v>10</v>
      </c>
      <c r="O215" s="1" t="s">
        <v>216</v>
      </c>
      <c r="P215" s="1" t="s">
        <v>52</v>
      </c>
      <c r="Q215" s="1" t="s">
        <v>19</v>
      </c>
      <c r="R215" s="1" t="s">
        <v>8</v>
      </c>
      <c r="S215" s="1" t="s">
        <v>12</v>
      </c>
      <c r="T215" s="1" t="s">
        <v>53</v>
      </c>
      <c r="U215" s="1" t="s">
        <v>8</v>
      </c>
      <c r="V215" s="1" t="str">
        <f>IF(pilgrims[[#This Row],[packages.second_hotel_name]]="",pilgrims[[#This Row],[packages.first_hotel_name]],pilgrims[[#This Row],[packages.second_hotel_name]])</f>
        <v>Makkah Clock Royal Tower A Fairmont Hotel</v>
      </c>
      <c r="W215" s="1" t="str">
        <f>IF(pilgrims[[#This Row],[packages.second_hotel_name]]="",pilgrims[[#This Row],[packages.first_hotel_check_in]],pilgrims[[#This Row],[packages.second_hotel_check_in]])</f>
        <v>2026-05-21</v>
      </c>
      <c r="X215" s="1" t="str">
        <f>IF(pilgrims[[#This Row],[packages.second_hotel_name]]="",pilgrims[[#This Row],[packages.first_hotel_check_out]],pilgrims[[#This Row],[packages.second_hotel_check_out]])</f>
        <v>2026-05-25</v>
      </c>
      <c r="Y215" s="1" t="s">
        <v>16</v>
      </c>
      <c r="Z215" s="1" t="s">
        <v>214</v>
      </c>
      <c r="AA215" s="1" t="s">
        <v>1193</v>
      </c>
      <c r="AB215" s="1" t="s">
        <v>1193</v>
      </c>
      <c r="AC215" s="1" t="s">
        <v>212</v>
      </c>
      <c r="AD215" s="1" t="s">
        <v>134</v>
      </c>
      <c r="AE215" s="1" t="s">
        <v>1281</v>
      </c>
      <c r="AF215" s="4">
        <v>46160</v>
      </c>
      <c r="AG215" s="5">
        <v>0.73958333333333337</v>
      </c>
      <c r="AH215" s="1" t="s">
        <v>63</v>
      </c>
      <c r="AI215" s="1" t="s">
        <v>1280</v>
      </c>
      <c r="AJ215" s="4">
        <v>46172</v>
      </c>
      <c r="AK215" s="5">
        <v>0.35069444444444442</v>
      </c>
      <c r="AL215" s="1" t="s">
        <v>215</v>
      </c>
      <c r="AM215" s="1"/>
    </row>
    <row r="216" spans="1:39" x14ac:dyDescent="0.3">
      <c r="A216" s="1">
        <v>789502</v>
      </c>
      <c r="B216" s="1">
        <v>639299</v>
      </c>
      <c r="C216" s="1" t="s">
        <v>1188</v>
      </c>
      <c r="D216" s="38" t="s">
        <v>1735</v>
      </c>
      <c r="E216" s="4">
        <v>29847</v>
      </c>
      <c r="F216" s="1">
        <v>44</v>
      </c>
      <c r="G216" s="1" t="s">
        <v>212</v>
      </c>
      <c r="H216" s="1" t="s">
        <v>1501</v>
      </c>
      <c r="I216" s="1" t="s">
        <v>1501</v>
      </c>
      <c r="J216" s="1">
        <v>8524</v>
      </c>
      <c r="K216" s="1" t="s">
        <v>85</v>
      </c>
      <c r="L216" s="1" t="s">
        <v>8</v>
      </c>
      <c r="M216" s="1" t="s">
        <v>9</v>
      </c>
      <c r="N216" s="1" t="s">
        <v>5</v>
      </c>
      <c r="O216" s="1" t="s">
        <v>216</v>
      </c>
      <c r="P216" s="1" t="s">
        <v>53</v>
      </c>
      <c r="Q216" s="1" t="s">
        <v>8</v>
      </c>
      <c r="R216" s="1" t="s">
        <v>11</v>
      </c>
      <c r="S216" s="1" t="s">
        <v>15</v>
      </c>
      <c r="T216" s="1" t="s">
        <v>53</v>
      </c>
      <c r="U216" s="1" t="s">
        <v>13</v>
      </c>
      <c r="V216" s="1" t="str">
        <f>IF(pilgrims[[#This Row],[packages.second_hotel_name]]="",pilgrims[[#This Row],[packages.first_hotel_name]],pilgrims[[#This Row],[packages.second_hotel_name]])</f>
        <v>Swissotel Al Maqam Makkah</v>
      </c>
      <c r="W216" s="1" t="str">
        <f>IF(pilgrims[[#This Row],[packages.second_hotel_name]]="",pilgrims[[#This Row],[packages.first_hotel_check_in]],pilgrims[[#This Row],[packages.second_hotel_check_in]])</f>
        <v>2026-05-31</v>
      </c>
      <c r="X216" s="1" t="str">
        <f>IF(pilgrims[[#This Row],[packages.second_hotel_name]]="",pilgrims[[#This Row],[packages.first_hotel_check_out]],pilgrims[[#This Row],[packages.second_hotel_check_out]])</f>
        <v>2026-06-06</v>
      </c>
      <c r="Y216" s="1" t="s">
        <v>9</v>
      </c>
      <c r="Z216" s="1" t="s">
        <v>261</v>
      </c>
      <c r="AA216" s="1" t="s">
        <v>573</v>
      </c>
      <c r="AB216" s="1" t="s">
        <v>1339</v>
      </c>
      <c r="AC216" s="1" t="s">
        <v>574</v>
      </c>
      <c r="AD216" s="1" t="s">
        <v>1340</v>
      </c>
      <c r="AE216" s="1" t="s">
        <v>1281</v>
      </c>
      <c r="AF216" s="4">
        <v>46163</v>
      </c>
      <c r="AG216" s="5">
        <v>0.13541666666666666</v>
      </c>
      <c r="AH216" s="1" t="s">
        <v>1341</v>
      </c>
      <c r="AI216" s="1" t="s">
        <v>1280</v>
      </c>
      <c r="AJ216" s="4">
        <v>46179</v>
      </c>
      <c r="AK216" s="5">
        <v>0.2013888888888889</v>
      </c>
      <c r="AL216" s="1" t="s">
        <v>215</v>
      </c>
      <c r="AM216" s="1"/>
    </row>
    <row r="217" spans="1:39" x14ac:dyDescent="0.3">
      <c r="A217" s="1">
        <v>426534</v>
      </c>
      <c r="B217" s="1">
        <v>333200</v>
      </c>
      <c r="C217" s="1" t="s">
        <v>1188</v>
      </c>
      <c r="D217" s="38" t="s">
        <v>1736</v>
      </c>
      <c r="E217" s="4">
        <v>27696</v>
      </c>
      <c r="F217" s="1">
        <v>50</v>
      </c>
      <c r="G217" s="1" t="s">
        <v>212</v>
      </c>
      <c r="H217" s="1" t="s">
        <v>1501</v>
      </c>
      <c r="I217" s="1" t="s">
        <v>1501</v>
      </c>
      <c r="J217" s="1">
        <v>8525</v>
      </c>
      <c r="K217" s="1" t="s">
        <v>77</v>
      </c>
      <c r="L217" s="1" t="s">
        <v>19</v>
      </c>
      <c r="M217" s="1" t="s">
        <v>13</v>
      </c>
      <c r="N217" s="1" t="s">
        <v>10</v>
      </c>
      <c r="O217" s="1" t="s">
        <v>216</v>
      </c>
      <c r="P217" s="1" t="s">
        <v>52</v>
      </c>
      <c r="Q217" s="1" t="s">
        <v>19</v>
      </c>
      <c r="R217" s="1" t="s">
        <v>8</v>
      </c>
      <c r="S217" s="1" t="s">
        <v>12</v>
      </c>
      <c r="T217" s="1" t="s">
        <v>53</v>
      </c>
      <c r="U217" s="1" t="s">
        <v>8</v>
      </c>
      <c r="V217" s="1" t="str">
        <f>IF(pilgrims[[#This Row],[packages.second_hotel_name]]="",pilgrims[[#This Row],[packages.first_hotel_name]],pilgrims[[#This Row],[packages.second_hotel_name]])</f>
        <v>Makkah Clock Royal Tower A Fairmont Hotel</v>
      </c>
      <c r="W217" s="1" t="str">
        <f>IF(pilgrims[[#This Row],[packages.second_hotel_name]]="",pilgrims[[#This Row],[packages.first_hotel_check_in]],pilgrims[[#This Row],[packages.second_hotel_check_in]])</f>
        <v>2026-05-21</v>
      </c>
      <c r="X217" s="1" t="str">
        <f>IF(pilgrims[[#This Row],[packages.second_hotel_name]]="",pilgrims[[#This Row],[packages.first_hotel_check_out]],pilgrims[[#This Row],[packages.second_hotel_check_out]])</f>
        <v>2026-05-24</v>
      </c>
      <c r="Y217" s="1" t="s">
        <v>11</v>
      </c>
      <c r="Z217" s="1" t="s">
        <v>214</v>
      </c>
      <c r="AA217" s="1" t="s">
        <v>1190</v>
      </c>
      <c r="AB217" s="1" t="s">
        <v>1190</v>
      </c>
      <c r="AC217" s="1" t="s">
        <v>212</v>
      </c>
      <c r="AD217" s="1" t="s">
        <v>133</v>
      </c>
      <c r="AE217" s="1" t="s">
        <v>1281</v>
      </c>
      <c r="AF217" s="4">
        <v>46160</v>
      </c>
      <c r="AG217" s="5">
        <v>0.3923611111111111</v>
      </c>
      <c r="AH217" s="1" t="s">
        <v>60</v>
      </c>
      <c r="AI217" s="1" t="s">
        <v>1280</v>
      </c>
      <c r="AJ217" s="4">
        <v>46173</v>
      </c>
      <c r="AK217" s="5">
        <v>0.12847222222222221</v>
      </c>
      <c r="AL217" s="1" t="s">
        <v>215</v>
      </c>
      <c r="AM217" s="1"/>
    </row>
    <row r="218" spans="1:39" x14ac:dyDescent="0.3">
      <c r="A218" s="1">
        <v>789534</v>
      </c>
      <c r="B218" s="1">
        <v>639299</v>
      </c>
      <c r="C218" s="1" t="s">
        <v>1189</v>
      </c>
      <c r="D218" s="38" t="s">
        <v>1737</v>
      </c>
      <c r="E218" s="4">
        <v>30985</v>
      </c>
      <c r="F218" s="1">
        <v>41</v>
      </c>
      <c r="G218" s="1" t="s">
        <v>212</v>
      </c>
      <c r="H218" s="1" t="s">
        <v>1501</v>
      </c>
      <c r="I218" s="1" t="s">
        <v>1501</v>
      </c>
      <c r="J218" s="1">
        <v>8524</v>
      </c>
      <c r="K218" s="1" t="s">
        <v>85</v>
      </c>
      <c r="L218" s="1" t="s">
        <v>8</v>
      </c>
      <c r="M218" s="1" t="s">
        <v>9</v>
      </c>
      <c r="N218" s="1" t="s">
        <v>5</v>
      </c>
      <c r="O218" s="1" t="s">
        <v>216</v>
      </c>
      <c r="P218" s="1" t="s">
        <v>53</v>
      </c>
      <c r="Q218" s="1" t="s">
        <v>8</v>
      </c>
      <c r="R218" s="1" t="s">
        <v>11</v>
      </c>
      <c r="S218" s="1" t="s">
        <v>15</v>
      </c>
      <c r="T218" s="1" t="s">
        <v>53</v>
      </c>
      <c r="U218" s="1" t="s">
        <v>13</v>
      </c>
      <c r="V218" s="1" t="str">
        <f>IF(pilgrims[[#This Row],[packages.second_hotel_name]]="",pilgrims[[#This Row],[packages.first_hotel_name]],pilgrims[[#This Row],[packages.second_hotel_name]])</f>
        <v>Swissotel Al Maqam Makkah</v>
      </c>
      <c r="W218" s="1" t="str">
        <f>IF(pilgrims[[#This Row],[packages.second_hotel_name]]="",pilgrims[[#This Row],[packages.first_hotel_check_in]],pilgrims[[#This Row],[packages.second_hotel_check_in]])</f>
        <v>2026-05-31</v>
      </c>
      <c r="X218" s="1" t="str">
        <f>IF(pilgrims[[#This Row],[packages.second_hotel_name]]="",pilgrims[[#This Row],[packages.first_hotel_check_out]],pilgrims[[#This Row],[packages.second_hotel_check_out]])</f>
        <v>2026-06-06</v>
      </c>
      <c r="Y218" s="1" t="s">
        <v>9</v>
      </c>
      <c r="Z218" s="1" t="s">
        <v>261</v>
      </c>
      <c r="AA218" s="1" t="s">
        <v>573</v>
      </c>
      <c r="AB218" s="1" t="s">
        <v>1339</v>
      </c>
      <c r="AC218" s="1" t="s">
        <v>574</v>
      </c>
      <c r="AD218" s="1" t="s">
        <v>1340</v>
      </c>
      <c r="AE218" s="1" t="s">
        <v>1281</v>
      </c>
      <c r="AF218" s="4">
        <v>46163</v>
      </c>
      <c r="AG218" s="5">
        <v>0.13541666666666666</v>
      </c>
      <c r="AH218" s="1" t="s">
        <v>1341</v>
      </c>
      <c r="AI218" s="1" t="s">
        <v>1280</v>
      </c>
      <c r="AJ218" s="4">
        <v>46179</v>
      </c>
      <c r="AK218" s="5">
        <v>0.2013888888888889</v>
      </c>
      <c r="AL218" s="1" t="s">
        <v>215</v>
      </c>
      <c r="AM218" s="1"/>
    </row>
    <row r="219" spans="1:39" x14ac:dyDescent="0.3">
      <c r="A219" s="1">
        <v>632648</v>
      </c>
      <c r="B219" s="1">
        <v>333200</v>
      </c>
      <c r="C219" s="1" t="s">
        <v>1189</v>
      </c>
      <c r="D219" s="38" t="s">
        <v>1738</v>
      </c>
      <c r="E219" s="4">
        <v>20508</v>
      </c>
      <c r="F219" s="1">
        <v>70</v>
      </c>
      <c r="G219" s="1" t="s">
        <v>212</v>
      </c>
      <c r="H219" s="1" t="s">
        <v>1501</v>
      </c>
      <c r="I219" s="1" t="s">
        <v>1501</v>
      </c>
      <c r="J219" s="1">
        <v>8525</v>
      </c>
      <c r="K219" s="1" t="s">
        <v>77</v>
      </c>
      <c r="L219" s="1" t="s">
        <v>19</v>
      </c>
      <c r="M219" s="1" t="s">
        <v>13</v>
      </c>
      <c r="N219" s="1" t="s">
        <v>10</v>
      </c>
      <c r="O219" s="1" t="s">
        <v>216</v>
      </c>
      <c r="P219" s="1" t="s">
        <v>52</v>
      </c>
      <c r="Q219" s="1" t="s">
        <v>19</v>
      </c>
      <c r="R219" s="1" t="s">
        <v>8</v>
      </c>
      <c r="S219" s="1" t="s">
        <v>12</v>
      </c>
      <c r="T219" s="1" t="s">
        <v>53</v>
      </c>
      <c r="U219" s="1" t="s">
        <v>8</v>
      </c>
      <c r="V219" s="1" t="str">
        <f>IF(pilgrims[[#This Row],[packages.second_hotel_name]]="",pilgrims[[#This Row],[packages.first_hotel_name]],pilgrims[[#This Row],[packages.second_hotel_name]])</f>
        <v>Makkah Clock Royal Tower A Fairmont Hotel</v>
      </c>
      <c r="W219" s="1" t="str">
        <f>IF(pilgrims[[#This Row],[packages.second_hotel_name]]="",pilgrims[[#This Row],[packages.first_hotel_check_in]],pilgrims[[#This Row],[packages.second_hotel_check_in]])</f>
        <v>2026-05-21</v>
      </c>
      <c r="X219" s="1" t="str">
        <f>IF(pilgrims[[#This Row],[packages.second_hotel_name]]="",pilgrims[[#This Row],[packages.first_hotel_check_out]],pilgrims[[#This Row],[packages.second_hotel_check_out]])</f>
        <v>2026-05-24</v>
      </c>
      <c r="Y219" s="1" t="s">
        <v>11</v>
      </c>
      <c r="Z219" s="1" t="s">
        <v>214</v>
      </c>
      <c r="AA219" s="1" t="s">
        <v>1190</v>
      </c>
      <c r="AB219" s="1" t="s">
        <v>1190</v>
      </c>
      <c r="AC219" s="1" t="s">
        <v>212</v>
      </c>
      <c r="AD219" s="1" t="s">
        <v>133</v>
      </c>
      <c r="AE219" s="1" t="s">
        <v>1281</v>
      </c>
      <c r="AF219" s="4">
        <v>46160</v>
      </c>
      <c r="AG219" s="5">
        <v>0.3923611111111111</v>
      </c>
      <c r="AH219" s="1" t="s">
        <v>60</v>
      </c>
      <c r="AI219" s="1" t="s">
        <v>1280</v>
      </c>
      <c r="AJ219" s="4">
        <v>46173</v>
      </c>
      <c r="AK219" s="5">
        <v>0.12847222222222221</v>
      </c>
      <c r="AL219" s="1" t="s">
        <v>215</v>
      </c>
      <c r="AM219" s="1"/>
    </row>
    <row r="220" spans="1:39" x14ac:dyDescent="0.3">
      <c r="A220" s="1">
        <v>627570</v>
      </c>
      <c r="B220" s="1">
        <v>508157</v>
      </c>
      <c r="C220" s="1" t="s">
        <v>1189</v>
      </c>
      <c r="D220" s="38" t="s">
        <v>1739</v>
      </c>
      <c r="E220" s="4">
        <v>25216</v>
      </c>
      <c r="F220" s="1">
        <v>57</v>
      </c>
      <c r="G220" s="1" t="s">
        <v>212</v>
      </c>
      <c r="H220" s="1" t="s">
        <v>1501</v>
      </c>
      <c r="I220" s="1" t="s">
        <v>1501</v>
      </c>
      <c r="J220" s="1">
        <v>8529</v>
      </c>
      <c r="K220" s="1" t="s">
        <v>82</v>
      </c>
      <c r="L220" s="1" t="s">
        <v>19</v>
      </c>
      <c r="M220" s="1" t="s">
        <v>13</v>
      </c>
      <c r="N220" s="1" t="s">
        <v>20</v>
      </c>
      <c r="O220" s="1" t="s">
        <v>216</v>
      </c>
      <c r="P220" s="1" t="s">
        <v>53</v>
      </c>
      <c r="Q220" s="1" t="s">
        <v>19</v>
      </c>
      <c r="R220" s="1" t="s">
        <v>8</v>
      </c>
      <c r="S220" s="1" t="s">
        <v>21</v>
      </c>
      <c r="T220" s="1" t="s">
        <v>53</v>
      </c>
      <c r="U220" s="1" t="s">
        <v>8</v>
      </c>
      <c r="V220" s="1" t="str">
        <f>IF(pilgrims[[#This Row],[packages.second_hotel_name]]="",pilgrims[[#This Row],[packages.first_hotel_name]],pilgrims[[#This Row],[packages.second_hotel_name]])</f>
        <v>Swissotel Makkah Hotel</v>
      </c>
      <c r="W220" s="1" t="str">
        <f>IF(pilgrims[[#This Row],[packages.second_hotel_name]]="",pilgrims[[#This Row],[packages.first_hotel_check_in]],pilgrims[[#This Row],[packages.second_hotel_check_in]])</f>
        <v>2026-05-21</v>
      </c>
      <c r="X220" s="1" t="str">
        <f>IF(pilgrims[[#This Row],[packages.second_hotel_name]]="",pilgrims[[#This Row],[packages.first_hotel_check_out]],pilgrims[[#This Row],[packages.second_hotel_check_out]])</f>
        <v>2026-05-25</v>
      </c>
      <c r="Y220" s="1" t="s">
        <v>16</v>
      </c>
      <c r="Z220" s="1" t="s">
        <v>214</v>
      </c>
      <c r="AA220" s="1" t="s">
        <v>1193</v>
      </c>
      <c r="AB220" s="1" t="s">
        <v>1193</v>
      </c>
      <c r="AC220" s="1" t="s">
        <v>212</v>
      </c>
      <c r="AD220" s="1" t="s">
        <v>134</v>
      </c>
      <c r="AE220" s="1" t="s">
        <v>1281</v>
      </c>
      <c r="AF220" s="4">
        <v>46160</v>
      </c>
      <c r="AG220" s="5">
        <v>0.73958333333333337</v>
      </c>
      <c r="AH220" s="1" t="s">
        <v>63</v>
      </c>
      <c r="AI220" s="1" t="s">
        <v>1280</v>
      </c>
      <c r="AJ220" s="4">
        <v>46172</v>
      </c>
      <c r="AK220" s="5">
        <v>0.35069444444444442</v>
      </c>
      <c r="AL220" s="1" t="s">
        <v>215</v>
      </c>
      <c r="AM220" s="1"/>
    </row>
    <row r="221" spans="1:39" x14ac:dyDescent="0.3">
      <c r="A221" s="1">
        <v>849651</v>
      </c>
      <c r="B221" s="1">
        <v>686851</v>
      </c>
      <c r="C221" s="1" t="s">
        <v>1188</v>
      </c>
      <c r="D221" s="38" t="s">
        <v>1740</v>
      </c>
      <c r="E221" s="4">
        <v>27276</v>
      </c>
      <c r="F221" s="1">
        <v>51</v>
      </c>
      <c r="G221" s="1" t="s">
        <v>212</v>
      </c>
      <c r="H221" s="1" t="s">
        <v>1502</v>
      </c>
      <c r="I221" s="1" t="s">
        <v>1502</v>
      </c>
      <c r="J221" s="1">
        <v>8525</v>
      </c>
      <c r="K221" s="1" t="s">
        <v>77</v>
      </c>
      <c r="L221" s="1" t="s">
        <v>19</v>
      </c>
      <c r="M221" s="1" t="s">
        <v>13</v>
      </c>
      <c r="N221" s="1" t="s">
        <v>10</v>
      </c>
      <c r="O221" s="1" t="s">
        <v>216</v>
      </c>
      <c r="P221" s="1" t="s">
        <v>52</v>
      </c>
      <c r="Q221" s="1" t="s">
        <v>19</v>
      </c>
      <c r="R221" s="1" t="s">
        <v>8</v>
      </c>
      <c r="S221" s="1" t="s">
        <v>12</v>
      </c>
      <c r="T221" s="1" t="s">
        <v>53</v>
      </c>
      <c r="U221" s="1" t="s">
        <v>8</v>
      </c>
      <c r="V221" s="1" t="str">
        <f>IF(pilgrims[[#This Row],[packages.second_hotel_name]]="",pilgrims[[#This Row],[packages.first_hotel_name]],pilgrims[[#This Row],[packages.second_hotel_name]])</f>
        <v>Makkah Clock Royal Tower A Fairmont Hotel</v>
      </c>
      <c r="W221" s="1" t="str">
        <f>IF(pilgrims[[#This Row],[packages.second_hotel_name]]="",pilgrims[[#This Row],[packages.first_hotel_check_in]],pilgrims[[#This Row],[packages.second_hotel_check_in]])</f>
        <v>2026-05-21</v>
      </c>
      <c r="X221" s="1" t="str">
        <f>IF(pilgrims[[#This Row],[packages.second_hotel_name]]="",pilgrims[[#This Row],[packages.first_hotel_check_out]],pilgrims[[#This Row],[packages.second_hotel_check_out]])</f>
        <v>2026-05-24</v>
      </c>
      <c r="Y221" s="1" t="s">
        <v>11</v>
      </c>
      <c r="Z221" s="1" t="s">
        <v>214</v>
      </c>
      <c r="AA221" s="1" t="s">
        <v>1207</v>
      </c>
      <c r="AB221" s="1" t="s">
        <v>1207</v>
      </c>
      <c r="AC221" s="1" t="s">
        <v>212</v>
      </c>
      <c r="AD221" s="1" t="s">
        <v>135</v>
      </c>
      <c r="AE221" s="1" t="s">
        <v>1281</v>
      </c>
      <c r="AF221" s="4">
        <v>46160</v>
      </c>
      <c r="AG221" s="5">
        <v>0.89236111111111116</v>
      </c>
      <c r="AH221" s="1" t="s">
        <v>68</v>
      </c>
      <c r="AI221" s="1" t="s">
        <v>1280</v>
      </c>
      <c r="AJ221" s="4">
        <v>46172</v>
      </c>
      <c r="AK221" s="5">
        <v>0.38541666666666669</v>
      </c>
      <c r="AL221" s="1" t="s">
        <v>215</v>
      </c>
      <c r="AM221" s="1"/>
    </row>
    <row r="222" spans="1:39" x14ac:dyDescent="0.3">
      <c r="A222" s="1">
        <v>343808</v>
      </c>
      <c r="B222" s="1">
        <v>271162</v>
      </c>
      <c r="C222" s="1" t="s">
        <v>1188</v>
      </c>
      <c r="D222" s="38" t="s">
        <v>1741</v>
      </c>
      <c r="E222" s="4">
        <v>29672</v>
      </c>
      <c r="F222" s="1">
        <v>44</v>
      </c>
      <c r="G222" s="1" t="s">
        <v>212</v>
      </c>
      <c r="H222" s="1" t="s">
        <v>1501</v>
      </c>
      <c r="I222" s="1" t="s">
        <v>1501</v>
      </c>
      <c r="J222" s="1">
        <v>8530</v>
      </c>
      <c r="K222" s="1" t="s">
        <v>83</v>
      </c>
      <c r="L222" s="1" t="s">
        <v>19</v>
      </c>
      <c r="M222" s="1" t="s">
        <v>13</v>
      </c>
      <c r="N222" s="1" t="s">
        <v>5</v>
      </c>
      <c r="O222" s="1" t="s">
        <v>216</v>
      </c>
      <c r="P222" s="1" t="s">
        <v>53</v>
      </c>
      <c r="Q222" s="1" t="s">
        <v>19</v>
      </c>
      <c r="R222" s="1" t="s">
        <v>8</v>
      </c>
      <c r="S222" s="1" t="s">
        <v>15</v>
      </c>
      <c r="T222" s="1" t="s">
        <v>53</v>
      </c>
      <c r="U222" s="1" t="s">
        <v>8</v>
      </c>
      <c r="V222" s="1" t="str">
        <f>IF(pilgrims[[#This Row],[packages.second_hotel_name]]="",pilgrims[[#This Row],[packages.first_hotel_name]],pilgrims[[#This Row],[packages.second_hotel_name]])</f>
        <v>Swissotel Al Maqam Makkah</v>
      </c>
      <c r="W222" s="1" t="str">
        <f>IF(pilgrims[[#This Row],[packages.second_hotel_name]]="",pilgrims[[#This Row],[packages.first_hotel_check_in]],pilgrims[[#This Row],[packages.second_hotel_check_in]])</f>
        <v>2026-05-21</v>
      </c>
      <c r="X222" s="1" t="str">
        <f>IF(pilgrims[[#This Row],[packages.second_hotel_name]]="",pilgrims[[#This Row],[packages.first_hotel_check_out]],pilgrims[[#This Row],[packages.second_hotel_check_out]])</f>
        <v>2026-05-25</v>
      </c>
      <c r="Y222" s="1" t="s">
        <v>16</v>
      </c>
      <c r="Z222" s="1" t="s">
        <v>214</v>
      </c>
      <c r="AA222" s="1" t="s">
        <v>1193</v>
      </c>
      <c r="AB222" s="1" t="s">
        <v>1193</v>
      </c>
      <c r="AC222" s="1" t="s">
        <v>212</v>
      </c>
      <c r="AD222" s="1" t="s">
        <v>134</v>
      </c>
      <c r="AE222" s="1" t="s">
        <v>1281</v>
      </c>
      <c r="AF222" s="4">
        <v>46160</v>
      </c>
      <c r="AG222" s="5">
        <v>0.73958333333333337</v>
      </c>
      <c r="AH222" s="1" t="s">
        <v>63</v>
      </c>
      <c r="AI222" s="1" t="s">
        <v>1280</v>
      </c>
      <c r="AJ222" s="4">
        <v>46172</v>
      </c>
      <c r="AK222" s="5">
        <v>0.35069444444444442</v>
      </c>
      <c r="AL222" s="1" t="s">
        <v>215</v>
      </c>
      <c r="AM222" s="1"/>
    </row>
    <row r="223" spans="1:39" x14ac:dyDescent="0.3">
      <c r="A223" s="1">
        <v>343824</v>
      </c>
      <c r="B223" s="1">
        <v>271162</v>
      </c>
      <c r="C223" s="1" t="s">
        <v>1189</v>
      </c>
      <c r="D223" s="38" t="s">
        <v>1742</v>
      </c>
      <c r="E223" s="4">
        <v>31079</v>
      </c>
      <c r="F223" s="1">
        <v>41</v>
      </c>
      <c r="G223" s="1" t="s">
        <v>212</v>
      </c>
      <c r="H223" s="1" t="s">
        <v>1501</v>
      </c>
      <c r="I223" s="1" t="s">
        <v>1501</v>
      </c>
      <c r="J223" s="1">
        <v>8530</v>
      </c>
      <c r="K223" s="1" t="s">
        <v>83</v>
      </c>
      <c r="L223" s="1" t="s">
        <v>19</v>
      </c>
      <c r="M223" s="1" t="s">
        <v>13</v>
      </c>
      <c r="N223" s="1" t="s">
        <v>5</v>
      </c>
      <c r="O223" s="1" t="s">
        <v>216</v>
      </c>
      <c r="P223" s="1" t="s">
        <v>53</v>
      </c>
      <c r="Q223" s="1" t="s">
        <v>19</v>
      </c>
      <c r="R223" s="1" t="s">
        <v>8</v>
      </c>
      <c r="S223" s="1" t="s">
        <v>15</v>
      </c>
      <c r="T223" s="1" t="s">
        <v>53</v>
      </c>
      <c r="U223" s="1" t="s">
        <v>8</v>
      </c>
      <c r="V223" s="1" t="str">
        <f>IF(pilgrims[[#This Row],[packages.second_hotel_name]]="",pilgrims[[#This Row],[packages.first_hotel_name]],pilgrims[[#This Row],[packages.second_hotel_name]])</f>
        <v>Swissotel Al Maqam Makkah</v>
      </c>
      <c r="W223" s="1" t="str">
        <f>IF(pilgrims[[#This Row],[packages.second_hotel_name]]="",pilgrims[[#This Row],[packages.first_hotel_check_in]],pilgrims[[#This Row],[packages.second_hotel_check_in]])</f>
        <v>2026-05-21</v>
      </c>
      <c r="X223" s="1" t="str">
        <f>IF(pilgrims[[#This Row],[packages.second_hotel_name]]="",pilgrims[[#This Row],[packages.first_hotel_check_out]],pilgrims[[#This Row],[packages.second_hotel_check_out]])</f>
        <v>2026-05-25</v>
      </c>
      <c r="Y223" s="1" t="s">
        <v>16</v>
      </c>
      <c r="Z223" s="1" t="s">
        <v>214</v>
      </c>
      <c r="AA223" s="1" t="s">
        <v>1193</v>
      </c>
      <c r="AB223" s="1" t="s">
        <v>1193</v>
      </c>
      <c r="AC223" s="1" t="s">
        <v>212</v>
      </c>
      <c r="AD223" s="1" t="s">
        <v>134</v>
      </c>
      <c r="AE223" s="1" t="s">
        <v>1281</v>
      </c>
      <c r="AF223" s="4">
        <v>46160</v>
      </c>
      <c r="AG223" s="5">
        <v>0.73958333333333337</v>
      </c>
      <c r="AH223" s="1" t="s">
        <v>63</v>
      </c>
      <c r="AI223" s="1" t="s">
        <v>1280</v>
      </c>
      <c r="AJ223" s="4">
        <v>46172</v>
      </c>
      <c r="AK223" s="5">
        <v>0.35069444444444442</v>
      </c>
      <c r="AL223" s="1" t="s">
        <v>215</v>
      </c>
      <c r="AM223" s="1"/>
    </row>
    <row r="224" spans="1:39" x14ac:dyDescent="0.3">
      <c r="A224" s="1">
        <v>794297</v>
      </c>
      <c r="B224" s="1">
        <v>643085</v>
      </c>
      <c r="C224" s="1" t="s">
        <v>1188</v>
      </c>
      <c r="D224" s="38" t="s">
        <v>1743</v>
      </c>
      <c r="E224" s="4">
        <v>36493</v>
      </c>
      <c r="F224" s="1">
        <v>26</v>
      </c>
      <c r="G224" s="1" t="s">
        <v>212</v>
      </c>
      <c r="H224" s="1" t="s">
        <v>1501</v>
      </c>
      <c r="I224" s="1" t="s">
        <v>1501</v>
      </c>
      <c r="J224" s="1">
        <v>8672</v>
      </c>
      <c r="K224" s="1" t="s">
        <v>89</v>
      </c>
      <c r="L224" s="1" t="s">
        <v>8</v>
      </c>
      <c r="M224" s="1" t="s">
        <v>13</v>
      </c>
      <c r="N224" s="1" t="s">
        <v>10</v>
      </c>
      <c r="O224" s="1" t="s">
        <v>216</v>
      </c>
      <c r="P224" s="1" t="s">
        <v>52</v>
      </c>
      <c r="Q224" s="1" t="s">
        <v>8</v>
      </c>
      <c r="R224" s="1" t="s">
        <v>11</v>
      </c>
      <c r="S224" s="1"/>
      <c r="T224" s="1"/>
      <c r="U224" s="1"/>
      <c r="V224" s="1" t="str">
        <f>IF(pilgrims[[#This Row],[packages.second_hotel_name]]="",pilgrims[[#This Row],[packages.first_hotel_name]],pilgrims[[#This Row],[packages.second_hotel_name]])</f>
        <v>Crowne Plaza Madinah</v>
      </c>
      <c r="W224" s="1" t="str">
        <f>IF(pilgrims[[#This Row],[packages.second_hotel_name]]="",pilgrims[[#This Row],[packages.first_hotel_check_in]],pilgrims[[#This Row],[packages.second_hotel_check_in]])</f>
        <v>2026-05-21</v>
      </c>
      <c r="X224" s="1" t="str">
        <f>IF(pilgrims[[#This Row],[packages.second_hotel_name]]="",pilgrims[[#This Row],[packages.first_hotel_check_out]],pilgrims[[#This Row],[packages.second_hotel_check_out]])</f>
        <v>2026-05-24</v>
      </c>
      <c r="Y224" s="1"/>
      <c r="Z224" s="1" t="s">
        <v>261</v>
      </c>
      <c r="AA224" s="1" t="s">
        <v>585</v>
      </c>
      <c r="AB224" s="1" t="s">
        <v>1465</v>
      </c>
      <c r="AC224" s="1" t="s">
        <v>586</v>
      </c>
      <c r="AD224" s="1" t="s">
        <v>1455</v>
      </c>
      <c r="AE224" s="1" t="s">
        <v>1281</v>
      </c>
      <c r="AF224" s="4">
        <v>46163</v>
      </c>
      <c r="AG224" s="5">
        <v>0.67708333333333337</v>
      </c>
      <c r="AH224" s="1" t="s">
        <v>1346</v>
      </c>
      <c r="AI224" s="1" t="s">
        <v>1280</v>
      </c>
      <c r="AJ224" s="4">
        <v>46173</v>
      </c>
      <c r="AK224" s="5">
        <v>0.20833333333333334</v>
      </c>
      <c r="AL224" s="1" t="s">
        <v>215</v>
      </c>
      <c r="AM224" s="1"/>
    </row>
    <row r="225" spans="1:39" x14ac:dyDescent="0.3">
      <c r="A225" s="1">
        <v>607366</v>
      </c>
      <c r="B225" s="1">
        <v>489736</v>
      </c>
      <c r="C225" s="1" t="s">
        <v>1188</v>
      </c>
      <c r="D225" s="38" t="s">
        <v>1744</v>
      </c>
      <c r="E225" s="4">
        <v>24725</v>
      </c>
      <c r="F225" s="1">
        <v>58</v>
      </c>
      <c r="G225" s="1" t="s">
        <v>212</v>
      </c>
      <c r="H225" s="1" t="s">
        <v>1501</v>
      </c>
      <c r="I225" s="1" t="s">
        <v>1501</v>
      </c>
      <c r="J225" s="1">
        <v>8530</v>
      </c>
      <c r="K225" s="1" t="s">
        <v>83</v>
      </c>
      <c r="L225" s="1" t="s">
        <v>19</v>
      </c>
      <c r="M225" s="1" t="s">
        <v>13</v>
      </c>
      <c r="N225" s="1" t="s">
        <v>5</v>
      </c>
      <c r="O225" s="1" t="s">
        <v>216</v>
      </c>
      <c r="P225" s="1" t="s">
        <v>53</v>
      </c>
      <c r="Q225" s="1" t="s">
        <v>19</v>
      </c>
      <c r="R225" s="1" t="s">
        <v>8</v>
      </c>
      <c r="S225" s="1" t="s">
        <v>15</v>
      </c>
      <c r="T225" s="1" t="s">
        <v>53</v>
      </c>
      <c r="U225" s="1" t="s">
        <v>8</v>
      </c>
      <c r="V225" s="1" t="str">
        <f>IF(pilgrims[[#This Row],[packages.second_hotel_name]]="",pilgrims[[#This Row],[packages.first_hotel_name]],pilgrims[[#This Row],[packages.second_hotel_name]])</f>
        <v>Swissotel Al Maqam Makkah</v>
      </c>
      <c r="W225" s="1" t="str">
        <f>IF(pilgrims[[#This Row],[packages.second_hotel_name]]="",pilgrims[[#This Row],[packages.first_hotel_check_in]],pilgrims[[#This Row],[packages.second_hotel_check_in]])</f>
        <v>2026-05-21</v>
      </c>
      <c r="X225" s="1" t="str">
        <f>IF(pilgrims[[#This Row],[packages.second_hotel_name]]="",pilgrims[[#This Row],[packages.first_hotel_check_out]],pilgrims[[#This Row],[packages.second_hotel_check_out]])</f>
        <v>2026-05-25</v>
      </c>
      <c r="Y225" s="1" t="s">
        <v>16</v>
      </c>
      <c r="Z225" s="1" t="s">
        <v>214</v>
      </c>
      <c r="AA225" s="1" t="s">
        <v>1193</v>
      </c>
      <c r="AB225" s="1" t="s">
        <v>1193</v>
      </c>
      <c r="AC225" s="1" t="s">
        <v>212</v>
      </c>
      <c r="AD225" s="1" t="s">
        <v>134</v>
      </c>
      <c r="AE225" s="1" t="s">
        <v>1281</v>
      </c>
      <c r="AF225" s="4">
        <v>46160</v>
      </c>
      <c r="AG225" s="5">
        <v>0.73958333333333337</v>
      </c>
      <c r="AH225" s="1" t="s">
        <v>63</v>
      </c>
      <c r="AI225" s="1" t="s">
        <v>1280</v>
      </c>
      <c r="AJ225" s="4">
        <v>46172</v>
      </c>
      <c r="AK225" s="5">
        <v>0.35069444444444442</v>
      </c>
      <c r="AL225" s="1" t="s">
        <v>215</v>
      </c>
      <c r="AM225" s="1"/>
    </row>
    <row r="226" spans="1:39" x14ac:dyDescent="0.3">
      <c r="A226" s="1">
        <v>607371</v>
      </c>
      <c r="B226" s="1">
        <v>489736</v>
      </c>
      <c r="C226" s="1" t="s">
        <v>1189</v>
      </c>
      <c r="D226" s="38" t="s">
        <v>1745</v>
      </c>
      <c r="E226" s="4">
        <v>24459</v>
      </c>
      <c r="F226" s="1">
        <v>59</v>
      </c>
      <c r="G226" s="1" t="s">
        <v>212</v>
      </c>
      <c r="H226" s="1" t="s">
        <v>1501</v>
      </c>
      <c r="I226" s="1" t="s">
        <v>1501</v>
      </c>
      <c r="J226" s="1">
        <v>8530</v>
      </c>
      <c r="K226" s="1" t="s">
        <v>83</v>
      </c>
      <c r="L226" s="1" t="s">
        <v>19</v>
      </c>
      <c r="M226" s="1" t="s">
        <v>13</v>
      </c>
      <c r="N226" s="1" t="s">
        <v>5</v>
      </c>
      <c r="O226" s="1" t="s">
        <v>216</v>
      </c>
      <c r="P226" s="1" t="s">
        <v>53</v>
      </c>
      <c r="Q226" s="1" t="s">
        <v>19</v>
      </c>
      <c r="R226" s="1" t="s">
        <v>8</v>
      </c>
      <c r="S226" s="1" t="s">
        <v>15</v>
      </c>
      <c r="T226" s="1" t="s">
        <v>53</v>
      </c>
      <c r="U226" s="1" t="s">
        <v>8</v>
      </c>
      <c r="V226" s="1" t="str">
        <f>IF(pilgrims[[#This Row],[packages.second_hotel_name]]="",pilgrims[[#This Row],[packages.first_hotel_name]],pilgrims[[#This Row],[packages.second_hotel_name]])</f>
        <v>Swissotel Al Maqam Makkah</v>
      </c>
      <c r="W226" s="1" t="str">
        <f>IF(pilgrims[[#This Row],[packages.second_hotel_name]]="",pilgrims[[#This Row],[packages.first_hotel_check_in]],pilgrims[[#This Row],[packages.second_hotel_check_in]])</f>
        <v>2026-05-21</v>
      </c>
      <c r="X226" s="1" t="str">
        <f>IF(pilgrims[[#This Row],[packages.second_hotel_name]]="",pilgrims[[#This Row],[packages.first_hotel_check_out]],pilgrims[[#This Row],[packages.second_hotel_check_out]])</f>
        <v>2026-05-25</v>
      </c>
      <c r="Y226" s="1" t="s">
        <v>16</v>
      </c>
      <c r="Z226" s="1" t="s">
        <v>214</v>
      </c>
      <c r="AA226" s="1" t="s">
        <v>1193</v>
      </c>
      <c r="AB226" s="1" t="s">
        <v>1193</v>
      </c>
      <c r="AC226" s="1" t="s">
        <v>212</v>
      </c>
      <c r="AD226" s="1" t="s">
        <v>134</v>
      </c>
      <c r="AE226" s="1" t="s">
        <v>1281</v>
      </c>
      <c r="AF226" s="4">
        <v>46160</v>
      </c>
      <c r="AG226" s="5">
        <v>0.73958333333333337</v>
      </c>
      <c r="AH226" s="1" t="s">
        <v>63</v>
      </c>
      <c r="AI226" s="1" t="s">
        <v>1280</v>
      </c>
      <c r="AJ226" s="4">
        <v>46172</v>
      </c>
      <c r="AK226" s="5">
        <v>0.35069444444444442</v>
      </c>
      <c r="AL226" s="1" t="s">
        <v>215</v>
      </c>
      <c r="AM226" s="1"/>
    </row>
    <row r="227" spans="1:39" x14ac:dyDescent="0.3">
      <c r="A227" s="1">
        <v>624561</v>
      </c>
      <c r="B227" s="1">
        <v>505275</v>
      </c>
      <c r="C227" s="1" t="s">
        <v>1188</v>
      </c>
      <c r="D227" s="38" t="s">
        <v>1746</v>
      </c>
      <c r="E227" s="4">
        <v>26894</v>
      </c>
      <c r="F227" s="1">
        <v>52</v>
      </c>
      <c r="G227" s="1" t="s">
        <v>212</v>
      </c>
      <c r="H227" s="1" t="s">
        <v>1501</v>
      </c>
      <c r="I227" s="1" t="s">
        <v>1501</v>
      </c>
      <c r="J227" s="1">
        <v>8524</v>
      </c>
      <c r="K227" s="1" t="s">
        <v>85</v>
      </c>
      <c r="L227" s="1" t="s">
        <v>8</v>
      </c>
      <c r="M227" s="1" t="s">
        <v>9</v>
      </c>
      <c r="N227" s="1" t="s">
        <v>5</v>
      </c>
      <c r="O227" s="1" t="s">
        <v>216</v>
      </c>
      <c r="P227" s="1" t="s">
        <v>53</v>
      </c>
      <c r="Q227" s="1" t="s">
        <v>8</v>
      </c>
      <c r="R227" s="1" t="s">
        <v>11</v>
      </c>
      <c r="S227" s="1" t="s">
        <v>15</v>
      </c>
      <c r="T227" s="1" t="s">
        <v>53</v>
      </c>
      <c r="U227" s="1" t="s">
        <v>13</v>
      </c>
      <c r="V227" s="1" t="str">
        <f>IF(pilgrims[[#This Row],[packages.second_hotel_name]]="",pilgrims[[#This Row],[packages.first_hotel_name]],pilgrims[[#This Row],[packages.second_hotel_name]])</f>
        <v>Swissotel Al Maqam Makkah</v>
      </c>
      <c r="W227" s="1" t="str">
        <f>IF(pilgrims[[#This Row],[packages.second_hotel_name]]="",pilgrims[[#This Row],[packages.first_hotel_check_in]],pilgrims[[#This Row],[packages.second_hotel_check_in]])</f>
        <v>2026-05-31</v>
      </c>
      <c r="X227" s="1" t="str">
        <f>IF(pilgrims[[#This Row],[packages.second_hotel_name]]="",pilgrims[[#This Row],[packages.first_hotel_check_out]],pilgrims[[#This Row],[packages.second_hotel_check_out]])</f>
        <v>2026-06-06</v>
      </c>
      <c r="Y227" s="1" t="s">
        <v>9</v>
      </c>
      <c r="Z227" s="1" t="s">
        <v>214</v>
      </c>
      <c r="AA227" s="1" t="s">
        <v>1200</v>
      </c>
      <c r="AB227" s="1" t="s">
        <v>1200</v>
      </c>
      <c r="AC227" s="1" t="s">
        <v>212</v>
      </c>
      <c r="AD227" s="1" t="s">
        <v>69</v>
      </c>
      <c r="AE227" s="1" t="s">
        <v>1280</v>
      </c>
      <c r="AF227" s="4">
        <v>46164</v>
      </c>
      <c r="AG227" s="5">
        <v>0.93055555555555558</v>
      </c>
      <c r="AH227" s="1" t="s">
        <v>72</v>
      </c>
      <c r="AI227" s="1" t="s">
        <v>1281</v>
      </c>
      <c r="AJ227" s="4">
        <v>46177</v>
      </c>
      <c r="AK227" s="5">
        <v>0.25347222222222221</v>
      </c>
      <c r="AL227" s="1" t="s">
        <v>215</v>
      </c>
      <c r="AM227" s="1"/>
    </row>
    <row r="228" spans="1:39" x14ac:dyDescent="0.3">
      <c r="A228" s="1">
        <v>624563</v>
      </c>
      <c r="B228" s="1">
        <v>505275</v>
      </c>
      <c r="C228" s="1" t="s">
        <v>1189</v>
      </c>
      <c r="D228" s="38" t="s">
        <v>1747</v>
      </c>
      <c r="E228" s="4">
        <v>28766</v>
      </c>
      <c r="F228" s="1">
        <v>47</v>
      </c>
      <c r="G228" s="1" t="s">
        <v>212</v>
      </c>
      <c r="H228" s="1" t="s">
        <v>1501</v>
      </c>
      <c r="I228" s="1" t="s">
        <v>1501</v>
      </c>
      <c r="J228" s="1">
        <v>8524</v>
      </c>
      <c r="K228" s="1" t="s">
        <v>85</v>
      </c>
      <c r="L228" s="1" t="s">
        <v>8</v>
      </c>
      <c r="M228" s="1" t="s">
        <v>9</v>
      </c>
      <c r="N228" s="1" t="s">
        <v>5</v>
      </c>
      <c r="O228" s="1" t="s">
        <v>216</v>
      </c>
      <c r="P228" s="1" t="s">
        <v>53</v>
      </c>
      <c r="Q228" s="1" t="s">
        <v>8</v>
      </c>
      <c r="R228" s="1" t="s">
        <v>11</v>
      </c>
      <c r="S228" s="1" t="s">
        <v>15</v>
      </c>
      <c r="T228" s="1" t="s">
        <v>53</v>
      </c>
      <c r="U228" s="1" t="s">
        <v>13</v>
      </c>
      <c r="V228" s="1" t="str">
        <f>IF(pilgrims[[#This Row],[packages.second_hotel_name]]="",pilgrims[[#This Row],[packages.first_hotel_name]],pilgrims[[#This Row],[packages.second_hotel_name]])</f>
        <v>Swissotel Al Maqam Makkah</v>
      </c>
      <c r="W228" s="1" t="str">
        <f>IF(pilgrims[[#This Row],[packages.second_hotel_name]]="",pilgrims[[#This Row],[packages.first_hotel_check_in]],pilgrims[[#This Row],[packages.second_hotel_check_in]])</f>
        <v>2026-05-31</v>
      </c>
      <c r="X228" s="1" t="str">
        <f>IF(pilgrims[[#This Row],[packages.second_hotel_name]]="",pilgrims[[#This Row],[packages.first_hotel_check_out]],pilgrims[[#This Row],[packages.second_hotel_check_out]])</f>
        <v>2026-06-06</v>
      </c>
      <c r="Y228" s="1" t="s">
        <v>9</v>
      </c>
      <c r="Z228" s="1" t="s">
        <v>214</v>
      </c>
      <c r="AA228" s="1" t="s">
        <v>1200</v>
      </c>
      <c r="AB228" s="1" t="s">
        <v>1200</v>
      </c>
      <c r="AC228" s="1" t="s">
        <v>212</v>
      </c>
      <c r="AD228" s="1" t="s">
        <v>69</v>
      </c>
      <c r="AE228" s="1" t="s">
        <v>1280</v>
      </c>
      <c r="AF228" s="4">
        <v>46164</v>
      </c>
      <c r="AG228" s="5">
        <v>0.93055555555555558</v>
      </c>
      <c r="AH228" s="1" t="s">
        <v>72</v>
      </c>
      <c r="AI228" s="1" t="s">
        <v>1281</v>
      </c>
      <c r="AJ228" s="4">
        <v>46177</v>
      </c>
      <c r="AK228" s="5">
        <v>0.25347222222222221</v>
      </c>
      <c r="AL228" s="1" t="s">
        <v>215</v>
      </c>
      <c r="AM228" s="1"/>
    </row>
    <row r="229" spans="1:39" x14ac:dyDescent="0.3">
      <c r="A229" s="1">
        <v>48777</v>
      </c>
      <c r="B229" s="1">
        <v>41337</v>
      </c>
      <c r="C229" s="1" t="s">
        <v>1188</v>
      </c>
      <c r="D229" s="38" t="s">
        <v>1748</v>
      </c>
      <c r="E229" s="4">
        <v>33297</v>
      </c>
      <c r="F229" s="1">
        <v>35</v>
      </c>
      <c r="G229" s="1" t="s">
        <v>212</v>
      </c>
      <c r="H229" s="1" t="s">
        <v>1501</v>
      </c>
      <c r="I229" s="1" t="s">
        <v>1501</v>
      </c>
      <c r="J229" s="1">
        <v>8530</v>
      </c>
      <c r="K229" s="1" t="s">
        <v>83</v>
      </c>
      <c r="L229" s="1" t="s">
        <v>19</v>
      </c>
      <c r="M229" s="1" t="s">
        <v>13</v>
      </c>
      <c r="N229" s="1" t="s">
        <v>5</v>
      </c>
      <c r="O229" s="1" t="s">
        <v>216</v>
      </c>
      <c r="P229" s="1" t="s">
        <v>53</v>
      </c>
      <c r="Q229" s="1" t="s">
        <v>19</v>
      </c>
      <c r="R229" s="1" t="s">
        <v>8</v>
      </c>
      <c r="S229" s="1" t="s">
        <v>15</v>
      </c>
      <c r="T229" s="1" t="s">
        <v>53</v>
      </c>
      <c r="U229" s="1" t="s">
        <v>8</v>
      </c>
      <c r="V229" s="1" t="str">
        <f>IF(pilgrims[[#This Row],[packages.second_hotel_name]]="",pilgrims[[#This Row],[packages.first_hotel_name]],pilgrims[[#This Row],[packages.second_hotel_name]])</f>
        <v>Swissotel Al Maqam Makkah</v>
      </c>
      <c r="W229" s="1" t="str">
        <f>IF(pilgrims[[#This Row],[packages.second_hotel_name]]="",pilgrims[[#This Row],[packages.first_hotel_check_in]],pilgrims[[#This Row],[packages.second_hotel_check_in]])</f>
        <v>2026-05-21</v>
      </c>
      <c r="X229" s="1" t="str">
        <f>IF(pilgrims[[#This Row],[packages.second_hotel_name]]="",pilgrims[[#This Row],[packages.first_hotel_check_out]],pilgrims[[#This Row],[packages.second_hotel_check_out]])</f>
        <v>2026-05-25</v>
      </c>
      <c r="Y229" s="1" t="s">
        <v>16</v>
      </c>
      <c r="Z229" s="1" t="s">
        <v>214</v>
      </c>
      <c r="AA229" s="1" t="s">
        <v>1190</v>
      </c>
      <c r="AB229" s="1" t="s">
        <v>1190</v>
      </c>
      <c r="AC229" s="1" t="s">
        <v>212</v>
      </c>
      <c r="AD229" s="1" t="s">
        <v>133</v>
      </c>
      <c r="AE229" s="1" t="s">
        <v>1281</v>
      </c>
      <c r="AF229" s="4">
        <v>46160</v>
      </c>
      <c r="AG229" s="5">
        <v>0.3923611111111111</v>
      </c>
      <c r="AH229" s="1" t="s">
        <v>60</v>
      </c>
      <c r="AI229" s="1" t="s">
        <v>1280</v>
      </c>
      <c r="AJ229" s="4">
        <v>46173</v>
      </c>
      <c r="AK229" s="5">
        <v>0.12847222222222221</v>
      </c>
      <c r="AL229" s="1" t="s">
        <v>215</v>
      </c>
      <c r="AM229" s="1"/>
    </row>
    <row r="230" spans="1:39" x14ac:dyDescent="0.3">
      <c r="A230" s="1">
        <v>739831</v>
      </c>
      <c r="B230" s="1">
        <v>599689</v>
      </c>
      <c r="C230" s="1" t="s">
        <v>1189</v>
      </c>
      <c r="D230" s="38" t="s">
        <v>1749</v>
      </c>
      <c r="E230" s="4">
        <v>28798</v>
      </c>
      <c r="F230" s="1">
        <v>47</v>
      </c>
      <c r="G230" s="1" t="s">
        <v>212</v>
      </c>
      <c r="H230" s="1" t="s">
        <v>1502</v>
      </c>
      <c r="I230" s="1" t="s">
        <v>1502</v>
      </c>
      <c r="J230" s="1">
        <v>8530</v>
      </c>
      <c r="K230" s="1" t="s">
        <v>83</v>
      </c>
      <c r="L230" s="1" t="s">
        <v>19</v>
      </c>
      <c r="M230" s="1" t="s">
        <v>13</v>
      </c>
      <c r="N230" s="1" t="s">
        <v>5</v>
      </c>
      <c r="O230" s="1" t="s">
        <v>216</v>
      </c>
      <c r="P230" s="1" t="s">
        <v>53</v>
      </c>
      <c r="Q230" s="1" t="s">
        <v>19</v>
      </c>
      <c r="R230" s="1" t="s">
        <v>8</v>
      </c>
      <c r="S230" s="1" t="s">
        <v>15</v>
      </c>
      <c r="T230" s="1" t="s">
        <v>53</v>
      </c>
      <c r="U230" s="1" t="s">
        <v>8</v>
      </c>
      <c r="V230" s="1" t="str">
        <f>IF(pilgrims[[#This Row],[packages.second_hotel_name]]="",pilgrims[[#This Row],[packages.first_hotel_name]],pilgrims[[#This Row],[packages.second_hotel_name]])</f>
        <v>Swissotel Al Maqam Makkah</v>
      </c>
      <c r="W230" s="1" t="str">
        <f>IF(pilgrims[[#This Row],[packages.second_hotel_name]]="",pilgrims[[#This Row],[packages.first_hotel_check_in]],pilgrims[[#This Row],[packages.second_hotel_check_in]])</f>
        <v>2026-05-21</v>
      </c>
      <c r="X230" s="1" t="str">
        <f>IF(pilgrims[[#This Row],[packages.second_hotel_name]]="",pilgrims[[#This Row],[packages.first_hotel_check_out]],pilgrims[[#This Row],[packages.second_hotel_check_out]])</f>
        <v>2026-05-25</v>
      </c>
      <c r="Y230" s="1" t="s">
        <v>16</v>
      </c>
      <c r="Z230" s="1" t="s">
        <v>214</v>
      </c>
      <c r="AA230" s="1" t="s">
        <v>1209</v>
      </c>
      <c r="AB230" s="1" t="s">
        <v>1209</v>
      </c>
      <c r="AC230" s="1" t="s">
        <v>212</v>
      </c>
      <c r="AD230" s="1" t="s">
        <v>134</v>
      </c>
      <c r="AE230" s="1" t="s">
        <v>1281</v>
      </c>
      <c r="AF230" s="4">
        <v>46160</v>
      </c>
      <c r="AG230" s="5">
        <v>0.73958333333333337</v>
      </c>
      <c r="AH230" s="1" t="s">
        <v>68</v>
      </c>
      <c r="AI230" s="1" t="s">
        <v>1280</v>
      </c>
      <c r="AJ230" s="4">
        <v>46172</v>
      </c>
      <c r="AK230" s="5">
        <v>0.38541666666666669</v>
      </c>
      <c r="AL230" s="1" t="s">
        <v>215</v>
      </c>
      <c r="AM230" s="1"/>
    </row>
    <row r="231" spans="1:39" x14ac:dyDescent="0.3">
      <c r="A231" s="1">
        <v>788306</v>
      </c>
      <c r="B231" s="1">
        <v>659150</v>
      </c>
      <c r="C231" s="1" t="s">
        <v>1189</v>
      </c>
      <c r="D231" s="38" t="s">
        <v>1750</v>
      </c>
      <c r="E231" s="4">
        <v>28309</v>
      </c>
      <c r="F231" s="1">
        <v>48</v>
      </c>
      <c r="G231" s="1" t="s">
        <v>212</v>
      </c>
      <c r="H231" s="1" t="s">
        <v>1502</v>
      </c>
      <c r="I231" s="1" t="s">
        <v>1502</v>
      </c>
      <c r="J231" s="1">
        <v>8530</v>
      </c>
      <c r="K231" s="1" t="s">
        <v>83</v>
      </c>
      <c r="L231" s="1" t="s">
        <v>19</v>
      </c>
      <c r="M231" s="1" t="s">
        <v>13</v>
      </c>
      <c r="N231" s="1" t="s">
        <v>5</v>
      </c>
      <c r="O231" s="1" t="s">
        <v>216</v>
      </c>
      <c r="P231" s="1" t="s">
        <v>53</v>
      </c>
      <c r="Q231" s="1" t="s">
        <v>19</v>
      </c>
      <c r="R231" s="1" t="s">
        <v>8</v>
      </c>
      <c r="S231" s="1" t="s">
        <v>15</v>
      </c>
      <c r="T231" s="1" t="s">
        <v>53</v>
      </c>
      <c r="U231" s="1" t="s">
        <v>8</v>
      </c>
      <c r="V231" s="1" t="str">
        <f>IF(pilgrims[[#This Row],[packages.second_hotel_name]]="",pilgrims[[#This Row],[packages.first_hotel_name]],pilgrims[[#This Row],[packages.second_hotel_name]])</f>
        <v>Swissotel Al Maqam Makkah</v>
      </c>
      <c r="W231" s="1" t="str">
        <f>IF(pilgrims[[#This Row],[packages.second_hotel_name]]="",pilgrims[[#This Row],[packages.first_hotel_check_in]],pilgrims[[#This Row],[packages.second_hotel_check_in]])</f>
        <v>2026-05-21</v>
      </c>
      <c r="X231" s="1" t="str">
        <f>IF(pilgrims[[#This Row],[packages.second_hotel_name]]="",pilgrims[[#This Row],[packages.first_hotel_check_out]],pilgrims[[#This Row],[packages.second_hotel_check_out]])</f>
        <v>2026-05-25</v>
      </c>
      <c r="Y231" s="1" t="s">
        <v>16</v>
      </c>
      <c r="Z231" s="1" t="s">
        <v>214</v>
      </c>
      <c r="AA231" s="1" t="s">
        <v>1207</v>
      </c>
      <c r="AB231" s="1" t="s">
        <v>1207</v>
      </c>
      <c r="AC231" s="1" t="s">
        <v>212</v>
      </c>
      <c r="AD231" s="1" t="s">
        <v>135</v>
      </c>
      <c r="AE231" s="1" t="s">
        <v>1281</v>
      </c>
      <c r="AF231" s="4">
        <v>46160</v>
      </c>
      <c r="AG231" s="5">
        <v>0.89236111111111116</v>
      </c>
      <c r="AH231" s="1" t="s">
        <v>68</v>
      </c>
      <c r="AI231" s="1" t="s">
        <v>1280</v>
      </c>
      <c r="AJ231" s="4">
        <v>46172</v>
      </c>
      <c r="AK231" s="5">
        <v>0.38541666666666669</v>
      </c>
      <c r="AL231" s="1" t="s">
        <v>215</v>
      </c>
      <c r="AM231" s="1"/>
    </row>
    <row r="232" spans="1:39" x14ac:dyDescent="0.3">
      <c r="A232" s="1">
        <v>128717</v>
      </c>
      <c r="B232" s="1">
        <v>98851</v>
      </c>
      <c r="C232" s="1" t="s">
        <v>1189</v>
      </c>
      <c r="D232" s="38" t="s">
        <v>1751</v>
      </c>
      <c r="E232" s="4">
        <v>27539</v>
      </c>
      <c r="F232" s="1">
        <v>50</v>
      </c>
      <c r="G232" s="1" t="s">
        <v>212</v>
      </c>
      <c r="H232" s="1" t="s">
        <v>1501</v>
      </c>
      <c r="I232" s="1" t="s">
        <v>1501</v>
      </c>
      <c r="J232" s="1">
        <v>8540</v>
      </c>
      <c r="K232" s="1" t="s">
        <v>78</v>
      </c>
      <c r="L232" s="1" t="s">
        <v>8</v>
      </c>
      <c r="M232" s="1" t="s">
        <v>13</v>
      </c>
      <c r="N232" s="1" t="s">
        <v>5</v>
      </c>
      <c r="O232" s="1" t="s">
        <v>216</v>
      </c>
      <c r="P232" s="1" t="s">
        <v>53</v>
      </c>
      <c r="Q232" s="1" t="s">
        <v>8</v>
      </c>
      <c r="R232" s="1" t="s">
        <v>11</v>
      </c>
      <c r="S232" s="1"/>
      <c r="T232" s="1"/>
      <c r="U232" s="1"/>
      <c r="V232" s="1" t="str">
        <f>IF(pilgrims[[#This Row],[packages.second_hotel_name]]="",pilgrims[[#This Row],[packages.first_hotel_name]],pilgrims[[#This Row],[packages.second_hotel_name]])</f>
        <v>Movenpick Anwar Almadinah Hotel</v>
      </c>
      <c r="W232" s="1" t="str">
        <f>IF(pilgrims[[#This Row],[packages.second_hotel_name]]="",pilgrims[[#This Row],[packages.first_hotel_check_in]],pilgrims[[#This Row],[packages.second_hotel_check_in]])</f>
        <v>2026-05-21</v>
      </c>
      <c r="X232" s="1" t="str">
        <f>IF(pilgrims[[#This Row],[packages.second_hotel_name]]="",pilgrims[[#This Row],[packages.first_hotel_check_out]],pilgrims[[#This Row],[packages.second_hotel_check_out]])</f>
        <v>2026-05-24</v>
      </c>
      <c r="Y232" s="1"/>
      <c r="Z232" s="1" t="s">
        <v>261</v>
      </c>
      <c r="AA232" s="1" t="s">
        <v>597</v>
      </c>
      <c r="AB232" s="1" t="s">
        <v>1370</v>
      </c>
      <c r="AC232" s="1" t="s">
        <v>598</v>
      </c>
      <c r="AD232" s="1" t="s">
        <v>1371</v>
      </c>
      <c r="AE232" s="1" t="s">
        <v>1281</v>
      </c>
      <c r="AF232" s="4">
        <v>46163</v>
      </c>
      <c r="AG232" s="5">
        <v>0.18402777777777779</v>
      </c>
      <c r="AH232" s="1" t="s">
        <v>1372</v>
      </c>
      <c r="AI232" s="1" t="s">
        <v>1280</v>
      </c>
      <c r="AJ232" s="4">
        <v>46173</v>
      </c>
      <c r="AK232" s="5">
        <v>6.25E-2</v>
      </c>
      <c r="AL232" s="1" t="s">
        <v>215</v>
      </c>
      <c r="AM232" s="1"/>
    </row>
    <row r="233" spans="1:39" x14ac:dyDescent="0.3">
      <c r="A233" s="1">
        <v>815030</v>
      </c>
      <c r="B233" s="1">
        <v>659150</v>
      </c>
      <c r="C233" s="1" t="s">
        <v>1188</v>
      </c>
      <c r="D233" s="38" t="s">
        <v>1752</v>
      </c>
      <c r="E233" s="4">
        <v>28385</v>
      </c>
      <c r="F233" s="1">
        <v>48</v>
      </c>
      <c r="G233" s="1" t="s">
        <v>212</v>
      </c>
      <c r="H233" s="1" t="s">
        <v>1502</v>
      </c>
      <c r="I233" s="1" t="s">
        <v>1502</v>
      </c>
      <c r="J233" s="1">
        <v>8530</v>
      </c>
      <c r="K233" s="1" t="s">
        <v>83</v>
      </c>
      <c r="L233" s="1" t="s">
        <v>19</v>
      </c>
      <c r="M233" s="1" t="s">
        <v>13</v>
      </c>
      <c r="N233" s="1" t="s">
        <v>5</v>
      </c>
      <c r="O233" s="1" t="s">
        <v>216</v>
      </c>
      <c r="P233" s="1" t="s">
        <v>53</v>
      </c>
      <c r="Q233" s="1" t="s">
        <v>19</v>
      </c>
      <c r="R233" s="1" t="s">
        <v>8</v>
      </c>
      <c r="S233" s="1" t="s">
        <v>15</v>
      </c>
      <c r="T233" s="1" t="s">
        <v>53</v>
      </c>
      <c r="U233" s="1" t="s">
        <v>8</v>
      </c>
      <c r="V233" s="1" t="str">
        <f>IF(pilgrims[[#This Row],[packages.second_hotel_name]]="",pilgrims[[#This Row],[packages.first_hotel_name]],pilgrims[[#This Row],[packages.second_hotel_name]])</f>
        <v>Swissotel Al Maqam Makkah</v>
      </c>
      <c r="W233" s="1" t="str">
        <f>IF(pilgrims[[#This Row],[packages.second_hotel_name]]="",pilgrims[[#This Row],[packages.first_hotel_check_in]],pilgrims[[#This Row],[packages.second_hotel_check_in]])</f>
        <v>2026-05-21</v>
      </c>
      <c r="X233" s="1" t="str">
        <f>IF(pilgrims[[#This Row],[packages.second_hotel_name]]="",pilgrims[[#This Row],[packages.first_hotel_check_out]],pilgrims[[#This Row],[packages.second_hotel_check_out]])</f>
        <v>2026-05-25</v>
      </c>
      <c r="Y233" s="1" t="s">
        <v>16</v>
      </c>
      <c r="Z233" s="1" t="s">
        <v>214</v>
      </c>
      <c r="AA233" s="1" t="s">
        <v>1207</v>
      </c>
      <c r="AB233" s="1" t="s">
        <v>1207</v>
      </c>
      <c r="AC233" s="1" t="s">
        <v>212</v>
      </c>
      <c r="AD233" s="1" t="s">
        <v>135</v>
      </c>
      <c r="AE233" s="1" t="s">
        <v>1281</v>
      </c>
      <c r="AF233" s="4">
        <v>46160</v>
      </c>
      <c r="AG233" s="5">
        <v>0.89236111111111116</v>
      </c>
      <c r="AH233" s="1" t="s">
        <v>68</v>
      </c>
      <c r="AI233" s="1" t="s">
        <v>1280</v>
      </c>
      <c r="AJ233" s="4">
        <v>46172</v>
      </c>
      <c r="AK233" s="5">
        <v>0.38541666666666669</v>
      </c>
      <c r="AL233" s="1" t="s">
        <v>215</v>
      </c>
      <c r="AM233" s="1"/>
    </row>
    <row r="234" spans="1:39" x14ac:dyDescent="0.3">
      <c r="A234" s="1">
        <v>812569</v>
      </c>
      <c r="B234" s="1">
        <v>657172</v>
      </c>
      <c r="C234" s="1" t="s">
        <v>1188</v>
      </c>
      <c r="D234" s="38" t="s">
        <v>1753</v>
      </c>
      <c r="E234" s="4">
        <v>33520</v>
      </c>
      <c r="F234" s="1">
        <v>34</v>
      </c>
      <c r="G234" s="1" t="s">
        <v>212</v>
      </c>
      <c r="H234" s="1" t="s">
        <v>1503</v>
      </c>
      <c r="I234" s="1" t="s">
        <v>1503</v>
      </c>
      <c r="J234" s="1">
        <v>8540</v>
      </c>
      <c r="K234" s="1" t="s">
        <v>78</v>
      </c>
      <c r="L234" s="1" t="s">
        <v>8</v>
      </c>
      <c r="M234" s="1" t="s">
        <v>13</v>
      </c>
      <c r="N234" s="1" t="s">
        <v>5</v>
      </c>
      <c r="O234" s="1" t="s">
        <v>216</v>
      </c>
      <c r="P234" s="1" t="s">
        <v>53</v>
      </c>
      <c r="Q234" s="1" t="s">
        <v>8</v>
      </c>
      <c r="R234" s="1" t="s">
        <v>11</v>
      </c>
      <c r="S234" s="1"/>
      <c r="T234" s="1"/>
      <c r="U234" s="1"/>
      <c r="V234" s="1" t="str">
        <f>IF(pilgrims[[#This Row],[packages.second_hotel_name]]="",pilgrims[[#This Row],[packages.first_hotel_name]],pilgrims[[#This Row],[packages.second_hotel_name]])</f>
        <v>Movenpick Anwar Almadinah Hotel</v>
      </c>
      <c r="W234" s="1" t="str">
        <f>IF(pilgrims[[#This Row],[packages.second_hotel_name]]="",pilgrims[[#This Row],[packages.first_hotel_check_in]],pilgrims[[#This Row],[packages.second_hotel_check_in]])</f>
        <v>2026-05-21</v>
      </c>
      <c r="X234" s="1" t="str">
        <f>IF(pilgrims[[#This Row],[packages.second_hotel_name]]="",pilgrims[[#This Row],[packages.first_hotel_check_out]],pilgrims[[#This Row],[packages.second_hotel_check_out]])</f>
        <v>2026-05-24</v>
      </c>
      <c r="Y234" s="1"/>
      <c r="Z234" s="1" t="s">
        <v>214</v>
      </c>
      <c r="AA234" s="1" t="s">
        <v>1205</v>
      </c>
      <c r="AB234" s="1" t="s">
        <v>1205</v>
      </c>
      <c r="AC234" s="1" t="s">
        <v>212</v>
      </c>
      <c r="AD234" s="1" t="s">
        <v>136</v>
      </c>
      <c r="AE234" s="1" t="s">
        <v>1281</v>
      </c>
      <c r="AF234" s="4">
        <v>46163</v>
      </c>
      <c r="AG234" s="5">
        <v>0.1076388888888889</v>
      </c>
      <c r="AH234" s="1" t="s">
        <v>1221</v>
      </c>
      <c r="AI234" s="1" t="s">
        <v>1280</v>
      </c>
      <c r="AJ234" s="4">
        <v>46172</v>
      </c>
      <c r="AK234" s="5">
        <v>0.34027777777777779</v>
      </c>
      <c r="AL234" s="1" t="s">
        <v>215</v>
      </c>
      <c r="AM234" s="1"/>
    </row>
    <row r="235" spans="1:39" x14ac:dyDescent="0.3">
      <c r="A235" s="1">
        <v>549047</v>
      </c>
      <c r="B235" s="1">
        <v>435987</v>
      </c>
      <c r="C235" s="1" t="s">
        <v>1188</v>
      </c>
      <c r="D235" s="38" t="s">
        <v>1754</v>
      </c>
      <c r="E235" s="4">
        <v>36074</v>
      </c>
      <c r="F235" s="1">
        <v>27</v>
      </c>
      <c r="G235" s="1" t="s">
        <v>212</v>
      </c>
      <c r="H235" s="1" t="s">
        <v>1501</v>
      </c>
      <c r="I235" s="1" t="s">
        <v>1501</v>
      </c>
      <c r="J235" s="1">
        <v>8530</v>
      </c>
      <c r="K235" s="1" t="s">
        <v>83</v>
      </c>
      <c r="L235" s="1" t="s">
        <v>19</v>
      </c>
      <c r="M235" s="1" t="s">
        <v>13</v>
      </c>
      <c r="N235" s="1" t="s">
        <v>5</v>
      </c>
      <c r="O235" s="1" t="s">
        <v>216</v>
      </c>
      <c r="P235" s="1" t="s">
        <v>53</v>
      </c>
      <c r="Q235" s="1" t="s">
        <v>19</v>
      </c>
      <c r="R235" s="1" t="s">
        <v>8</v>
      </c>
      <c r="S235" s="1" t="s">
        <v>15</v>
      </c>
      <c r="T235" s="1" t="s">
        <v>53</v>
      </c>
      <c r="U235" s="1" t="s">
        <v>8</v>
      </c>
      <c r="V235" s="1" t="str">
        <f>IF(pilgrims[[#This Row],[packages.second_hotel_name]]="",pilgrims[[#This Row],[packages.first_hotel_name]],pilgrims[[#This Row],[packages.second_hotel_name]])</f>
        <v>Swissotel Al Maqam Makkah</v>
      </c>
      <c r="W235" s="1" t="str">
        <f>IF(pilgrims[[#This Row],[packages.second_hotel_name]]="",pilgrims[[#This Row],[packages.first_hotel_check_in]],pilgrims[[#This Row],[packages.second_hotel_check_in]])</f>
        <v>2026-05-21</v>
      </c>
      <c r="X235" s="1" t="str">
        <f>IF(pilgrims[[#This Row],[packages.second_hotel_name]]="",pilgrims[[#This Row],[packages.first_hotel_check_out]],pilgrims[[#This Row],[packages.second_hotel_check_out]])</f>
        <v>2026-05-25</v>
      </c>
      <c r="Y235" s="1" t="s">
        <v>16</v>
      </c>
      <c r="Z235" s="1" t="s">
        <v>214</v>
      </c>
      <c r="AA235" s="1" t="s">
        <v>1193</v>
      </c>
      <c r="AB235" s="1" t="s">
        <v>1193</v>
      </c>
      <c r="AC235" s="1" t="s">
        <v>212</v>
      </c>
      <c r="AD235" s="1" t="s">
        <v>134</v>
      </c>
      <c r="AE235" s="1" t="s">
        <v>1281</v>
      </c>
      <c r="AF235" s="4">
        <v>46160</v>
      </c>
      <c r="AG235" s="5">
        <v>0.73958333333333337</v>
      </c>
      <c r="AH235" s="1" t="s">
        <v>63</v>
      </c>
      <c r="AI235" s="1" t="s">
        <v>1280</v>
      </c>
      <c r="AJ235" s="4">
        <v>46172</v>
      </c>
      <c r="AK235" s="5">
        <v>0.35069444444444442</v>
      </c>
      <c r="AL235" s="1" t="s">
        <v>215</v>
      </c>
      <c r="AM235" s="1"/>
    </row>
    <row r="236" spans="1:39" x14ac:dyDescent="0.3">
      <c r="A236" s="1">
        <v>786761</v>
      </c>
      <c r="B236" s="1">
        <v>637209</v>
      </c>
      <c r="C236" s="1" t="s">
        <v>1189</v>
      </c>
      <c r="D236" s="38" t="s">
        <v>1755</v>
      </c>
      <c r="E236" s="4">
        <v>23464</v>
      </c>
      <c r="F236" s="1">
        <v>61</v>
      </c>
      <c r="G236" s="1" t="s">
        <v>212</v>
      </c>
      <c r="H236" s="1" t="s">
        <v>1501</v>
      </c>
      <c r="I236" s="1" t="s">
        <v>1501</v>
      </c>
      <c r="J236" s="1">
        <v>8537</v>
      </c>
      <c r="K236" s="1" t="s">
        <v>87</v>
      </c>
      <c r="L236" s="1" t="s">
        <v>8</v>
      </c>
      <c r="M236" s="1" t="s">
        <v>4</v>
      </c>
      <c r="N236" s="1" t="s">
        <v>21</v>
      </c>
      <c r="O236" s="1" t="s">
        <v>216</v>
      </c>
      <c r="P236" s="1" t="s">
        <v>53</v>
      </c>
      <c r="Q236" s="1" t="s">
        <v>8</v>
      </c>
      <c r="R236" s="1" t="s">
        <v>16</v>
      </c>
      <c r="S236" s="1" t="s">
        <v>5</v>
      </c>
      <c r="T236" s="1" t="s">
        <v>53</v>
      </c>
      <c r="U236" s="1" t="s">
        <v>6</v>
      </c>
      <c r="V236" s="1" t="str">
        <f>IF(pilgrims[[#This Row],[packages.second_hotel_name]]="",pilgrims[[#This Row],[packages.first_hotel_name]],pilgrims[[#This Row],[packages.second_hotel_name]])</f>
        <v>Movenpick Anwar Almadinah Hotel</v>
      </c>
      <c r="W236" s="1" t="str">
        <f>IF(pilgrims[[#This Row],[packages.second_hotel_name]]="",pilgrims[[#This Row],[packages.first_hotel_check_in]],pilgrims[[#This Row],[packages.second_hotel_check_in]])</f>
        <v>2026-05-30</v>
      </c>
      <c r="X236" s="1" t="str">
        <f>IF(pilgrims[[#This Row],[packages.second_hotel_name]]="",pilgrims[[#This Row],[packages.first_hotel_check_out]],pilgrims[[#This Row],[packages.second_hotel_check_out]])</f>
        <v>2026-06-02</v>
      </c>
      <c r="Y236" s="1" t="s">
        <v>4</v>
      </c>
      <c r="Z236" s="1" t="s">
        <v>261</v>
      </c>
      <c r="AA236" s="1" t="s">
        <v>606</v>
      </c>
      <c r="AB236" s="1" t="s">
        <v>1333</v>
      </c>
      <c r="AC236" s="1" t="s">
        <v>607</v>
      </c>
      <c r="AD236" s="1" t="s">
        <v>1334</v>
      </c>
      <c r="AE236" s="1" t="s">
        <v>1280</v>
      </c>
      <c r="AF236" s="4">
        <v>46163</v>
      </c>
      <c r="AG236" s="5">
        <v>0.15277777777777779</v>
      </c>
      <c r="AH236" s="1" t="s">
        <v>1335</v>
      </c>
      <c r="AI236" s="1" t="s">
        <v>1281</v>
      </c>
      <c r="AJ236" s="4">
        <v>46175</v>
      </c>
      <c r="AK236" s="5">
        <v>3.8194444444444448E-2</v>
      </c>
      <c r="AL236" s="1" t="s">
        <v>215</v>
      </c>
      <c r="AM236" s="1"/>
    </row>
    <row r="237" spans="1:39" x14ac:dyDescent="0.3">
      <c r="A237" s="1">
        <v>602354</v>
      </c>
      <c r="B237" s="1">
        <v>435987</v>
      </c>
      <c r="C237" s="1" t="s">
        <v>1189</v>
      </c>
      <c r="D237" s="38" t="s">
        <v>1756</v>
      </c>
      <c r="E237" s="4">
        <v>37741</v>
      </c>
      <c r="F237" s="1">
        <v>22</v>
      </c>
      <c r="G237" s="1" t="s">
        <v>212</v>
      </c>
      <c r="H237" s="1" t="s">
        <v>1501</v>
      </c>
      <c r="I237" s="1" t="s">
        <v>1501</v>
      </c>
      <c r="J237" s="1">
        <v>8530</v>
      </c>
      <c r="K237" s="1" t="s">
        <v>83</v>
      </c>
      <c r="L237" s="1" t="s">
        <v>19</v>
      </c>
      <c r="M237" s="1" t="s">
        <v>13</v>
      </c>
      <c r="N237" s="1" t="s">
        <v>5</v>
      </c>
      <c r="O237" s="1" t="s">
        <v>216</v>
      </c>
      <c r="P237" s="1" t="s">
        <v>53</v>
      </c>
      <c r="Q237" s="1" t="s">
        <v>19</v>
      </c>
      <c r="R237" s="1" t="s">
        <v>8</v>
      </c>
      <c r="S237" s="1" t="s">
        <v>15</v>
      </c>
      <c r="T237" s="1" t="s">
        <v>53</v>
      </c>
      <c r="U237" s="1" t="s">
        <v>8</v>
      </c>
      <c r="V237" s="1" t="str">
        <f>IF(pilgrims[[#This Row],[packages.second_hotel_name]]="",pilgrims[[#This Row],[packages.first_hotel_name]],pilgrims[[#This Row],[packages.second_hotel_name]])</f>
        <v>Swissotel Al Maqam Makkah</v>
      </c>
      <c r="W237" s="1" t="str">
        <f>IF(pilgrims[[#This Row],[packages.second_hotel_name]]="",pilgrims[[#This Row],[packages.first_hotel_check_in]],pilgrims[[#This Row],[packages.second_hotel_check_in]])</f>
        <v>2026-05-21</v>
      </c>
      <c r="X237" s="1" t="str">
        <f>IF(pilgrims[[#This Row],[packages.second_hotel_name]]="",pilgrims[[#This Row],[packages.first_hotel_check_out]],pilgrims[[#This Row],[packages.second_hotel_check_out]])</f>
        <v>2026-05-25</v>
      </c>
      <c r="Y237" s="1" t="s">
        <v>16</v>
      </c>
      <c r="Z237" s="1" t="s">
        <v>214</v>
      </c>
      <c r="AA237" s="1" t="s">
        <v>1193</v>
      </c>
      <c r="AB237" s="1" t="s">
        <v>1193</v>
      </c>
      <c r="AC237" s="1" t="s">
        <v>212</v>
      </c>
      <c r="AD237" s="1" t="s">
        <v>134</v>
      </c>
      <c r="AE237" s="1" t="s">
        <v>1281</v>
      </c>
      <c r="AF237" s="4">
        <v>46160</v>
      </c>
      <c r="AG237" s="5">
        <v>0.73958333333333337</v>
      </c>
      <c r="AH237" s="1" t="s">
        <v>63</v>
      </c>
      <c r="AI237" s="1" t="s">
        <v>1280</v>
      </c>
      <c r="AJ237" s="4">
        <v>46172</v>
      </c>
      <c r="AK237" s="5">
        <v>0.35069444444444442</v>
      </c>
      <c r="AL237" s="1" t="s">
        <v>215</v>
      </c>
      <c r="AM237" s="1"/>
    </row>
    <row r="238" spans="1:39" x14ac:dyDescent="0.3">
      <c r="A238" s="1">
        <v>876970</v>
      </c>
      <c r="B238" s="1">
        <v>637209</v>
      </c>
      <c r="C238" s="1" t="s">
        <v>1188</v>
      </c>
      <c r="D238" s="38" t="s">
        <v>1757</v>
      </c>
      <c r="E238" s="4">
        <v>19120</v>
      </c>
      <c r="F238" s="1">
        <v>73</v>
      </c>
      <c r="G238" s="1" t="s">
        <v>212</v>
      </c>
      <c r="H238" s="1" t="s">
        <v>1501</v>
      </c>
      <c r="I238" s="1" t="s">
        <v>1501</v>
      </c>
      <c r="J238" s="1">
        <v>8537</v>
      </c>
      <c r="K238" s="1" t="s">
        <v>87</v>
      </c>
      <c r="L238" s="1" t="s">
        <v>8</v>
      </c>
      <c r="M238" s="1" t="s">
        <v>4</v>
      </c>
      <c r="N238" s="1" t="s">
        <v>21</v>
      </c>
      <c r="O238" s="1" t="s">
        <v>216</v>
      </c>
      <c r="P238" s="1" t="s">
        <v>53</v>
      </c>
      <c r="Q238" s="1" t="s">
        <v>8</v>
      </c>
      <c r="R238" s="1" t="s">
        <v>16</v>
      </c>
      <c r="S238" s="1" t="s">
        <v>5</v>
      </c>
      <c r="T238" s="1" t="s">
        <v>53</v>
      </c>
      <c r="U238" s="1" t="s">
        <v>6</v>
      </c>
      <c r="V238" s="1" t="str">
        <f>IF(pilgrims[[#This Row],[packages.second_hotel_name]]="",pilgrims[[#This Row],[packages.first_hotel_name]],pilgrims[[#This Row],[packages.second_hotel_name]])</f>
        <v>Movenpick Anwar Almadinah Hotel</v>
      </c>
      <c r="W238" s="1" t="str">
        <f>IF(pilgrims[[#This Row],[packages.second_hotel_name]]="",pilgrims[[#This Row],[packages.first_hotel_check_in]],pilgrims[[#This Row],[packages.second_hotel_check_in]])</f>
        <v>2026-05-30</v>
      </c>
      <c r="X238" s="1" t="str">
        <f>IF(pilgrims[[#This Row],[packages.second_hotel_name]]="",pilgrims[[#This Row],[packages.first_hotel_check_out]],pilgrims[[#This Row],[packages.second_hotel_check_out]])</f>
        <v>2026-06-02</v>
      </c>
      <c r="Y238" s="1" t="s">
        <v>4</v>
      </c>
      <c r="Z238" s="1" t="s">
        <v>261</v>
      </c>
      <c r="AA238" s="1" t="s">
        <v>606</v>
      </c>
      <c r="AB238" s="1" t="s">
        <v>1333</v>
      </c>
      <c r="AC238" s="1" t="s">
        <v>607</v>
      </c>
      <c r="AD238" s="1" t="s">
        <v>1334</v>
      </c>
      <c r="AE238" s="1" t="s">
        <v>1280</v>
      </c>
      <c r="AF238" s="4">
        <v>46163</v>
      </c>
      <c r="AG238" s="5">
        <v>0.15277777777777779</v>
      </c>
      <c r="AH238" s="1" t="s">
        <v>1335</v>
      </c>
      <c r="AI238" s="1" t="s">
        <v>1281</v>
      </c>
      <c r="AJ238" s="4">
        <v>46175</v>
      </c>
      <c r="AK238" s="5">
        <v>3.8194444444444448E-2</v>
      </c>
      <c r="AL238" s="1" t="s">
        <v>215</v>
      </c>
      <c r="AM238" s="1"/>
    </row>
    <row r="239" spans="1:39" x14ac:dyDescent="0.3">
      <c r="A239" s="1">
        <v>355906</v>
      </c>
      <c r="B239" s="1">
        <v>280455</v>
      </c>
      <c r="C239" s="1" t="s">
        <v>1188</v>
      </c>
      <c r="D239" s="38" t="s">
        <v>1758</v>
      </c>
      <c r="E239" s="4">
        <v>28876</v>
      </c>
      <c r="F239" s="1">
        <v>47</v>
      </c>
      <c r="G239" s="1" t="s">
        <v>212</v>
      </c>
      <c r="H239" s="1" t="s">
        <v>1503</v>
      </c>
      <c r="I239" s="1" t="s">
        <v>1503</v>
      </c>
      <c r="J239" s="1">
        <v>8540</v>
      </c>
      <c r="K239" s="1" t="s">
        <v>78</v>
      </c>
      <c r="L239" s="1" t="s">
        <v>8</v>
      </c>
      <c r="M239" s="1" t="s">
        <v>13</v>
      </c>
      <c r="N239" s="1" t="s">
        <v>5</v>
      </c>
      <c r="O239" s="1" t="s">
        <v>216</v>
      </c>
      <c r="P239" s="1" t="s">
        <v>53</v>
      </c>
      <c r="Q239" s="1" t="s">
        <v>8</v>
      </c>
      <c r="R239" s="1" t="s">
        <v>11</v>
      </c>
      <c r="S239" s="1"/>
      <c r="T239" s="1"/>
      <c r="U239" s="1"/>
      <c r="V239" s="1" t="str">
        <f>IF(pilgrims[[#This Row],[packages.second_hotel_name]]="",pilgrims[[#This Row],[packages.first_hotel_name]],pilgrims[[#This Row],[packages.second_hotel_name]])</f>
        <v>Movenpick Anwar Almadinah Hotel</v>
      </c>
      <c r="W239" s="1" t="str">
        <f>IF(pilgrims[[#This Row],[packages.second_hotel_name]]="",pilgrims[[#This Row],[packages.first_hotel_check_in]],pilgrims[[#This Row],[packages.second_hotel_check_in]])</f>
        <v>2026-05-21</v>
      </c>
      <c r="X239" s="1" t="str">
        <f>IF(pilgrims[[#This Row],[packages.second_hotel_name]]="",pilgrims[[#This Row],[packages.first_hotel_check_out]],pilgrims[[#This Row],[packages.second_hotel_check_out]])</f>
        <v>2026-05-24</v>
      </c>
      <c r="Y239" s="1"/>
      <c r="Z239" s="1" t="s">
        <v>214</v>
      </c>
      <c r="AA239" s="1" t="s">
        <v>1205</v>
      </c>
      <c r="AB239" s="1" t="s">
        <v>1205</v>
      </c>
      <c r="AC239" s="1" t="s">
        <v>212</v>
      </c>
      <c r="AD239" s="1" t="s">
        <v>136</v>
      </c>
      <c r="AE239" s="1" t="s">
        <v>1281</v>
      </c>
      <c r="AF239" s="4">
        <v>46163</v>
      </c>
      <c r="AG239" s="5">
        <v>0.1076388888888889</v>
      </c>
      <c r="AH239" s="1" t="s">
        <v>1221</v>
      </c>
      <c r="AI239" s="1" t="s">
        <v>1280</v>
      </c>
      <c r="AJ239" s="4">
        <v>46172</v>
      </c>
      <c r="AK239" s="5">
        <v>0.34027777777777779</v>
      </c>
      <c r="AL239" s="1" t="s">
        <v>215</v>
      </c>
      <c r="AM239" s="1"/>
    </row>
    <row r="240" spans="1:39" x14ac:dyDescent="0.3">
      <c r="A240" s="1">
        <v>877004</v>
      </c>
      <c r="B240" s="1">
        <v>637209</v>
      </c>
      <c r="C240" s="1" t="s">
        <v>1189</v>
      </c>
      <c r="D240" s="38" t="s">
        <v>1759</v>
      </c>
      <c r="E240" s="4">
        <v>24543</v>
      </c>
      <c r="F240" s="1">
        <v>58</v>
      </c>
      <c r="G240" s="1" t="s">
        <v>212</v>
      </c>
      <c r="H240" s="1" t="s">
        <v>1501</v>
      </c>
      <c r="I240" s="1" t="s">
        <v>1501</v>
      </c>
      <c r="J240" s="1">
        <v>8537</v>
      </c>
      <c r="K240" s="1" t="s">
        <v>87</v>
      </c>
      <c r="L240" s="1" t="s">
        <v>8</v>
      </c>
      <c r="M240" s="1" t="s">
        <v>4</v>
      </c>
      <c r="N240" s="1" t="s">
        <v>21</v>
      </c>
      <c r="O240" s="1" t="s">
        <v>216</v>
      </c>
      <c r="P240" s="1" t="s">
        <v>53</v>
      </c>
      <c r="Q240" s="1" t="s">
        <v>8</v>
      </c>
      <c r="R240" s="1" t="s">
        <v>16</v>
      </c>
      <c r="S240" s="1" t="s">
        <v>5</v>
      </c>
      <c r="T240" s="1" t="s">
        <v>53</v>
      </c>
      <c r="U240" s="1" t="s">
        <v>6</v>
      </c>
      <c r="V240" s="1" t="str">
        <f>IF(pilgrims[[#This Row],[packages.second_hotel_name]]="",pilgrims[[#This Row],[packages.first_hotel_name]],pilgrims[[#This Row],[packages.second_hotel_name]])</f>
        <v>Movenpick Anwar Almadinah Hotel</v>
      </c>
      <c r="W240" s="1" t="str">
        <f>IF(pilgrims[[#This Row],[packages.second_hotel_name]]="",pilgrims[[#This Row],[packages.first_hotel_check_in]],pilgrims[[#This Row],[packages.second_hotel_check_in]])</f>
        <v>2026-05-30</v>
      </c>
      <c r="X240" s="1" t="str">
        <f>IF(pilgrims[[#This Row],[packages.second_hotel_name]]="",pilgrims[[#This Row],[packages.first_hotel_check_out]],pilgrims[[#This Row],[packages.second_hotel_check_out]])</f>
        <v>2026-06-02</v>
      </c>
      <c r="Y240" s="1" t="s">
        <v>4</v>
      </c>
      <c r="Z240" s="1" t="s">
        <v>261</v>
      </c>
      <c r="AA240" s="1" t="s">
        <v>606</v>
      </c>
      <c r="AB240" s="1" t="s">
        <v>1333</v>
      </c>
      <c r="AC240" s="1" t="s">
        <v>607</v>
      </c>
      <c r="AD240" s="1" t="s">
        <v>1334</v>
      </c>
      <c r="AE240" s="1" t="s">
        <v>1280</v>
      </c>
      <c r="AF240" s="4">
        <v>46163</v>
      </c>
      <c r="AG240" s="5">
        <v>0.15277777777777779</v>
      </c>
      <c r="AH240" s="1" t="s">
        <v>1335</v>
      </c>
      <c r="AI240" s="1" t="s">
        <v>1281</v>
      </c>
      <c r="AJ240" s="4">
        <v>46175</v>
      </c>
      <c r="AK240" s="5">
        <v>3.8194444444444448E-2</v>
      </c>
      <c r="AL240" s="1" t="s">
        <v>215</v>
      </c>
      <c r="AM240" s="1"/>
    </row>
    <row r="241" spans="1:39" x14ac:dyDescent="0.3">
      <c r="A241" s="1">
        <v>779352</v>
      </c>
      <c r="B241" s="1">
        <v>280455</v>
      </c>
      <c r="C241" s="1" t="s">
        <v>1189</v>
      </c>
      <c r="D241" s="38" t="s">
        <v>1760</v>
      </c>
      <c r="E241" s="4">
        <v>29576</v>
      </c>
      <c r="F241" s="1">
        <v>45</v>
      </c>
      <c r="G241" s="1" t="s">
        <v>212</v>
      </c>
      <c r="H241" s="1" t="s">
        <v>1503</v>
      </c>
      <c r="I241" s="1" t="s">
        <v>1503</v>
      </c>
      <c r="J241" s="1">
        <v>8540</v>
      </c>
      <c r="K241" s="1" t="s">
        <v>78</v>
      </c>
      <c r="L241" s="1" t="s">
        <v>8</v>
      </c>
      <c r="M241" s="1" t="s">
        <v>13</v>
      </c>
      <c r="N241" s="1" t="s">
        <v>5</v>
      </c>
      <c r="O241" s="1" t="s">
        <v>216</v>
      </c>
      <c r="P241" s="1" t="s">
        <v>53</v>
      </c>
      <c r="Q241" s="1" t="s">
        <v>8</v>
      </c>
      <c r="R241" s="1" t="s">
        <v>11</v>
      </c>
      <c r="S241" s="1"/>
      <c r="T241" s="1"/>
      <c r="U241" s="1"/>
      <c r="V241" s="1" t="str">
        <f>IF(pilgrims[[#This Row],[packages.second_hotel_name]]="",pilgrims[[#This Row],[packages.first_hotel_name]],pilgrims[[#This Row],[packages.second_hotel_name]])</f>
        <v>Movenpick Anwar Almadinah Hotel</v>
      </c>
      <c r="W241" s="1" t="str">
        <f>IF(pilgrims[[#This Row],[packages.second_hotel_name]]="",pilgrims[[#This Row],[packages.first_hotel_check_in]],pilgrims[[#This Row],[packages.second_hotel_check_in]])</f>
        <v>2026-05-21</v>
      </c>
      <c r="X241" s="1" t="str">
        <f>IF(pilgrims[[#This Row],[packages.second_hotel_name]]="",pilgrims[[#This Row],[packages.first_hotel_check_out]],pilgrims[[#This Row],[packages.second_hotel_check_out]])</f>
        <v>2026-05-24</v>
      </c>
      <c r="Y241" s="1"/>
      <c r="Z241" s="1" t="s">
        <v>214</v>
      </c>
      <c r="AA241" s="1" t="s">
        <v>1205</v>
      </c>
      <c r="AB241" s="1" t="s">
        <v>1205</v>
      </c>
      <c r="AC241" s="1" t="s">
        <v>212</v>
      </c>
      <c r="AD241" s="1" t="s">
        <v>136</v>
      </c>
      <c r="AE241" s="1" t="s">
        <v>1281</v>
      </c>
      <c r="AF241" s="4">
        <v>46163</v>
      </c>
      <c r="AG241" s="5">
        <v>0.1076388888888889</v>
      </c>
      <c r="AH241" s="1" t="s">
        <v>1221</v>
      </c>
      <c r="AI241" s="1" t="s">
        <v>1280</v>
      </c>
      <c r="AJ241" s="4">
        <v>46172</v>
      </c>
      <c r="AK241" s="5">
        <v>0.34027777777777779</v>
      </c>
      <c r="AL241" s="1" t="s">
        <v>215</v>
      </c>
      <c r="AM241" s="1"/>
    </row>
    <row r="242" spans="1:39" x14ac:dyDescent="0.3">
      <c r="A242" s="1">
        <v>76380</v>
      </c>
      <c r="B242" s="1">
        <v>62407</v>
      </c>
      <c r="C242" s="1" t="s">
        <v>1188</v>
      </c>
      <c r="D242" s="38" t="s">
        <v>1761</v>
      </c>
      <c r="E242" s="4">
        <v>29839</v>
      </c>
      <c r="F242" s="1">
        <v>44</v>
      </c>
      <c r="G242" s="1" t="s">
        <v>212</v>
      </c>
      <c r="H242" s="1" t="s">
        <v>1501</v>
      </c>
      <c r="I242" s="1" t="s">
        <v>1501</v>
      </c>
      <c r="J242" s="1">
        <v>8529</v>
      </c>
      <c r="K242" s="1" t="s">
        <v>82</v>
      </c>
      <c r="L242" s="1" t="s">
        <v>19</v>
      </c>
      <c r="M242" s="1" t="s">
        <v>13</v>
      </c>
      <c r="N242" s="1" t="s">
        <v>20</v>
      </c>
      <c r="O242" s="1" t="s">
        <v>216</v>
      </c>
      <c r="P242" s="1" t="s">
        <v>53</v>
      </c>
      <c r="Q242" s="1" t="s">
        <v>19</v>
      </c>
      <c r="R242" s="1" t="s">
        <v>8</v>
      </c>
      <c r="S242" s="1" t="s">
        <v>21</v>
      </c>
      <c r="T242" s="1" t="s">
        <v>53</v>
      </c>
      <c r="U242" s="1" t="s">
        <v>8</v>
      </c>
      <c r="V242" s="1" t="str">
        <f>IF(pilgrims[[#This Row],[packages.second_hotel_name]]="",pilgrims[[#This Row],[packages.first_hotel_name]],pilgrims[[#This Row],[packages.second_hotel_name]])</f>
        <v>Swissotel Makkah Hotel</v>
      </c>
      <c r="W242" s="1" t="str">
        <f>IF(pilgrims[[#This Row],[packages.second_hotel_name]]="",pilgrims[[#This Row],[packages.first_hotel_check_in]],pilgrims[[#This Row],[packages.second_hotel_check_in]])</f>
        <v>2026-05-21</v>
      </c>
      <c r="X242" s="1" t="str">
        <f>IF(pilgrims[[#This Row],[packages.second_hotel_name]]="",pilgrims[[#This Row],[packages.first_hotel_check_out]],pilgrims[[#This Row],[packages.second_hotel_check_out]])</f>
        <v>2026-05-25</v>
      </c>
      <c r="Y242" s="1" t="s">
        <v>16</v>
      </c>
      <c r="Z242" s="1" t="s">
        <v>214</v>
      </c>
      <c r="AA242" s="1" t="s">
        <v>1190</v>
      </c>
      <c r="AB242" s="1" t="s">
        <v>1190</v>
      </c>
      <c r="AC242" s="1" t="s">
        <v>212</v>
      </c>
      <c r="AD242" s="1" t="s">
        <v>133</v>
      </c>
      <c r="AE242" s="1" t="s">
        <v>1281</v>
      </c>
      <c r="AF242" s="4">
        <v>46160</v>
      </c>
      <c r="AG242" s="5">
        <v>0.3923611111111111</v>
      </c>
      <c r="AH242" s="1" t="s">
        <v>60</v>
      </c>
      <c r="AI242" s="1" t="s">
        <v>1280</v>
      </c>
      <c r="AJ242" s="4">
        <v>46173</v>
      </c>
      <c r="AK242" s="5">
        <v>0.12847222222222221</v>
      </c>
      <c r="AL242" s="1" t="s">
        <v>215</v>
      </c>
      <c r="AM242" s="1" t="b">
        <v>1</v>
      </c>
    </row>
    <row r="243" spans="1:39" x14ac:dyDescent="0.3">
      <c r="A243" s="1">
        <v>548760</v>
      </c>
      <c r="B243" s="1">
        <v>435740</v>
      </c>
      <c r="C243" s="1" t="s">
        <v>1188</v>
      </c>
      <c r="D243" s="38" t="s">
        <v>1762</v>
      </c>
      <c r="E243" s="4">
        <v>30578</v>
      </c>
      <c r="F243" s="1">
        <v>42</v>
      </c>
      <c r="G243" s="1" t="s">
        <v>212</v>
      </c>
      <c r="H243" s="1" t="s">
        <v>1501</v>
      </c>
      <c r="I243" s="1" t="s">
        <v>1501</v>
      </c>
      <c r="J243" s="1">
        <v>8530</v>
      </c>
      <c r="K243" s="1" t="s">
        <v>83</v>
      </c>
      <c r="L243" s="1" t="s">
        <v>19</v>
      </c>
      <c r="M243" s="1" t="s">
        <v>13</v>
      </c>
      <c r="N243" s="1" t="s">
        <v>5</v>
      </c>
      <c r="O243" s="1" t="s">
        <v>216</v>
      </c>
      <c r="P243" s="1" t="s">
        <v>53</v>
      </c>
      <c r="Q243" s="1" t="s">
        <v>19</v>
      </c>
      <c r="R243" s="1" t="s">
        <v>8</v>
      </c>
      <c r="S243" s="1" t="s">
        <v>15</v>
      </c>
      <c r="T243" s="1" t="s">
        <v>53</v>
      </c>
      <c r="U243" s="1" t="s">
        <v>8</v>
      </c>
      <c r="V243" s="1" t="str">
        <f>IF(pilgrims[[#This Row],[packages.second_hotel_name]]="",pilgrims[[#This Row],[packages.first_hotel_name]],pilgrims[[#This Row],[packages.second_hotel_name]])</f>
        <v>Swissotel Al Maqam Makkah</v>
      </c>
      <c r="W243" s="1" t="str">
        <f>IF(pilgrims[[#This Row],[packages.second_hotel_name]]="",pilgrims[[#This Row],[packages.first_hotel_check_in]],pilgrims[[#This Row],[packages.second_hotel_check_in]])</f>
        <v>2026-05-21</v>
      </c>
      <c r="X243" s="1" t="str">
        <f>IF(pilgrims[[#This Row],[packages.second_hotel_name]]="",pilgrims[[#This Row],[packages.first_hotel_check_out]],pilgrims[[#This Row],[packages.second_hotel_check_out]])</f>
        <v>2026-05-25</v>
      </c>
      <c r="Y243" s="1" t="s">
        <v>16</v>
      </c>
      <c r="Z243" s="1" t="s">
        <v>214</v>
      </c>
      <c r="AA243" s="1" t="s">
        <v>1194</v>
      </c>
      <c r="AB243" s="1" t="s">
        <v>1194</v>
      </c>
      <c r="AC243" s="1" t="s">
        <v>212</v>
      </c>
      <c r="AD243" s="1" t="s">
        <v>137</v>
      </c>
      <c r="AE243" s="1" t="s">
        <v>1281</v>
      </c>
      <c r="AF243" s="4">
        <v>46161</v>
      </c>
      <c r="AG243" s="5">
        <v>0.87847222222222221</v>
      </c>
      <c r="AH243" s="1" t="s">
        <v>63</v>
      </c>
      <c r="AI243" s="1" t="s">
        <v>1280</v>
      </c>
      <c r="AJ243" s="4">
        <v>46173</v>
      </c>
      <c r="AK243" s="5">
        <v>0.3923611111111111</v>
      </c>
      <c r="AL243" s="1" t="s">
        <v>215</v>
      </c>
      <c r="AM243" s="1"/>
    </row>
    <row r="244" spans="1:39" x14ac:dyDescent="0.3">
      <c r="A244" s="1">
        <v>609079</v>
      </c>
      <c r="B244" s="1">
        <v>435740</v>
      </c>
      <c r="C244" s="1" t="s">
        <v>1189</v>
      </c>
      <c r="D244" s="38" t="s">
        <v>1763</v>
      </c>
      <c r="E244" s="4">
        <v>32747</v>
      </c>
      <c r="F244" s="1">
        <v>36</v>
      </c>
      <c r="G244" s="1" t="s">
        <v>212</v>
      </c>
      <c r="H244" s="1" t="s">
        <v>1501</v>
      </c>
      <c r="I244" s="1" t="s">
        <v>1501</v>
      </c>
      <c r="J244" s="1">
        <v>8530</v>
      </c>
      <c r="K244" s="1" t="s">
        <v>83</v>
      </c>
      <c r="L244" s="1" t="s">
        <v>19</v>
      </c>
      <c r="M244" s="1" t="s">
        <v>13</v>
      </c>
      <c r="N244" s="1" t="s">
        <v>5</v>
      </c>
      <c r="O244" s="1" t="s">
        <v>216</v>
      </c>
      <c r="P244" s="1" t="s">
        <v>53</v>
      </c>
      <c r="Q244" s="1" t="s">
        <v>19</v>
      </c>
      <c r="R244" s="1" t="s">
        <v>8</v>
      </c>
      <c r="S244" s="1" t="s">
        <v>15</v>
      </c>
      <c r="T244" s="1" t="s">
        <v>53</v>
      </c>
      <c r="U244" s="1" t="s">
        <v>8</v>
      </c>
      <c r="V244" s="1" t="str">
        <f>IF(pilgrims[[#This Row],[packages.second_hotel_name]]="",pilgrims[[#This Row],[packages.first_hotel_name]],pilgrims[[#This Row],[packages.second_hotel_name]])</f>
        <v>Swissotel Al Maqam Makkah</v>
      </c>
      <c r="W244" s="1" t="str">
        <f>IF(pilgrims[[#This Row],[packages.second_hotel_name]]="",pilgrims[[#This Row],[packages.first_hotel_check_in]],pilgrims[[#This Row],[packages.second_hotel_check_in]])</f>
        <v>2026-05-21</v>
      </c>
      <c r="X244" s="1" t="str">
        <f>IF(pilgrims[[#This Row],[packages.second_hotel_name]]="",pilgrims[[#This Row],[packages.first_hotel_check_out]],pilgrims[[#This Row],[packages.second_hotel_check_out]])</f>
        <v>2026-05-25</v>
      </c>
      <c r="Y244" s="1" t="s">
        <v>16</v>
      </c>
      <c r="Z244" s="1" t="s">
        <v>214</v>
      </c>
      <c r="AA244" s="1" t="s">
        <v>1194</v>
      </c>
      <c r="AB244" s="1" t="s">
        <v>1194</v>
      </c>
      <c r="AC244" s="1" t="s">
        <v>212</v>
      </c>
      <c r="AD244" s="1" t="s">
        <v>137</v>
      </c>
      <c r="AE244" s="1" t="s">
        <v>1281</v>
      </c>
      <c r="AF244" s="4">
        <v>46161</v>
      </c>
      <c r="AG244" s="5">
        <v>0.87847222222222221</v>
      </c>
      <c r="AH244" s="1" t="s">
        <v>63</v>
      </c>
      <c r="AI244" s="1" t="s">
        <v>1280</v>
      </c>
      <c r="AJ244" s="4">
        <v>46173</v>
      </c>
      <c r="AK244" s="5">
        <v>0.3923611111111111</v>
      </c>
      <c r="AL244" s="1" t="s">
        <v>215</v>
      </c>
      <c r="AM244" s="1"/>
    </row>
    <row r="245" spans="1:39" x14ac:dyDescent="0.3">
      <c r="A245" s="1">
        <v>849958</v>
      </c>
      <c r="B245" s="1">
        <v>687084</v>
      </c>
      <c r="C245" s="1" t="s">
        <v>1188</v>
      </c>
      <c r="D245" s="38" t="s">
        <v>1764</v>
      </c>
      <c r="E245" s="4">
        <v>29789</v>
      </c>
      <c r="F245" s="1">
        <v>44</v>
      </c>
      <c r="G245" s="1" t="s">
        <v>212</v>
      </c>
      <c r="H245" s="1" t="s">
        <v>1501</v>
      </c>
      <c r="I245" s="1" t="s">
        <v>1501</v>
      </c>
      <c r="J245" s="1">
        <v>8530</v>
      </c>
      <c r="K245" s="1" t="s">
        <v>83</v>
      </c>
      <c r="L245" s="1" t="s">
        <v>19</v>
      </c>
      <c r="M245" s="1" t="s">
        <v>13</v>
      </c>
      <c r="N245" s="1" t="s">
        <v>5</v>
      </c>
      <c r="O245" s="1" t="s">
        <v>216</v>
      </c>
      <c r="P245" s="1" t="s">
        <v>53</v>
      </c>
      <c r="Q245" s="1" t="s">
        <v>19</v>
      </c>
      <c r="R245" s="1" t="s">
        <v>8</v>
      </c>
      <c r="S245" s="1" t="s">
        <v>15</v>
      </c>
      <c r="T245" s="1" t="s">
        <v>53</v>
      </c>
      <c r="U245" s="1" t="s">
        <v>8</v>
      </c>
      <c r="V245" s="1" t="str">
        <f>IF(pilgrims[[#This Row],[packages.second_hotel_name]]="",pilgrims[[#This Row],[packages.first_hotel_name]],pilgrims[[#This Row],[packages.second_hotel_name]])</f>
        <v>Swissotel Al Maqam Makkah</v>
      </c>
      <c r="W245" s="1" t="str">
        <f>IF(pilgrims[[#This Row],[packages.second_hotel_name]]="",pilgrims[[#This Row],[packages.first_hotel_check_in]],pilgrims[[#This Row],[packages.second_hotel_check_in]])</f>
        <v>2026-05-21</v>
      </c>
      <c r="X245" s="1" t="str">
        <f>IF(pilgrims[[#This Row],[packages.second_hotel_name]]="",pilgrims[[#This Row],[packages.first_hotel_check_out]],pilgrims[[#This Row],[packages.second_hotel_check_out]])</f>
        <v>2026-05-25</v>
      </c>
      <c r="Y245" s="1" t="s">
        <v>16</v>
      </c>
      <c r="Z245" s="1" t="s">
        <v>214</v>
      </c>
      <c r="AA245" s="1" t="s">
        <v>1190</v>
      </c>
      <c r="AB245" s="1" t="s">
        <v>1190</v>
      </c>
      <c r="AC245" s="1" t="s">
        <v>212</v>
      </c>
      <c r="AD245" s="1" t="s">
        <v>133</v>
      </c>
      <c r="AE245" s="1" t="s">
        <v>1281</v>
      </c>
      <c r="AF245" s="4">
        <v>46160</v>
      </c>
      <c r="AG245" s="5">
        <v>0.3923611111111111</v>
      </c>
      <c r="AH245" s="1" t="s">
        <v>60</v>
      </c>
      <c r="AI245" s="1" t="s">
        <v>1280</v>
      </c>
      <c r="AJ245" s="4">
        <v>46173</v>
      </c>
      <c r="AK245" s="5">
        <v>0.12847222222222221</v>
      </c>
      <c r="AL245" s="1" t="s">
        <v>215</v>
      </c>
      <c r="AM245" s="1"/>
    </row>
    <row r="246" spans="1:39" x14ac:dyDescent="0.3">
      <c r="A246" s="1">
        <v>689744</v>
      </c>
      <c r="B246" s="1">
        <v>560534</v>
      </c>
      <c r="C246" s="1" t="s">
        <v>1189</v>
      </c>
      <c r="D246" s="38" t="s">
        <v>1765</v>
      </c>
      <c r="E246" s="4">
        <v>24778</v>
      </c>
      <c r="F246" s="1">
        <v>58</v>
      </c>
      <c r="G246" s="1" t="s">
        <v>212</v>
      </c>
      <c r="H246" s="1" t="s">
        <v>1501</v>
      </c>
      <c r="I246" s="1" t="s">
        <v>1501</v>
      </c>
      <c r="J246" s="1">
        <v>8672</v>
      </c>
      <c r="K246" s="1" t="s">
        <v>89</v>
      </c>
      <c r="L246" s="1" t="s">
        <v>8</v>
      </c>
      <c r="M246" s="1" t="s">
        <v>13</v>
      </c>
      <c r="N246" s="1" t="s">
        <v>10</v>
      </c>
      <c r="O246" s="1" t="s">
        <v>216</v>
      </c>
      <c r="P246" s="1" t="s">
        <v>52</v>
      </c>
      <c r="Q246" s="1" t="s">
        <v>8</v>
      </c>
      <c r="R246" s="1" t="s">
        <v>11</v>
      </c>
      <c r="S246" s="1"/>
      <c r="T246" s="1"/>
      <c r="U246" s="1"/>
      <c r="V246" s="1" t="str">
        <f>IF(pilgrims[[#This Row],[packages.second_hotel_name]]="",pilgrims[[#This Row],[packages.first_hotel_name]],pilgrims[[#This Row],[packages.second_hotel_name]])</f>
        <v>Crowne Plaza Madinah</v>
      </c>
      <c r="W246" s="1" t="str">
        <f>IF(pilgrims[[#This Row],[packages.second_hotel_name]]="",pilgrims[[#This Row],[packages.first_hotel_check_in]],pilgrims[[#This Row],[packages.second_hotel_check_in]])</f>
        <v>2026-05-21</v>
      </c>
      <c r="X246" s="1" t="str">
        <f>IF(pilgrims[[#This Row],[packages.second_hotel_name]]="",pilgrims[[#This Row],[packages.first_hotel_check_out]],pilgrims[[#This Row],[packages.second_hotel_check_out]])</f>
        <v>2026-05-24</v>
      </c>
      <c r="Y246" s="1"/>
      <c r="Z246" s="1" t="s">
        <v>261</v>
      </c>
      <c r="AA246" s="1" t="s">
        <v>617</v>
      </c>
      <c r="AB246" s="1" t="s">
        <v>1360</v>
      </c>
      <c r="AC246" s="1" t="s">
        <v>618</v>
      </c>
      <c r="AD246" s="1" t="s">
        <v>1343</v>
      </c>
      <c r="AE246" s="1" t="s">
        <v>1281</v>
      </c>
      <c r="AF246" s="4">
        <v>46163</v>
      </c>
      <c r="AG246" s="5">
        <v>0.88888888888888884</v>
      </c>
      <c r="AH246" s="1" t="s">
        <v>1298</v>
      </c>
      <c r="AI246" s="1" t="s">
        <v>1281</v>
      </c>
      <c r="AJ246" s="4">
        <v>46173</v>
      </c>
      <c r="AK246" s="5">
        <v>0.21527777777777779</v>
      </c>
      <c r="AL246" s="1" t="s">
        <v>215</v>
      </c>
      <c r="AM246" s="1"/>
    </row>
    <row r="247" spans="1:39" x14ac:dyDescent="0.3">
      <c r="A247" s="1">
        <v>872412</v>
      </c>
      <c r="B247" s="1">
        <v>687084</v>
      </c>
      <c r="C247" s="1" t="s">
        <v>1189</v>
      </c>
      <c r="D247" s="38" t="s">
        <v>1766</v>
      </c>
      <c r="E247" s="4">
        <v>30963</v>
      </c>
      <c r="F247" s="1">
        <v>41</v>
      </c>
      <c r="G247" s="1" t="s">
        <v>212</v>
      </c>
      <c r="H247" s="1" t="s">
        <v>1501</v>
      </c>
      <c r="I247" s="1" t="s">
        <v>1501</v>
      </c>
      <c r="J247" s="1">
        <v>8530</v>
      </c>
      <c r="K247" s="1" t="s">
        <v>83</v>
      </c>
      <c r="L247" s="1" t="s">
        <v>19</v>
      </c>
      <c r="M247" s="1" t="s">
        <v>13</v>
      </c>
      <c r="N247" s="1" t="s">
        <v>5</v>
      </c>
      <c r="O247" s="1" t="s">
        <v>216</v>
      </c>
      <c r="P247" s="1" t="s">
        <v>53</v>
      </c>
      <c r="Q247" s="1" t="s">
        <v>19</v>
      </c>
      <c r="R247" s="1" t="s">
        <v>8</v>
      </c>
      <c r="S247" s="1" t="s">
        <v>15</v>
      </c>
      <c r="T247" s="1" t="s">
        <v>53</v>
      </c>
      <c r="U247" s="1" t="s">
        <v>8</v>
      </c>
      <c r="V247" s="1" t="str">
        <f>IF(pilgrims[[#This Row],[packages.second_hotel_name]]="",pilgrims[[#This Row],[packages.first_hotel_name]],pilgrims[[#This Row],[packages.second_hotel_name]])</f>
        <v>Swissotel Al Maqam Makkah</v>
      </c>
      <c r="W247" s="1" t="str">
        <f>IF(pilgrims[[#This Row],[packages.second_hotel_name]]="",pilgrims[[#This Row],[packages.first_hotel_check_in]],pilgrims[[#This Row],[packages.second_hotel_check_in]])</f>
        <v>2026-05-21</v>
      </c>
      <c r="X247" s="1" t="str">
        <f>IF(pilgrims[[#This Row],[packages.second_hotel_name]]="",pilgrims[[#This Row],[packages.first_hotel_check_out]],pilgrims[[#This Row],[packages.second_hotel_check_out]])</f>
        <v>2026-05-25</v>
      </c>
      <c r="Y247" s="1" t="s">
        <v>16</v>
      </c>
      <c r="Z247" s="1" t="s">
        <v>214</v>
      </c>
      <c r="AA247" s="1" t="s">
        <v>1190</v>
      </c>
      <c r="AB247" s="1" t="s">
        <v>1190</v>
      </c>
      <c r="AC247" s="1" t="s">
        <v>212</v>
      </c>
      <c r="AD247" s="1" t="s">
        <v>133</v>
      </c>
      <c r="AE247" s="1" t="s">
        <v>1281</v>
      </c>
      <c r="AF247" s="4">
        <v>46160</v>
      </c>
      <c r="AG247" s="5">
        <v>0.3923611111111111</v>
      </c>
      <c r="AH247" s="1" t="s">
        <v>60</v>
      </c>
      <c r="AI247" s="1" t="s">
        <v>1280</v>
      </c>
      <c r="AJ247" s="4">
        <v>46173</v>
      </c>
      <c r="AK247" s="5">
        <v>0.12847222222222221</v>
      </c>
      <c r="AL247" s="1" t="s">
        <v>215</v>
      </c>
      <c r="AM247" s="1"/>
    </row>
    <row r="248" spans="1:39" x14ac:dyDescent="0.3">
      <c r="A248" s="1">
        <v>689751</v>
      </c>
      <c r="B248" s="1">
        <v>560534</v>
      </c>
      <c r="C248" s="1" t="s">
        <v>1189</v>
      </c>
      <c r="D248" s="38" t="s">
        <v>1767</v>
      </c>
      <c r="E248" s="4">
        <v>21274</v>
      </c>
      <c r="F248" s="1">
        <v>67</v>
      </c>
      <c r="G248" s="1" t="s">
        <v>212</v>
      </c>
      <c r="H248" s="1" t="s">
        <v>1501</v>
      </c>
      <c r="I248" s="1" t="s">
        <v>1501</v>
      </c>
      <c r="J248" s="1">
        <v>8672</v>
      </c>
      <c r="K248" s="1" t="s">
        <v>89</v>
      </c>
      <c r="L248" s="1" t="s">
        <v>8</v>
      </c>
      <c r="M248" s="1" t="s">
        <v>13</v>
      </c>
      <c r="N248" s="1" t="s">
        <v>10</v>
      </c>
      <c r="O248" s="1" t="s">
        <v>216</v>
      </c>
      <c r="P248" s="1" t="s">
        <v>52</v>
      </c>
      <c r="Q248" s="1" t="s">
        <v>8</v>
      </c>
      <c r="R248" s="1" t="s">
        <v>11</v>
      </c>
      <c r="S248" s="1"/>
      <c r="T248" s="1"/>
      <c r="U248" s="1"/>
      <c r="V248" s="1" t="str">
        <f>IF(pilgrims[[#This Row],[packages.second_hotel_name]]="",pilgrims[[#This Row],[packages.first_hotel_name]],pilgrims[[#This Row],[packages.second_hotel_name]])</f>
        <v>Crowne Plaza Madinah</v>
      </c>
      <c r="W248" s="1" t="str">
        <f>IF(pilgrims[[#This Row],[packages.second_hotel_name]]="",pilgrims[[#This Row],[packages.first_hotel_check_in]],pilgrims[[#This Row],[packages.second_hotel_check_in]])</f>
        <v>2026-05-21</v>
      </c>
      <c r="X248" s="1" t="str">
        <f>IF(pilgrims[[#This Row],[packages.second_hotel_name]]="",pilgrims[[#This Row],[packages.first_hotel_check_out]],pilgrims[[#This Row],[packages.second_hotel_check_out]])</f>
        <v>2026-05-24</v>
      </c>
      <c r="Y248" s="1"/>
      <c r="Z248" s="1" t="s">
        <v>261</v>
      </c>
      <c r="AA248" s="1" t="s">
        <v>617</v>
      </c>
      <c r="AB248" s="1" t="s">
        <v>1360</v>
      </c>
      <c r="AC248" s="1" t="s">
        <v>618</v>
      </c>
      <c r="AD248" s="1" t="s">
        <v>1343</v>
      </c>
      <c r="AE248" s="1" t="s">
        <v>1281</v>
      </c>
      <c r="AF248" s="4">
        <v>46163</v>
      </c>
      <c r="AG248" s="5">
        <v>0.88888888888888884</v>
      </c>
      <c r="AH248" s="1" t="s">
        <v>1298</v>
      </c>
      <c r="AI248" s="1" t="s">
        <v>1281</v>
      </c>
      <c r="AJ248" s="4">
        <v>46173</v>
      </c>
      <c r="AK248" s="5">
        <v>0.21527777777777779</v>
      </c>
      <c r="AL248" s="1" t="s">
        <v>215</v>
      </c>
      <c r="AM248" s="1"/>
    </row>
    <row r="249" spans="1:39" x14ac:dyDescent="0.3">
      <c r="A249" s="1">
        <v>32770</v>
      </c>
      <c r="B249" s="1">
        <v>28932</v>
      </c>
      <c r="C249" s="1" t="s">
        <v>1189</v>
      </c>
      <c r="D249" s="38" t="s">
        <v>1768</v>
      </c>
      <c r="E249" s="4">
        <v>23494</v>
      </c>
      <c r="F249" s="1">
        <v>61</v>
      </c>
      <c r="G249" s="1" t="s">
        <v>212</v>
      </c>
      <c r="H249" s="1" t="s">
        <v>1501</v>
      </c>
      <c r="I249" s="1" t="s">
        <v>1501</v>
      </c>
      <c r="J249" s="1">
        <v>8525</v>
      </c>
      <c r="K249" s="1" t="s">
        <v>77</v>
      </c>
      <c r="L249" s="1" t="s">
        <v>19</v>
      </c>
      <c r="M249" s="1" t="s">
        <v>13</v>
      </c>
      <c r="N249" s="1" t="s">
        <v>10</v>
      </c>
      <c r="O249" s="1" t="s">
        <v>216</v>
      </c>
      <c r="P249" s="1" t="s">
        <v>52</v>
      </c>
      <c r="Q249" s="1" t="s">
        <v>19</v>
      </c>
      <c r="R249" s="1" t="s">
        <v>8</v>
      </c>
      <c r="S249" s="1" t="s">
        <v>12</v>
      </c>
      <c r="T249" s="1" t="s">
        <v>53</v>
      </c>
      <c r="U249" s="1" t="s">
        <v>8</v>
      </c>
      <c r="V249" s="1" t="str">
        <f>IF(pilgrims[[#This Row],[packages.second_hotel_name]]="",pilgrims[[#This Row],[packages.first_hotel_name]],pilgrims[[#This Row],[packages.second_hotel_name]])</f>
        <v>Makkah Clock Royal Tower A Fairmont Hotel</v>
      </c>
      <c r="W249" s="1" t="str">
        <f>IF(pilgrims[[#This Row],[packages.second_hotel_name]]="",pilgrims[[#This Row],[packages.first_hotel_check_in]],pilgrims[[#This Row],[packages.second_hotel_check_in]])</f>
        <v>2026-05-21</v>
      </c>
      <c r="X249" s="1" t="str">
        <f>IF(pilgrims[[#This Row],[packages.second_hotel_name]]="",pilgrims[[#This Row],[packages.first_hotel_check_out]],pilgrims[[#This Row],[packages.second_hotel_check_out]])</f>
        <v>2026-05-24</v>
      </c>
      <c r="Y249" s="1" t="s">
        <v>11</v>
      </c>
      <c r="Z249" s="1" t="s">
        <v>214</v>
      </c>
      <c r="AA249" s="1" t="s">
        <v>1193</v>
      </c>
      <c r="AB249" s="1" t="s">
        <v>1193</v>
      </c>
      <c r="AC249" s="1" t="s">
        <v>212</v>
      </c>
      <c r="AD249" s="1" t="s">
        <v>134</v>
      </c>
      <c r="AE249" s="1" t="s">
        <v>1281</v>
      </c>
      <c r="AF249" s="4">
        <v>46160</v>
      </c>
      <c r="AG249" s="5">
        <v>0.73958333333333337</v>
      </c>
      <c r="AH249" s="1" t="s">
        <v>63</v>
      </c>
      <c r="AI249" s="1" t="s">
        <v>1280</v>
      </c>
      <c r="AJ249" s="4">
        <v>46172</v>
      </c>
      <c r="AK249" s="5">
        <v>0.35069444444444442</v>
      </c>
      <c r="AL249" s="1" t="s">
        <v>215</v>
      </c>
      <c r="AM249" s="1"/>
    </row>
    <row r="250" spans="1:39" x14ac:dyDescent="0.3">
      <c r="A250" s="1">
        <v>605172</v>
      </c>
      <c r="B250" s="1">
        <v>488794</v>
      </c>
      <c r="C250" s="1" t="s">
        <v>1189</v>
      </c>
      <c r="D250" s="38" t="s">
        <v>1769</v>
      </c>
      <c r="E250" s="4">
        <v>30527</v>
      </c>
      <c r="F250" s="1">
        <v>42</v>
      </c>
      <c r="G250" s="1" t="s">
        <v>212</v>
      </c>
      <c r="H250" s="1" t="s">
        <v>1501</v>
      </c>
      <c r="I250" s="1" t="s">
        <v>1517</v>
      </c>
      <c r="J250" s="1">
        <v>8524</v>
      </c>
      <c r="K250" s="1" t="s">
        <v>85</v>
      </c>
      <c r="L250" s="1" t="s">
        <v>8</v>
      </c>
      <c r="M250" s="1" t="s">
        <v>9</v>
      </c>
      <c r="N250" s="1" t="s">
        <v>5</v>
      </c>
      <c r="O250" s="1" t="s">
        <v>216</v>
      </c>
      <c r="P250" s="1" t="s">
        <v>53</v>
      </c>
      <c r="Q250" s="1" t="s">
        <v>8</v>
      </c>
      <c r="R250" s="1" t="s">
        <v>11</v>
      </c>
      <c r="S250" s="1" t="s">
        <v>15</v>
      </c>
      <c r="T250" s="1" t="s">
        <v>53</v>
      </c>
      <c r="U250" s="1" t="s">
        <v>13</v>
      </c>
      <c r="V250" s="1" t="str">
        <f>IF(pilgrims[[#This Row],[packages.second_hotel_name]]="",pilgrims[[#This Row],[packages.first_hotel_name]],pilgrims[[#This Row],[packages.second_hotel_name]])</f>
        <v>Swissotel Al Maqam Makkah</v>
      </c>
      <c r="W250" s="1" t="str">
        <f>IF(pilgrims[[#This Row],[packages.second_hotel_name]]="",pilgrims[[#This Row],[packages.first_hotel_check_in]],pilgrims[[#This Row],[packages.second_hotel_check_in]])</f>
        <v>2026-05-31</v>
      </c>
      <c r="X250" s="1" t="str">
        <f>IF(pilgrims[[#This Row],[packages.second_hotel_name]]="",pilgrims[[#This Row],[packages.first_hotel_check_out]],pilgrims[[#This Row],[packages.second_hotel_check_out]])</f>
        <v>2026-06-06</v>
      </c>
      <c r="Y250" s="1" t="s">
        <v>9</v>
      </c>
      <c r="Z250" s="1" t="s">
        <v>261</v>
      </c>
      <c r="AA250" s="1" t="s">
        <v>624</v>
      </c>
      <c r="AB250" s="1" t="s">
        <v>1327</v>
      </c>
      <c r="AC250" s="1" t="s">
        <v>625</v>
      </c>
      <c r="AD250" s="1" t="s">
        <v>1328</v>
      </c>
      <c r="AE250" s="1" t="s">
        <v>1281</v>
      </c>
      <c r="AF250" s="4">
        <v>46163</v>
      </c>
      <c r="AG250" s="5">
        <v>1.7361111111111112E-2</v>
      </c>
      <c r="AH250" s="1" t="s">
        <v>1329</v>
      </c>
      <c r="AI250" s="1" t="s">
        <v>1280</v>
      </c>
      <c r="AJ250" s="4">
        <v>46179</v>
      </c>
      <c r="AK250" s="5">
        <v>0.54166666666666663</v>
      </c>
      <c r="AL250" s="1" t="s">
        <v>215</v>
      </c>
      <c r="AM250" s="1"/>
    </row>
    <row r="251" spans="1:39" x14ac:dyDescent="0.3">
      <c r="A251" s="1">
        <v>807637</v>
      </c>
      <c r="B251" s="1">
        <v>653203</v>
      </c>
      <c r="C251" s="1" t="s">
        <v>1189</v>
      </c>
      <c r="D251" s="38" t="s">
        <v>1770</v>
      </c>
      <c r="E251" s="4">
        <v>23722</v>
      </c>
      <c r="F251" s="1">
        <v>61</v>
      </c>
      <c r="G251" s="1" t="s">
        <v>212</v>
      </c>
      <c r="H251" s="1" t="s">
        <v>1501</v>
      </c>
      <c r="I251" s="1" t="s">
        <v>1501</v>
      </c>
      <c r="J251" s="1">
        <v>8525</v>
      </c>
      <c r="K251" s="1" t="s">
        <v>77</v>
      </c>
      <c r="L251" s="1" t="s">
        <v>19</v>
      </c>
      <c r="M251" s="1" t="s">
        <v>13</v>
      </c>
      <c r="N251" s="1" t="s">
        <v>10</v>
      </c>
      <c r="O251" s="1" t="s">
        <v>216</v>
      </c>
      <c r="P251" s="1" t="s">
        <v>52</v>
      </c>
      <c r="Q251" s="1" t="s">
        <v>19</v>
      </c>
      <c r="R251" s="1" t="s">
        <v>8</v>
      </c>
      <c r="S251" s="1" t="s">
        <v>12</v>
      </c>
      <c r="T251" s="1" t="s">
        <v>53</v>
      </c>
      <c r="U251" s="1" t="s">
        <v>8</v>
      </c>
      <c r="V251" s="1" t="str">
        <f>IF(pilgrims[[#This Row],[packages.second_hotel_name]]="",pilgrims[[#This Row],[packages.first_hotel_name]],pilgrims[[#This Row],[packages.second_hotel_name]])</f>
        <v>Makkah Clock Royal Tower A Fairmont Hotel</v>
      </c>
      <c r="W251" s="1" t="str">
        <f>IF(pilgrims[[#This Row],[packages.second_hotel_name]]="",pilgrims[[#This Row],[packages.first_hotel_check_in]],pilgrims[[#This Row],[packages.second_hotel_check_in]])</f>
        <v>2026-05-21</v>
      </c>
      <c r="X251" s="1" t="str">
        <f>IF(pilgrims[[#This Row],[packages.second_hotel_name]]="",pilgrims[[#This Row],[packages.first_hotel_check_out]],pilgrims[[#This Row],[packages.second_hotel_check_out]])</f>
        <v>2026-05-24</v>
      </c>
      <c r="Y251" s="1" t="s">
        <v>11</v>
      </c>
      <c r="Z251" s="1" t="s">
        <v>214</v>
      </c>
      <c r="AA251" s="1" t="s">
        <v>1202</v>
      </c>
      <c r="AB251" s="1" t="s">
        <v>1202</v>
      </c>
      <c r="AC251" s="1" t="s">
        <v>212</v>
      </c>
      <c r="AD251" s="1" t="s">
        <v>136</v>
      </c>
      <c r="AE251" s="1" t="s">
        <v>1281</v>
      </c>
      <c r="AF251" s="4">
        <v>46160</v>
      </c>
      <c r="AG251" s="5">
        <v>0.1076388888888889</v>
      </c>
      <c r="AH251" s="1" t="s">
        <v>71</v>
      </c>
      <c r="AI251" s="1" t="s">
        <v>1280</v>
      </c>
      <c r="AJ251" s="4">
        <v>46172</v>
      </c>
      <c r="AK251" s="5">
        <v>0.40972222222222221</v>
      </c>
      <c r="AL251" s="1" t="s">
        <v>215</v>
      </c>
      <c r="AM251" s="1"/>
    </row>
    <row r="252" spans="1:39" x14ac:dyDescent="0.3">
      <c r="A252" s="1">
        <v>606294</v>
      </c>
      <c r="B252" s="1">
        <v>488794</v>
      </c>
      <c r="C252" s="1" t="s">
        <v>1188</v>
      </c>
      <c r="D252" s="38" t="s">
        <v>1771</v>
      </c>
      <c r="E252" s="4">
        <v>26153</v>
      </c>
      <c r="F252" s="1">
        <v>54</v>
      </c>
      <c r="G252" s="1" t="s">
        <v>212</v>
      </c>
      <c r="H252" s="1" t="s">
        <v>1501</v>
      </c>
      <c r="I252" s="1" t="s">
        <v>1501</v>
      </c>
      <c r="J252" s="1">
        <v>8524</v>
      </c>
      <c r="K252" s="1" t="s">
        <v>85</v>
      </c>
      <c r="L252" s="1" t="s">
        <v>8</v>
      </c>
      <c r="M252" s="1" t="s">
        <v>9</v>
      </c>
      <c r="N252" s="1" t="s">
        <v>5</v>
      </c>
      <c r="O252" s="1" t="s">
        <v>216</v>
      </c>
      <c r="P252" s="1" t="s">
        <v>53</v>
      </c>
      <c r="Q252" s="1" t="s">
        <v>8</v>
      </c>
      <c r="R252" s="1" t="s">
        <v>11</v>
      </c>
      <c r="S252" s="1" t="s">
        <v>15</v>
      </c>
      <c r="T252" s="1" t="s">
        <v>53</v>
      </c>
      <c r="U252" s="1" t="s">
        <v>13</v>
      </c>
      <c r="V252" s="1" t="str">
        <f>IF(pilgrims[[#This Row],[packages.second_hotel_name]]="",pilgrims[[#This Row],[packages.first_hotel_name]],pilgrims[[#This Row],[packages.second_hotel_name]])</f>
        <v>Swissotel Al Maqam Makkah</v>
      </c>
      <c r="W252" s="1" t="str">
        <f>IF(pilgrims[[#This Row],[packages.second_hotel_name]]="",pilgrims[[#This Row],[packages.first_hotel_check_in]],pilgrims[[#This Row],[packages.second_hotel_check_in]])</f>
        <v>2026-05-31</v>
      </c>
      <c r="X252" s="1" t="str">
        <f>IF(pilgrims[[#This Row],[packages.second_hotel_name]]="",pilgrims[[#This Row],[packages.first_hotel_check_out]],pilgrims[[#This Row],[packages.second_hotel_check_out]])</f>
        <v>2026-06-06</v>
      </c>
      <c r="Y252" s="1" t="s">
        <v>9</v>
      </c>
      <c r="Z252" s="1" t="s">
        <v>261</v>
      </c>
      <c r="AA252" s="1" t="s">
        <v>624</v>
      </c>
      <c r="AB252" s="1" t="s">
        <v>1327</v>
      </c>
      <c r="AC252" s="1" t="s">
        <v>625</v>
      </c>
      <c r="AD252" s="1" t="s">
        <v>1328</v>
      </c>
      <c r="AE252" s="1" t="s">
        <v>1281</v>
      </c>
      <c r="AF252" s="4">
        <v>46163</v>
      </c>
      <c r="AG252" s="5">
        <v>1.7361111111111112E-2</v>
      </c>
      <c r="AH252" s="1" t="s">
        <v>1329</v>
      </c>
      <c r="AI252" s="1" t="s">
        <v>1280</v>
      </c>
      <c r="AJ252" s="4">
        <v>46179</v>
      </c>
      <c r="AK252" s="5">
        <v>0.54166666666666663</v>
      </c>
      <c r="AL252" s="1" t="s">
        <v>215</v>
      </c>
      <c r="AM252" s="1"/>
    </row>
    <row r="253" spans="1:39" x14ac:dyDescent="0.3">
      <c r="A253" s="1">
        <v>726200</v>
      </c>
      <c r="B253" s="1">
        <v>588406</v>
      </c>
      <c r="C253" s="1" t="s">
        <v>1188</v>
      </c>
      <c r="D253" s="38" t="s">
        <v>1772</v>
      </c>
      <c r="E253" s="4">
        <v>21998</v>
      </c>
      <c r="F253" s="1">
        <v>65</v>
      </c>
      <c r="G253" s="1" t="s">
        <v>212</v>
      </c>
      <c r="H253" s="1" t="s">
        <v>1501</v>
      </c>
      <c r="I253" s="1" t="s">
        <v>1501</v>
      </c>
      <c r="J253" s="1">
        <v>8544</v>
      </c>
      <c r="K253" s="1" t="s">
        <v>90</v>
      </c>
      <c r="L253" s="1" t="s">
        <v>19</v>
      </c>
      <c r="M253" s="1" t="s">
        <v>13</v>
      </c>
      <c r="N253" s="1" t="s">
        <v>5</v>
      </c>
      <c r="O253" s="1" t="s">
        <v>216</v>
      </c>
      <c r="P253" s="1" t="s">
        <v>53</v>
      </c>
      <c r="Q253" s="1" t="s">
        <v>19</v>
      </c>
      <c r="R253" s="1" t="s">
        <v>8</v>
      </c>
      <c r="S253" s="1" t="s">
        <v>21</v>
      </c>
      <c r="T253" s="1" t="s">
        <v>53</v>
      </c>
      <c r="U253" s="1" t="s">
        <v>8</v>
      </c>
      <c r="V253" s="1" t="str">
        <f>IF(pilgrims[[#This Row],[packages.second_hotel_name]]="",pilgrims[[#This Row],[packages.first_hotel_name]],pilgrims[[#This Row],[packages.second_hotel_name]])</f>
        <v>Swissotel Makkah Hotel</v>
      </c>
      <c r="W253" s="1" t="str">
        <f>IF(pilgrims[[#This Row],[packages.second_hotel_name]]="",pilgrims[[#This Row],[packages.first_hotel_check_in]],pilgrims[[#This Row],[packages.second_hotel_check_in]])</f>
        <v>2026-05-21</v>
      </c>
      <c r="X253" s="1" t="str">
        <f>IF(pilgrims[[#This Row],[packages.second_hotel_name]]="",pilgrims[[#This Row],[packages.first_hotel_check_out]],pilgrims[[#This Row],[packages.second_hotel_check_out]])</f>
        <v>2026-05-24</v>
      </c>
      <c r="Y253" s="1" t="s">
        <v>11</v>
      </c>
      <c r="Z253" s="1" t="s">
        <v>214</v>
      </c>
      <c r="AA253" s="1" t="s">
        <v>1199</v>
      </c>
      <c r="AB253" s="1" t="s">
        <v>1199</v>
      </c>
      <c r="AC253" s="1" t="s">
        <v>212</v>
      </c>
      <c r="AD253" s="1" t="s">
        <v>61</v>
      </c>
      <c r="AE253" s="1" t="s">
        <v>1280</v>
      </c>
      <c r="AF253" s="4">
        <v>46160</v>
      </c>
      <c r="AG253" s="5">
        <v>0.57986111111111116</v>
      </c>
      <c r="AH253" s="1" t="s">
        <v>63</v>
      </c>
      <c r="AI253" s="1" t="s">
        <v>1280</v>
      </c>
      <c r="AJ253" s="4">
        <v>46172</v>
      </c>
      <c r="AK253" s="5">
        <v>0.3923611111111111</v>
      </c>
      <c r="AL253" s="1" t="s">
        <v>215</v>
      </c>
      <c r="AM253" s="1"/>
    </row>
    <row r="254" spans="1:39" x14ac:dyDescent="0.3">
      <c r="A254" s="1">
        <v>726235</v>
      </c>
      <c r="B254" s="1">
        <v>588406</v>
      </c>
      <c r="C254" s="1" t="s">
        <v>1189</v>
      </c>
      <c r="D254" s="38" t="s">
        <v>1773</v>
      </c>
      <c r="E254" s="4">
        <v>24598</v>
      </c>
      <c r="F254" s="1">
        <v>58</v>
      </c>
      <c r="G254" s="1" t="s">
        <v>212</v>
      </c>
      <c r="H254" s="1" t="s">
        <v>1501</v>
      </c>
      <c r="I254" s="1" t="s">
        <v>1501</v>
      </c>
      <c r="J254" s="1">
        <v>8544</v>
      </c>
      <c r="K254" s="1" t="s">
        <v>90</v>
      </c>
      <c r="L254" s="1" t="s">
        <v>19</v>
      </c>
      <c r="M254" s="1" t="s">
        <v>13</v>
      </c>
      <c r="N254" s="1" t="s">
        <v>5</v>
      </c>
      <c r="O254" s="1" t="s">
        <v>216</v>
      </c>
      <c r="P254" s="1" t="s">
        <v>53</v>
      </c>
      <c r="Q254" s="1" t="s">
        <v>19</v>
      </c>
      <c r="R254" s="1" t="s">
        <v>8</v>
      </c>
      <c r="S254" s="1" t="s">
        <v>21</v>
      </c>
      <c r="T254" s="1" t="s">
        <v>53</v>
      </c>
      <c r="U254" s="1" t="s">
        <v>8</v>
      </c>
      <c r="V254" s="1" t="str">
        <f>IF(pilgrims[[#This Row],[packages.second_hotel_name]]="",pilgrims[[#This Row],[packages.first_hotel_name]],pilgrims[[#This Row],[packages.second_hotel_name]])</f>
        <v>Swissotel Makkah Hotel</v>
      </c>
      <c r="W254" s="1" t="str">
        <f>IF(pilgrims[[#This Row],[packages.second_hotel_name]]="",pilgrims[[#This Row],[packages.first_hotel_check_in]],pilgrims[[#This Row],[packages.second_hotel_check_in]])</f>
        <v>2026-05-21</v>
      </c>
      <c r="X254" s="1" t="str">
        <f>IF(pilgrims[[#This Row],[packages.second_hotel_name]]="",pilgrims[[#This Row],[packages.first_hotel_check_out]],pilgrims[[#This Row],[packages.second_hotel_check_out]])</f>
        <v>2026-05-24</v>
      </c>
      <c r="Y254" s="1" t="s">
        <v>11</v>
      </c>
      <c r="Z254" s="1" t="s">
        <v>214</v>
      </c>
      <c r="AA254" s="1" t="s">
        <v>1199</v>
      </c>
      <c r="AB254" s="1" t="s">
        <v>1199</v>
      </c>
      <c r="AC254" s="1" t="s">
        <v>212</v>
      </c>
      <c r="AD254" s="1" t="s">
        <v>61</v>
      </c>
      <c r="AE254" s="1" t="s">
        <v>1280</v>
      </c>
      <c r="AF254" s="4">
        <v>46160</v>
      </c>
      <c r="AG254" s="5">
        <v>0.57986111111111116</v>
      </c>
      <c r="AH254" s="1" t="s">
        <v>63</v>
      </c>
      <c r="AI254" s="1" t="s">
        <v>1280</v>
      </c>
      <c r="AJ254" s="4">
        <v>46172</v>
      </c>
      <c r="AK254" s="5">
        <v>0.3923611111111111</v>
      </c>
      <c r="AL254" s="1" t="s">
        <v>215</v>
      </c>
      <c r="AM254" s="1"/>
    </row>
    <row r="255" spans="1:39" x14ac:dyDescent="0.3">
      <c r="A255" s="1">
        <v>692445</v>
      </c>
      <c r="B255" s="1">
        <v>562669</v>
      </c>
      <c r="C255" s="1" t="s">
        <v>1189</v>
      </c>
      <c r="D255" s="38" t="s">
        <v>1774</v>
      </c>
      <c r="E255" s="4">
        <v>29064</v>
      </c>
      <c r="F255" s="1">
        <v>46</v>
      </c>
      <c r="G255" s="1" t="s">
        <v>212</v>
      </c>
      <c r="H255" s="1" t="s">
        <v>1501</v>
      </c>
      <c r="I255" s="1" t="s">
        <v>1501</v>
      </c>
      <c r="J255" s="1">
        <v>8530</v>
      </c>
      <c r="K255" s="1" t="s">
        <v>83</v>
      </c>
      <c r="L255" s="1" t="s">
        <v>19</v>
      </c>
      <c r="M255" s="1" t="s">
        <v>13</v>
      </c>
      <c r="N255" s="1" t="s">
        <v>5</v>
      </c>
      <c r="O255" s="1" t="s">
        <v>216</v>
      </c>
      <c r="P255" s="1" t="s">
        <v>53</v>
      </c>
      <c r="Q255" s="1" t="s">
        <v>19</v>
      </c>
      <c r="R255" s="1" t="s">
        <v>8</v>
      </c>
      <c r="S255" s="1" t="s">
        <v>15</v>
      </c>
      <c r="T255" s="1" t="s">
        <v>53</v>
      </c>
      <c r="U255" s="1" t="s">
        <v>8</v>
      </c>
      <c r="V255" s="1" t="str">
        <f>IF(pilgrims[[#This Row],[packages.second_hotel_name]]="",pilgrims[[#This Row],[packages.first_hotel_name]],pilgrims[[#This Row],[packages.second_hotel_name]])</f>
        <v>Swissotel Al Maqam Makkah</v>
      </c>
      <c r="W255" s="1" t="str">
        <f>IF(pilgrims[[#This Row],[packages.second_hotel_name]]="",pilgrims[[#This Row],[packages.first_hotel_check_in]],pilgrims[[#This Row],[packages.second_hotel_check_in]])</f>
        <v>2026-05-21</v>
      </c>
      <c r="X255" s="1" t="str">
        <f>IF(pilgrims[[#This Row],[packages.second_hotel_name]]="",pilgrims[[#This Row],[packages.first_hotel_check_out]],pilgrims[[#This Row],[packages.second_hotel_check_out]])</f>
        <v>2026-05-25</v>
      </c>
      <c r="Y255" s="1" t="s">
        <v>16</v>
      </c>
      <c r="Z255" s="1" t="s">
        <v>214</v>
      </c>
      <c r="AA255" s="1" t="s">
        <v>1193</v>
      </c>
      <c r="AB255" s="1" t="s">
        <v>1193</v>
      </c>
      <c r="AC255" s="1" t="s">
        <v>212</v>
      </c>
      <c r="AD255" s="1" t="s">
        <v>134</v>
      </c>
      <c r="AE255" s="1" t="s">
        <v>1281</v>
      </c>
      <c r="AF255" s="4">
        <v>46160</v>
      </c>
      <c r="AG255" s="5">
        <v>0.73958333333333337</v>
      </c>
      <c r="AH255" s="1" t="s">
        <v>63</v>
      </c>
      <c r="AI255" s="1" t="s">
        <v>1280</v>
      </c>
      <c r="AJ255" s="4">
        <v>46172</v>
      </c>
      <c r="AK255" s="5">
        <v>0.35069444444444442</v>
      </c>
      <c r="AL255" s="1" t="s">
        <v>215</v>
      </c>
      <c r="AM255" s="1"/>
    </row>
    <row r="256" spans="1:39" x14ac:dyDescent="0.3">
      <c r="A256" s="1">
        <v>693173</v>
      </c>
      <c r="B256" s="1">
        <v>562669</v>
      </c>
      <c r="C256" s="1" t="s">
        <v>1188</v>
      </c>
      <c r="D256" s="38" t="s">
        <v>1775</v>
      </c>
      <c r="E256" s="4">
        <v>39155</v>
      </c>
      <c r="F256" s="1">
        <v>18</v>
      </c>
      <c r="G256" s="1" t="s">
        <v>212</v>
      </c>
      <c r="H256" s="1" t="s">
        <v>1501</v>
      </c>
      <c r="I256" s="1" t="s">
        <v>1501</v>
      </c>
      <c r="J256" s="1">
        <v>8530</v>
      </c>
      <c r="K256" s="1" t="s">
        <v>83</v>
      </c>
      <c r="L256" s="1" t="s">
        <v>19</v>
      </c>
      <c r="M256" s="1" t="s">
        <v>13</v>
      </c>
      <c r="N256" s="1" t="s">
        <v>5</v>
      </c>
      <c r="O256" s="1" t="s">
        <v>216</v>
      </c>
      <c r="P256" s="1" t="s">
        <v>53</v>
      </c>
      <c r="Q256" s="1" t="s">
        <v>19</v>
      </c>
      <c r="R256" s="1" t="s">
        <v>8</v>
      </c>
      <c r="S256" s="1" t="s">
        <v>15</v>
      </c>
      <c r="T256" s="1" t="s">
        <v>53</v>
      </c>
      <c r="U256" s="1" t="s">
        <v>8</v>
      </c>
      <c r="V256" s="1" t="str">
        <f>IF(pilgrims[[#This Row],[packages.second_hotel_name]]="",pilgrims[[#This Row],[packages.first_hotel_name]],pilgrims[[#This Row],[packages.second_hotel_name]])</f>
        <v>Swissotel Al Maqam Makkah</v>
      </c>
      <c r="W256" s="1" t="str">
        <f>IF(pilgrims[[#This Row],[packages.second_hotel_name]]="",pilgrims[[#This Row],[packages.first_hotel_check_in]],pilgrims[[#This Row],[packages.second_hotel_check_in]])</f>
        <v>2026-05-21</v>
      </c>
      <c r="X256" s="1" t="str">
        <f>IF(pilgrims[[#This Row],[packages.second_hotel_name]]="",pilgrims[[#This Row],[packages.first_hotel_check_out]],pilgrims[[#This Row],[packages.second_hotel_check_out]])</f>
        <v>2026-05-25</v>
      </c>
      <c r="Y256" s="1" t="s">
        <v>16</v>
      </c>
      <c r="Z256" s="1" t="s">
        <v>214</v>
      </c>
      <c r="AA256" s="1" t="s">
        <v>1193</v>
      </c>
      <c r="AB256" s="1" t="s">
        <v>1193</v>
      </c>
      <c r="AC256" s="1" t="s">
        <v>212</v>
      </c>
      <c r="AD256" s="1" t="s">
        <v>134</v>
      </c>
      <c r="AE256" s="1" t="s">
        <v>1281</v>
      </c>
      <c r="AF256" s="4">
        <v>46160</v>
      </c>
      <c r="AG256" s="5">
        <v>0.73958333333333337</v>
      </c>
      <c r="AH256" s="1" t="s">
        <v>63</v>
      </c>
      <c r="AI256" s="1" t="s">
        <v>1280</v>
      </c>
      <c r="AJ256" s="4">
        <v>46172</v>
      </c>
      <c r="AK256" s="5">
        <v>0.35069444444444442</v>
      </c>
      <c r="AL256" s="1" t="s">
        <v>215</v>
      </c>
      <c r="AM256" s="1"/>
    </row>
    <row r="257" spans="1:39" x14ac:dyDescent="0.3">
      <c r="A257" s="1">
        <v>610992</v>
      </c>
      <c r="B257" s="1">
        <v>496272</v>
      </c>
      <c r="C257" s="1" t="s">
        <v>1189</v>
      </c>
      <c r="D257" s="38" t="s">
        <v>1776</v>
      </c>
      <c r="E257" s="4">
        <v>30065</v>
      </c>
      <c r="F257" s="1">
        <v>43</v>
      </c>
      <c r="G257" s="1" t="s">
        <v>212</v>
      </c>
      <c r="H257" s="1" t="s">
        <v>1501</v>
      </c>
      <c r="I257" s="1" t="s">
        <v>1501</v>
      </c>
      <c r="J257" s="1">
        <v>8530</v>
      </c>
      <c r="K257" s="1" t="s">
        <v>83</v>
      </c>
      <c r="L257" s="1" t="s">
        <v>19</v>
      </c>
      <c r="M257" s="1" t="s">
        <v>13</v>
      </c>
      <c r="N257" s="1" t="s">
        <v>5</v>
      </c>
      <c r="O257" s="1" t="s">
        <v>216</v>
      </c>
      <c r="P257" s="1" t="s">
        <v>53</v>
      </c>
      <c r="Q257" s="1" t="s">
        <v>19</v>
      </c>
      <c r="R257" s="1" t="s">
        <v>8</v>
      </c>
      <c r="S257" s="1" t="s">
        <v>15</v>
      </c>
      <c r="T257" s="1" t="s">
        <v>53</v>
      </c>
      <c r="U257" s="1" t="s">
        <v>8</v>
      </c>
      <c r="V257" s="1" t="str">
        <f>IF(pilgrims[[#This Row],[packages.second_hotel_name]]="",pilgrims[[#This Row],[packages.first_hotel_name]],pilgrims[[#This Row],[packages.second_hotel_name]])</f>
        <v>Swissotel Al Maqam Makkah</v>
      </c>
      <c r="W257" s="1" t="str">
        <f>IF(pilgrims[[#This Row],[packages.second_hotel_name]]="",pilgrims[[#This Row],[packages.first_hotel_check_in]],pilgrims[[#This Row],[packages.second_hotel_check_in]])</f>
        <v>2026-05-21</v>
      </c>
      <c r="X257" s="1" t="str">
        <f>IF(pilgrims[[#This Row],[packages.second_hotel_name]]="",pilgrims[[#This Row],[packages.first_hotel_check_out]],pilgrims[[#This Row],[packages.second_hotel_check_out]])</f>
        <v>2026-05-25</v>
      </c>
      <c r="Y257" s="1" t="s">
        <v>16</v>
      </c>
      <c r="Z257" s="1" t="s">
        <v>214</v>
      </c>
      <c r="AA257" s="1" t="s">
        <v>1190</v>
      </c>
      <c r="AB257" s="1" t="s">
        <v>1190</v>
      </c>
      <c r="AC257" s="1" t="s">
        <v>212</v>
      </c>
      <c r="AD257" s="1" t="s">
        <v>133</v>
      </c>
      <c r="AE257" s="1" t="s">
        <v>1281</v>
      </c>
      <c r="AF257" s="4">
        <v>46160</v>
      </c>
      <c r="AG257" s="5">
        <v>0.3923611111111111</v>
      </c>
      <c r="AH257" s="1" t="s">
        <v>60</v>
      </c>
      <c r="AI257" s="1" t="s">
        <v>1280</v>
      </c>
      <c r="AJ257" s="4">
        <v>46173</v>
      </c>
      <c r="AK257" s="5">
        <v>0.12847222222222221</v>
      </c>
      <c r="AL257" s="1" t="s">
        <v>215</v>
      </c>
      <c r="AM257" s="1"/>
    </row>
    <row r="258" spans="1:39" x14ac:dyDescent="0.3">
      <c r="A258" s="1">
        <v>792890</v>
      </c>
      <c r="B258" s="1">
        <v>641990</v>
      </c>
      <c r="C258" s="1" t="s">
        <v>1188</v>
      </c>
      <c r="D258" s="38" t="s">
        <v>1777</v>
      </c>
      <c r="E258" s="4">
        <v>30268</v>
      </c>
      <c r="F258" s="1">
        <v>43</v>
      </c>
      <c r="G258" s="1" t="s">
        <v>212</v>
      </c>
      <c r="H258" s="1" t="s">
        <v>1501</v>
      </c>
      <c r="I258" s="1" t="s">
        <v>1501</v>
      </c>
      <c r="J258" s="1">
        <v>8540</v>
      </c>
      <c r="K258" s="1" t="s">
        <v>78</v>
      </c>
      <c r="L258" s="1" t="s">
        <v>8</v>
      </c>
      <c r="M258" s="1" t="s">
        <v>13</v>
      </c>
      <c r="N258" s="1" t="s">
        <v>5</v>
      </c>
      <c r="O258" s="1" t="s">
        <v>216</v>
      </c>
      <c r="P258" s="1" t="s">
        <v>53</v>
      </c>
      <c r="Q258" s="1" t="s">
        <v>8</v>
      </c>
      <c r="R258" s="1" t="s">
        <v>11</v>
      </c>
      <c r="S258" s="1"/>
      <c r="T258" s="1"/>
      <c r="U258" s="1"/>
      <c r="V258" s="1" t="str">
        <f>IF(pilgrims[[#This Row],[packages.second_hotel_name]]="",pilgrims[[#This Row],[packages.first_hotel_name]],pilgrims[[#This Row],[packages.second_hotel_name]])</f>
        <v>Movenpick Anwar Almadinah Hotel</v>
      </c>
      <c r="W258" s="1" t="str">
        <f>IF(pilgrims[[#This Row],[packages.second_hotel_name]]="",pilgrims[[#This Row],[packages.first_hotel_check_in]],pilgrims[[#This Row],[packages.second_hotel_check_in]])</f>
        <v>2026-05-21</v>
      </c>
      <c r="X258" s="1" t="str">
        <f>IF(pilgrims[[#This Row],[packages.second_hotel_name]]="",pilgrims[[#This Row],[packages.first_hotel_check_out]],pilgrims[[#This Row],[packages.second_hotel_check_out]])</f>
        <v>2026-05-24</v>
      </c>
      <c r="Y258" s="1"/>
      <c r="Z258" s="1" t="s">
        <v>261</v>
      </c>
      <c r="AA258" s="1" t="s">
        <v>636</v>
      </c>
      <c r="AB258" s="1" t="s">
        <v>1344</v>
      </c>
      <c r="AC258" s="1" t="s">
        <v>637</v>
      </c>
      <c r="AD258" s="1" t="s">
        <v>1345</v>
      </c>
      <c r="AE258" s="1" t="s">
        <v>1281</v>
      </c>
      <c r="AF258" s="4">
        <v>46163</v>
      </c>
      <c r="AG258" s="5">
        <v>0.99652777777777779</v>
      </c>
      <c r="AH258" s="1" t="s">
        <v>1346</v>
      </c>
      <c r="AI258" s="1" t="s">
        <v>1280</v>
      </c>
      <c r="AJ258" s="4">
        <v>46173</v>
      </c>
      <c r="AK258" s="5">
        <v>0.20833333333333334</v>
      </c>
      <c r="AL258" s="1" t="s">
        <v>215</v>
      </c>
      <c r="AM258" s="1"/>
    </row>
    <row r="259" spans="1:39" x14ac:dyDescent="0.3">
      <c r="A259" s="1">
        <v>614947</v>
      </c>
      <c r="B259" s="1">
        <v>496272</v>
      </c>
      <c r="C259" s="1" t="s">
        <v>1188</v>
      </c>
      <c r="D259" s="38" t="s">
        <v>1778</v>
      </c>
      <c r="E259" s="4">
        <v>30544</v>
      </c>
      <c r="F259" s="1">
        <v>42</v>
      </c>
      <c r="G259" s="1" t="s">
        <v>212</v>
      </c>
      <c r="H259" s="1" t="s">
        <v>1501</v>
      </c>
      <c r="I259" s="1" t="s">
        <v>1501</v>
      </c>
      <c r="J259" s="1">
        <v>8530</v>
      </c>
      <c r="K259" s="1" t="s">
        <v>83</v>
      </c>
      <c r="L259" s="1" t="s">
        <v>19</v>
      </c>
      <c r="M259" s="1" t="s">
        <v>13</v>
      </c>
      <c r="N259" s="1" t="s">
        <v>5</v>
      </c>
      <c r="O259" s="1" t="s">
        <v>216</v>
      </c>
      <c r="P259" s="1" t="s">
        <v>53</v>
      </c>
      <c r="Q259" s="1" t="s">
        <v>19</v>
      </c>
      <c r="R259" s="1" t="s">
        <v>8</v>
      </c>
      <c r="S259" s="1" t="s">
        <v>15</v>
      </c>
      <c r="T259" s="1" t="s">
        <v>53</v>
      </c>
      <c r="U259" s="1" t="s">
        <v>8</v>
      </c>
      <c r="V259" s="1" t="str">
        <f>IF(pilgrims[[#This Row],[packages.second_hotel_name]]="",pilgrims[[#This Row],[packages.first_hotel_name]],pilgrims[[#This Row],[packages.second_hotel_name]])</f>
        <v>Swissotel Al Maqam Makkah</v>
      </c>
      <c r="W259" s="1" t="str">
        <f>IF(pilgrims[[#This Row],[packages.second_hotel_name]]="",pilgrims[[#This Row],[packages.first_hotel_check_in]],pilgrims[[#This Row],[packages.second_hotel_check_in]])</f>
        <v>2026-05-21</v>
      </c>
      <c r="X259" s="1" t="str">
        <f>IF(pilgrims[[#This Row],[packages.second_hotel_name]]="",pilgrims[[#This Row],[packages.first_hotel_check_out]],pilgrims[[#This Row],[packages.second_hotel_check_out]])</f>
        <v>2026-05-25</v>
      </c>
      <c r="Y259" s="1" t="s">
        <v>16</v>
      </c>
      <c r="Z259" s="1" t="s">
        <v>214</v>
      </c>
      <c r="AA259" s="1" t="s">
        <v>1190</v>
      </c>
      <c r="AB259" s="1" t="s">
        <v>1190</v>
      </c>
      <c r="AC259" s="1" t="s">
        <v>212</v>
      </c>
      <c r="AD259" s="1" t="s">
        <v>133</v>
      </c>
      <c r="AE259" s="1" t="s">
        <v>1281</v>
      </c>
      <c r="AF259" s="4">
        <v>46160</v>
      </c>
      <c r="AG259" s="5">
        <v>0.3923611111111111</v>
      </c>
      <c r="AH259" s="1" t="s">
        <v>60</v>
      </c>
      <c r="AI259" s="1" t="s">
        <v>1280</v>
      </c>
      <c r="AJ259" s="4">
        <v>46173</v>
      </c>
      <c r="AK259" s="5">
        <v>0.12847222222222221</v>
      </c>
      <c r="AL259" s="1" t="s">
        <v>215</v>
      </c>
      <c r="AM259" s="1"/>
    </row>
    <row r="260" spans="1:39" x14ac:dyDescent="0.3">
      <c r="A260" s="1">
        <v>792950</v>
      </c>
      <c r="B260" s="1">
        <v>641990</v>
      </c>
      <c r="C260" s="1" t="s">
        <v>1189</v>
      </c>
      <c r="D260" s="38" t="s">
        <v>1779</v>
      </c>
      <c r="E260" s="4">
        <v>30979</v>
      </c>
      <c r="F260" s="1">
        <v>41</v>
      </c>
      <c r="G260" s="1" t="s">
        <v>212</v>
      </c>
      <c r="H260" s="1" t="s">
        <v>1501</v>
      </c>
      <c r="I260" s="1" t="s">
        <v>1501</v>
      </c>
      <c r="J260" s="1">
        <v>8540</v>
      </c>
      <c r="K260" s="1" t="s">
        <v>78</v>
      </c>
      <c r="L260" s="1" t="s">
        <v>8</v>
      </c>
      <c r="M260" s="1" t="s">
        <v>13</v>
      </c>
      <c r="N260" s="1" t="s">
        <v>5</v>
      </c>
      <c r="O260" s="1" t="s">
        <v>216</v>
      </c>
      <c r="P260" s="1" t="s">
        <v>53</v>
      </c>
      <c r="Q260" s="1" t="s">
        <v>8</v>
      </c>
      <c r="R260" s="1" t="s">
        <v>11</v>
      </c>
      <c r="S260" s="1"/>
      <c r="T260" s="1"/>
      <c r="U260" s="1"/>
      <c r="V260" s="1" t="str">
        <f>IF(pilgrims[[#This Row],[packages.second_hotel_name]]="",pilgrims[[#This Row],[packages.first_hotel_name]],pilgrims[[#This Row],[packages.second_hotel_name]])</f>
        <v>Movenpick Anwar Almadinah Hotel</v>
      </c>
      <c r="W260" s="1" t="str">
        <f>IF(pilgrims[[#This Row],[packages.second_hotel_name]]="",pilgrims[[#This Row],[packages.first_hotel_check_in]],pilgrims[[#This Row],[packages.second_hotel_check_in]])</f>
        <v>2026-05-21</v>
      </c>
      <c r="X260" s="1" t="str">
        <f>IF(pilgrims[[#This Row],[packages.second_hotel_name]]="",pilgrims[[#This Row],[packages.first_hotel_check_out]],pilgrims[[#This Row],[packages.second_hotel_check_out]])</f>
        <v>2026-05-24</v>
      </c>
      <c r="Y260" s="1"/>
      <c r="Z260" s="1" t="s">
        <v>261</v>
      </c>
      <c r="AA260" s="1" t="s">
        <v>636</v>
      </c>
      <c r="AB260" s="1" t="s">
        <v>1344</v>
      </c>
      <c r="AC260" s="1" t="s">
        <v>637</v>
      </c>
      <c r="AD260" s="1" t="s">
        <v>1345</v>
      </c>
      <c r="AE260" s="1" t="s">
        <v>1281</v>
      </c>
      <c r="AF260" s="4">
        <v>46163</v>
      </c>
      <c r="AG260" s="5">
        <v>0.99652777777777779</v>
      </c>
      <c r="AH260" s="1" t="s">
        <v>1346</v>
      </c>
      <c r="AI260" s="1" t="s">
        <v>1280</v>
      </c>
      <c r="AJ260" s="4">
        <v>46173</v>
      </c>
      <c r="AK260" s="5">
        <v>0.20833333333333334</v>
      </c>
      <c r="AL260" s="1" t="s">
        <v>215</v>
      </c>
      <c r="AM260" s="1"/>
    </row>
    <row r="261" spans="1:39" x14ac:dyDescent="0.3">
      <c r="A261" s="1">
        <v>723323</v>
      </c>
      <c r="B261" s="1">
        <v>586343</v>
      </c>
      <c r="C261" s="1" t="s">
        <v>1189</v>
      </c>
      <c r="D261" s="38" t="s">
        <v>1780</v>
      </c>
      <c r="E261" s="4">
        <v>26317</v>
      </c>
      <c r="F261" s="1">
        <v>54</v>
      </c>
      <c r="G261" s="1" t="s">
        <v>212</v>
      </c>
      <c r="H261" s="1" t="s">
        <v>1501</v>
      </c>
      <c r="I261" s="1" t="s">
        <v>1501</v>
      </c>
      <c r="J261" s="1">
        <v>8538</v>
      </c>
      <c r="K261" s="1" t="s">
        <v>88</v>
      </c>
      <c r="L261" s="1" t="s">
        <v>8</v>
      </c>
      <c r="M261" s="1" t="s">
        <v>4</v>
      </c>
      <c r="N261" s="1" t="s">
        <v>15</v>
      </c>
      <c r="O261" s="1" t="s">
        <v>216</v>
      </c>
      <c r="P261" s="1" t="s">
        <v>53</v>
      </c>
      <c r="Q261" s="1" t="s">
        <v>8</v>
      </c>
      <c r="R261" s="1" t="s">
        <v>16</v>
      </c>
      <c r="S261" s="1" t="s">
        <v>5</v>
      </c>
      <c r="T261" s="1" t="s">
        <v>53</v>
      </c>
      <c r="U261" s="1" t="s">
        <v>6</v>
      </c>
      <c r="V261" s="1" t="str">
        <f>IF(pilgrims[[#This Row],[packages.second_hotel_name]]="",pilgrims[[#This Row],[packages.first_hotel_name]],pilgrims[[#This Row],[packages.second_hotel_name]])</f>
        <v>Movenpick Anwar Almadinah Hotel</v>
      </c>
      <c r="W261" s="1" t="str">
        <f>IF(pilgrims[[#This Row],[packages.second_hotel_name]]="",pilgrims[[#This Row],[packages.first_hotel_check_in]],pilgrims[[#This Row],[packages.second_hotel_check_in]])</f>
        <v>2026-05-30</v>
      </c>
      <c r="X261" s="1" t="str">
        <f>IF(pilgrims[[#This Row],[packages.second_hotel_name]]="",pilgrims[[#This Row],[packages.first_hotel_check_out]],pilgrims[[#This Row],[packages.second_hotel_check_out]])</f>
        <v>2026-06-02</v>
      </c>
      <c r="Y261" s="1" t="s">
        <v>4</v>
      </c>
      <c r="Z261" s="1" t="s">
        <v>214</v>
      </c>
      <c r="AA261" s="1" t="s">
        <v>1191</v>
      </c>
      <c r="AB261" s="1" t="s">
        <v>1191</v>
      </c>
      <c r="AC261" s="1" t="s">
        <v>212</v>
      </c>
      <c r="AD261" s="1" t="s">
        <v>57</v>
      </c>
      <c r="AE261" s="1" t="s">
        <v>1280</v>
      </c>
      <c r="AF261" s="4">
        <v>46163</v>
      </c>
      <c r="AG261" s="5">
        <v>0.2361111111111111</v>
      </c>
      <c r="AH261" s="1" t="s">
        <v>76</v>
      </c>
      <c r="AI261" s="1" t="s">
        <v>1281</v>
      </c>
      <c r="AJ261" s="4">
        <v>46175</v>
      </c>
      <c r="AK261" s="5">
        <v>0.93055555555555558</v>
      </c>
      <c r="AL261" s="1" t="s">
        <v>215</v>
      </c>
      <c r="AM261" s="1"/>
    </row>
    <row r="262" spans="1:39" x14ac:dyDescent="0.3">
      <c r="A262" s="1">
        <v>723341</v>
      </c>
      <c r="B262" s="1">
        <v>586343</v>
      </c>
      <c r="C262" s="1" t="s">
        <v>1189</v>
      </c>
      <c r="D262" s="38" t="s">
        <v>1781</v>
      </c>
      <c r="E262" s="4">
        <v>37478</v>
      </c>
      <c r="F262" s="1">
        <v>23</v>
      </c>
      <c r="G262" s="1" t="s">
        <v>212</v>
      </c>
      <c r="H262" s="1" t="s">
        <v>1501</v>
      </c>
      <c r="I262" s="1" t="s">
        <v>1501</v>
      </c>
      <c r="J262" s="1">
        <v>8538</v>
      </c>
      <c r="K262" s="1" t="s">
        <v>88</v>
      </c>
      <c r="L262" s="1" t="s">
        <v>8</v>
      </c>
      <c r="M262" s="1" t="s">
        <v>4</v>
      </c>
      <c r="N262" s="1" t="s">
        <v>15</v>
      </c>
      <c r="O262" s="1" t="s">
        <v>216</v>
      </c>
      <c r="P262" s="1" t="s">
        <v>53</v>
      </c>
      <c r="Q262" s="1" t="s">
        <v>8</v>
      </c>
      <c r="R262" s="1" t="s">
        <v>16</v>
      </c>
      <c r="S262" s="1" t="s">
        <v>5</v>
      </c>
      <c r="T262" s="1" t="s">
        <v>53</v>
      </c>
      <c r="U262" s="1" t="s">
        <v>6</v>
      </c>
      <c r="V262" s="1" t="str">
        <f>IF(pilgrims[[#This Row],[packages.second_hotel_name]]="",pilgrims[[#This Row],[packages.first_hotel_name]],pilgrims[[#This Row],[packages.second_hotel_name]])</f>
        <v>Movenpick Anwar Almadinah Hotel</v>
      </c>
      <c r="W262" s="1" t="str">
        <f>IF(pilgrims[[#This Row],[packages.second_hotel_name]]="",pilgrims[[#This Row],[packages.first_hotel_check_in]],pilgrims[[#This Row],[packages.second_hotel_check_in]])</f>
        <v>2026-05-30</v>
      </c>
      <c r="X262" s="1" t="str">
        <f>IF(pilgrims[[#This Row],[packages.second_hotel_name]]="",pilgrims[[#This Row],[packages.first_hotel_check_out]],pilgrims[[#This Row],[packages.second_hotel_check_out]])</f>
        <v>2026-06-02</v>
      </c>
      <c r="Y262" s="1" t="s">
        <v>4</v>
      </c>
      <c r="Z262" s="1" t="s">
        <v>214</v>
      </c>
      <c r="AA262" s="1" t="s">
        <v>1191</v>
      </c>
      <c r="AB262" s="1" t="s">
        <v>1191</v>
      </c>
      <c r="AC262" s="1" t="s">
        <v>212</v>
      </c>
      <c r="AD262" s="1" t="s">
        <v>57</v>
      </c>
      <c r="AE262" s="1" t="s">
        <v>1280</v>
      </c>
      <c r="AF262" s="4">
        <v>46163</v>
      </c>
      <c r="AG262" s="5">
        <v>0.2361111111111111</v>
      </c>
      <c r="AH262" s="1" t="s">
        <v>76</v>
      </c>
      <c r="AI262" s="1" t="s">
        <v>1281</v>
      </c>
      <c r="AJ262" s="4">
        <v>46175</v>
      </c>
      <c r="AK262" s="5">
        <v>0.93055555555555558</v>
      </c>
      <c r="AL262" s="1" t="s">
        <v>215</v>
      </c>
      <c r="AM262" s="1"/>
    </row>
    <row r="263" spans="1:39" x14ac:dyDescent="0.3">
      <c r="A263" s="1">
        <v>792989</v>
      </c>
      <c r="B263" s="1">
        <v>641990</v>
      </c>
      <c r="C263" s="1" t="s">
        <v>1189</v>
      </c>
      <c r="D263" s="38" t="s">
        <v>1782</v>
      </c>
      <c r="E263" s="4">
        <v>25651</v>
      </c>
      <c r="F263" s="1">
        <v>55</v>
      </c>
      <c r="G263" s="1" t="s">
        <v>212</v>
      </c>
      <c r="H263" s="1" t="s">
        <v>1501</v>
      </c>
      <c r="I263" s="1" t="s">
        <v>1501</v>
      </c>
      <c r="J263" s="1">
        <v>8540</v>
      </c>
      <c r="K263" s="1" t="s">
        <v>78</v>
      </c>
      <c r="L263" s="1" t="s">
        <v>8</v>
      </c>
      <c r="M263" s="1" t="s">
        <v>13</v>
      </c>
      <c r="N263" s="1" t="s">
        <v>5</v>
      </c>
      <c r="O263" s="1" t="s">
        <v>216</v>
      </c>
      <c r="P263" s="1" t="s">
        <v>53</v>
      </c>
      <c r="Q263" s="1" t="s">
        <v>8</v>
      </c>
      <c r="R263" s="1" t="s">
        <v>11</v>
      </c>
      <c r="S263" s="1"/>
      <c r="T263" s="1"/>
      <c r="U263" s="1"/>
      <c r="V263" s="1" t="str">
        <f>IF(pilgrims[[#This Row],[packages.second_hotel_name]]="",pilgrims[[#This Row],[packages.first_hotel_name]],pilgrims[[#This Row],[packages.second_hotel_name]])</f>
        <v>Movenpick Anwar Almadinah Hotel</v>
      </c>
      <c r="W263" s="1" t="str">
        <f>IF(pilgrims[[#This Row],[packages.second_hotel_name]]="",pilgrims[[#This Row],[packages.first_hotel_check_in]],pilgrims[[#This Row],[packages.second_hotel_check_in]])</f>
        <v>2026-05-21</v>
      </c>
      <c r="X263" s="1" t="str">
        <f>IF(pilgrims[[#This Row],[packages.second_hotel_name]]="",pilgrims[[#This Row],[packages.first_hotel_check_out]],pilgrims[[#This Row],[packages.second_hotel_check_out]])</f>
        <v>2026-05-24</v>
      </c>
      <c r="Y263" s="1"/>
      <c r="Z263" s="1" t="s">
        <v>261</v>
      </c>
      <c r="AA263" s="1" t="s">
        <v>636</v>
      </c>
      <c r="AB263" s="1" t="s">
        <v>1344</v>
      </c>
      <c r="AC263" s="1" t="s">
        <v>637</v>
      </c>
      <c r="AD263" s="1" t="s">
        <v>1345</v>
      </c>
      <c r="AE263" s="1" t="s">
        <v>1281</v>
      </c>
      <c r="AF263" s="4">
        <v>46163</v>
      </c>
      <c r="AG263" s="5">
        <v>0.99652777777777779</v>
      </c>
      <c r="AH263" s="1" t="s">
        <v>1346</v>
      </c>
      <c r="AI263" s="1" t="s">
        <v>1280</v>
      </c>
      <c r="AJ263" s="4">
        <v>46173</v>
      </c>
      <c r="AK263" s="5">
        <v>0.20833333333333334</v>
      </c>
      <c r="AL263" s="1" t="s">
        <v>215</v>
      </c>
      <c r="AM263" s="1"/>
    </row>
    <row r="264" spans="1:39" x14ac:dyDescent="0.3">
      <c r="A264" s="1">
        <v>723353</v>
      </c>
      <c r="B264" s="1">
        <v>586343</v>
      </c>
      <c r="C264" s="1" t="s">
        <v>1188</v>
      </c>
      <c r="D264" s="38" t="s">
        <v>1783</v>
      </c>
      <c r="E264" s="4">
        <v>25133</v>
      </c>
      <c r="F264" s="1">
        <v>57</v>
      </c>
      <c r="G264" s="1" t="s">
        <v>212</v>
      </c>
      <c r="H264" s="1" t="s">
        <v>1501</v>
      </c>
      <c r="I264" s="1" t="s">
        <v>1501</v>
      </c>
      <c r="J264" s="1">
        <v>8538</v>
      </c>
      <c r="K264" s="1" t="s">
        <v>88</v>
      </c>
      <c r="L264" s="1" t="s">
        <v>8</v>
      </c>
      <c r="M264" s="1" t="s">
        <v>4</v>
      </c>
      <c r="N264" s="1" t="s">
        <v>15</v>
      </c>
      <c r="O264" s="1" t="s">
        <v>216</v>
      </c>
      <c r="P264" s="1" t="s">
        <v>53</v>
      </c>
      <c r="Q264" s="1" t="s">
        <v>8</v>
      </c>
      <c r="R264" s="1" t="s">
        <v>16</v>
      </c>
      <c r="S264" s="1" t="s">
        <v>5</v>
      </c>
      <c r="T264" s="1" t="s">
        <v>53</v>
      </c>
      <c r="U264" s="1" t="s">
        <v>6</v>
      </c>
      <c r="V264" s="1" t="str">
        <f>IF(pilgrims[[#This Row],[packages.second_hotel_name]]="",pilgrims[[#This Row],[packages.first_hotel_name]],pilgrims[[#This Row],[packages.second_hotel_name]])</f>
        <v>Movenpick Anwar Almadinah Hotel</v>
      </c>
      <c r="W264" s="1" t="str">
        <f>IF(pilgrims[[#This Row],[packages.second_hotel_name]]="",pilgrims[[#This Row],[packages.first_hotel_check_in]],pilgrims[[#This Row],[packages.second_hotel_check_in]])</f>
        <v>2026-05-30</v>
      </c>
      <c r="X264" s="1" t="str">
        <f>IF(pilgrims[[#This Row],[packages.second_hotel_name]]="",pilgrims[[#This Row],[packages.first_hotel_check_out]],pilgrims[[#This Row],[packages.second_hotel_check_out]])</f>
        <v>2026-06-02</v>
      </c>
      <c r="Y264" s="1" t="s">
        <v>4</v>
      </c>
      <c r="Z264" s="1" t="s">
        <v>214</v>
      </c>
      <c r="AA264" s="1" t="s">
        <v>1191</v>
      </c>
      <c r="AB264" s="1" t="s">
        <v>1191</v>
      </c>
      <c r="AC264" s="1" t="s">
        <v>212</v>
      </c>
      <c r="AD264" s="1" t="s">
        <v>57</v>
      </c>
      <c r="AE264" s="1" t="s">
        <v>1280</v>
      </c>
      <c r="AF264" s="4">
        <v>46163</v>
      </c>
      <c r="AG264" s="5">
        <v>0.2361111111111111</v>
      </c>
      <c r="AH264" s="1" t="s">
        <v>76</v>
      </c>
      <c r="AI264" s="1" t="s">
        <v>1281</v>
      </c>
      <c r="AJ264" s="4">
        <v>46175</v>
      </c>
      <c r="AK264" s="5">
        <v>0.93055555555555558</v>
      </c>
      <c r="AL264" s="1" t="s">
        <v>215</v>
      </c>
      <c r="AM264" s="1"/>
    </row>
    <row r="265" spans="1:39" x14ac:dyDescent="0.3">
      <c r="A265" s="1">
        <v>425825</v>
      </c>
      <c r="B265" s="1">
        <v>332676</v>
      </c>
      <c r="C265" s="1" t="s">
        <v>1189</v>
      </c>
      <c r="D265" s="38" t="s">
        <v>1784</v>
      </c>
      <c r="E265" s="4">
        <v>28245</v>
      </c>
      <c r="F265" s="1">
        <v>48</v>
      </c>
      <c r="G265" s="1" t="s">
        <v>212</v>
      </c>
      <c r="H265" s="1" t="s">
        <v>1501</v>
      </c>
      <c r="I265" s="1" t="s">
        <v>1501</v>
      </c>
      <c r="J265" s="1">
        <v>8530</v>
      </c>
      <c r="K265" s="1" t="s">
        <v>83</v>
      </c>
      <c r="L265" s="1" t="s">
        <v>19</v>
      </c>
      <c r="M265" s="1" t="s">
        <v>13</v>
      </c>
      <c r="N265" s="1" t="s">
        <v>5</v>
      </c>
      <c r="O265" s="1" t="s">
        <v>216</v>
      </c>
      <c r="P265" s="1" t="s">
        <v>53</v>
      </c>
      <c r="Q265" s="1" t="s">
        <v>19</v>
      </c>
      <c r="R265" s="1" t="s">
        <v>8</v>
      </c>
      <c r="S265" s="1" t="s">
        <v>15</v>
      </c>
      <c r="T265" s="1" t="s">
        <v>53</v>
      </c>
      <c r="U265" s="1" t="s">
        <v>8</v>
      </c>
      <c r="V265" s="1" t="str">
        <f>IF(pilgrims[[#This Row],[packages.second_hotel_name]]="",pilgrims[[#This Row],[packages.first_hotel_name]],pilgrims[[#This Row],[packages.second_hotel_name]])</f>
        <v>Swissotel Al Maqam Makkah</v>
      </c>
      <c r="W265" s="1" t="str">
        <f>IF(pilgrims[[#This Row],[packages.second_hotel_name]]="",pilgrims[[#This Row],[packages.first_hotel_check_in]],pilgrims[[#This Row],[packages.second_hotel_check_in]])</f>
        <v>2026-05-21</v>
      </c>
      <c r="X265" s="1" t="str">
        <f>IF(pilgrims[[#This Row],[packages.second_hotel_name]]="",pilgrims[[#This Row],[packages.first_hotel_check_out]],pilgrims[[#This Row],[packages.second_hotel_check_out]])</f>
        <v>2026-05-25</v>
      </c>
      <c r="Y265" s="1" t="s">
        <v>16</v>
      </c>
      <c r="Z265" s="1" t="s">
        <v>261</v>
      </c>
      <c r="AA265" s="1" t="s">
        <v>645</v>
      </c>
      <c r="AB265" s="1" t="s">
        <v>1336</v>
      </c>
      <c r="AC265" s="1" t="s">
        <v>646</v>
      </c>
      <c r="AD265" s="1" t="s">
        <v>1308</v>
      </c>
      <c r="AE265" s="1" t="s">
        <v>1281</v>
      </c>
      <c r="AF265" s="4">
        <v>46160</v>
      </c>
      <c r="AG265" s="5">
        <v>0.78472222222222221</v>
      </c>
      <c r="AH265" s="1" t="s">
        <v>1309</v>
      </c>
      <c r="AI265" s="1" t="s">
        <v>1280</v>
      </c>
      <c r="AJ265" s="4">
        <v>46173</v>
      </c>
      <c r="AK265" s="5">
        <v>0.3125</v>
      </c>
      <c r="AL265" s="1" t="s">
        <v>215</v>
      </c>
      <c r="AM265" s="1"/>
    </row>
    <row r="266" spans="1:39" x14ac:dyDescent="0.3">
      <c r="A266" s="1">
        <v>663303</v>
      </c>
      <c r="B266" s="1">
        <v>539099</v>
      </c>
      <c r="C266" s="1" t="s">
        <v>1188</v>
      </c>
      <c r="D266" s="38" t="s">
        <v>1785</v>
      </c>
      <c r="E266" s="4">
        <v>24041</v>
      </c>
      <c r="F266" s="1">
        <v>60</v>
      </c>
      <c r="G266" s="1" t="s">
        <v>212</v>
      </c>
      <c r="H266" s="1" t="s">
        <v>1501</v>
      </c>
      <c r="I266" s="1" t="s">
        <v>1501</v>
      </c>
      <c r="J266" s="1">
        <v>8535</v>
      </c>
      <c r="K266" s="1" t="s">
        <v>86</v>
      </c>
      <c r="L266" s="1" t="s">
        <v>8</v>
      </c>
      <c r="M266" s="1" t="s">
        <v>4</v>
      </c>
      <c r="N266" s="1" t="s">
        <v>12</v>
      </c>
      <c r="O266" s="1" t="s">
        <v>216</v>
      </c>
      <c r="P266" s="1" t="s">
        <v>53</v>
      </c>
      <c r="Q266" s="1" t="s">
        <v>8</v>
      </c>
      <c r="R266" s="1" t="s">
        <v>11</v>
      </c>
      <c r="S266" s="1" t="s">
        <v>20</v>
      </c>
      <c r="T266" s="1" t="s">
        <v>53</v>
      </c>
      <c r="U266" s="1" t="s">
        <v>6</v>
      </c>
      <c r="V266" s="1" t="str">
        <f>IF(pilgrims[[#This Row],[packages.second_hotel_name]]="",pilgrims[[#This Row],[packages.first_hotel_name]],pilgrims[[#This Row],[packages.second_hotel_name]])</f>
        <v>Daral Taqwa Hotel</v>
      </c>
      <c r="W266" s="1" t="str">
        <f>IF(pilgrims[[#This Row],[packages.second_hotel_name]]="",pilgrims[[#This Row],[packages.first_hotel_check_in]],pilgrims[[#This Row],[packages.second_hotel_check_in]])</f>
        <v>2026-05-30</v>
      </c>
      <c r="X266" s="1" t="str">
        <f>IF(pilgrims[[#This Row],[packages.second_hotel_name]]="",pilgrims[[#This Row],[packages.first_hotel_check_out]],pilgrims[[#This Row],[packages.second_hotel_check_out]])</f>
        <v>2026-06-02</v>
      </c>
      <c r="Y266" s="1" t="s">
        <v>4</v>
      </c>
      <c r="Z266" s="1" t="s">
        <v>214</v>
      </c>
      <c r="AA266" s="1" t="s">
        <v>1196</v>
      </c>
      <c r="AB266" s="1" t="s">
        <v>1196</v>
      </c>
      <c r="AC266" s="1" t="s">
        <v>212</v>
      </c>
      <c r="AD266" s="1" t="s">
        <v>61</v>
      </c>
      <c r="AE266" s="1" t="s">
        <v>1280</v>
      </c>
      <c r="AF266" s="4">
        <v>46164</v>
      </c>
      <c r="AG266" s="5">
        <v>0.57986111111111116</v>
      </c>
      <c r="AH266" s="1" t="s">
        <v>72</v>
      </c>
      <c r="AI266" s="1" t="s">
        <v>1281</v>
      </c>
      <c r="AJ266" s="4">
        <v>46172</v>
      </c>
      <c r="AK266" s="5">
        <v>0.25347222222222221</v>
      </c>
      <c r="AL266" s="1" t="s">
        <v>215</v>
      </c>
      <c r="AM266" s="1"/>
    </row>
    <row r="267" spans="1:39" x14ac:dyDescent="0.3">
      <c r="A267" s="1">
        <v>425860</v>
      </c>
      <c r="B267" s="1">
        <v>332676</v>
      </c>
      <c r="C267" s="1" t="s">
        <v>1188</v>
      </c>
      <c r="D267" s="38" t="s">
        <v>1786</v>
      </c>
      <c r="E267" s="4">
        <v>28171</v>
      </c>
      <c r="F267" s="1">
        <v>49</v>
      </c>
      <c r="G267" s="1" t="s">
        <v>212</v>
      </c>
      <c r="H267" s="1" t="s">
        <v>1501</v>
      </c>
      <c r="I267" s="1" t="s">
        <v>1501</v>
      </c>
      <c r="J267" s="1">
        <v>8530</v>
      </c>
      <c r="K267" s="1" t="s">
        <v>83</v>
      </c>
      <c r="L267" s="1" t="s">
        <v>19</v>
      </c>
      <c r="M267" s="1" t="s">
        <v>13</v>
      </c>
      <c r="N267" s="1" t="s">
        <v>5</v>
      </c>
      <c r="O267" s="1" t="s">
        <v>216</v>
      </c>
      <c r="P267" s="1" t="s">
        <v>53</v>
      </c>
      <c r="Q267" s="1" t="s">
        <v>19</v>
      </c>
      <c r="R267" s="1" t="s">
        <v>8</v>
      </c>
      <c r="S267" s="1" t="s">
        <v>15</v>
      </c>
      <c r="T267" s="1" t="s">
        <v>53</v>
      </c>
      <c r="U267" s="1" t="s">
        <v>8</v>
      </c>
      <c r="V267" s="1" t="str">
        <f>IF(pilgrims[[#This Row],[packages.second_hotel_name]]="",pilgrims[[#This Row],[packages.first_hotel_name]],pilgrims[[#This Row],[packages.second_hotel_name]])</f>
        <v>Swissotel Al Maqam Makkah</v>
      </c>
      <c r="W267" s="1" t="str">
        <f>IF(pilgrims[[#This Row],[packages.second_hotel_name]]="",pilgrims[[#This Row],[packages.first_hotel_check_in]],pilgrims[[#This Row],[packages.second_hotel_check_in]])</f>
        <v>2026-05-21</v>
      </c>
      <c r="X267" s="1" t="str">
        <f>IF(pilgrims[[#This Row],[packages.second_hotel_name]]="",pilgrims[[#This Row],[packages.first_hotel_check_out]],pilgrims[[#This Row],[packages.second_hotel_check_out]])</f>
        <v>2026-05-25</v>
      </c>
      <c r="Y267" s="1" t="s">
        <v>16</v>
      </c>
      <c r="Z267" s="1" t="s">
        <v>261</v>
      </c>
      <c r="AA267" s="1" t="s">
        <v>645</v>
      </c>
      <c r="AB267" s="1" t="s">
        <v>1336</v>
      </c>
      <c r="AC267" s="1" t="s">
        <v>646</v>
      </c>
      <c r="AD267" s="1" t="s">
        <v>1308</v>
      </c>
      <c r="AE267" s="1" t="s">
        <v>1281</v>
      </c>
      <c r="AF267" s="4">
        <v>46160</v>
      </c>
      <c r="AG267" s="5">
        <v>0.78472222222222221</v>
      </c>
      <c r="AH267" s="1" t="s">
        <v>1309</v>
      </c>
      <c r="AI267" s="1" t="s">
        <v>1280</v>
      </c>
      <c r="AJ267" s="4">
        <v>46173</v>
      </c>
      <c r="AK267" s="5">
        <v>0.3125</v>
      </c>
      <c r="AL267" s="1" t="s">
        <v>215</v>
      </c>
      <c r="AM267" s="1"/>
    </row>
    <row r="268" spans="1:39" x14ac:dyDescent="0.3">
      <c r="A268" s="1">
        <v>663479</v>
      </c>
      <c r="B268" s="1">
        <v>539099</v>
      </c>
      <c r="C268" s="1" t="s">
        <v>1189</v>
      </c>
      <c r="D268" s="38" t="s">
        <v>1787</v>
      </c>
      <c r="E268" s="4">
        <v>28463</v>
      </c>
      <c r="F268" s="1">
        <v>48</v>
      </c>
      <c r="G268" s="1" t="s">
        <v>212</v>
      </c>
      <c r="H268" s="1" t="s">
        <v>1501</v>
      </c>
      <c r="I268" s="1" t="s">
        <v>1501</v>
      </c>
      <c r="J268" s="1">
        <v>8535</v>
      </c>
      <c r="K268" s="1" t="s">
        <v>86</v>
      </c>
      <c r="L268" s="1" t="s">
        <v>8</v>
      </c>
      <c r="M268" s="1" t="s">
        <v>4</v>
      </c>
      <c r="N268" s="1" t="s">
        <v>12</v>
      </c>
      <c r="O268" s="1" t="s">
        <v>216</v>
      </c>
      <c r="P268" s="1" t="s">
        <v>53</v>
      </c>
      <c r="Q268" s="1" t="s">
        <v>8</v>
      </c>
      <c r="R268" s="1" t="s">
        <v>11</v>
      </c>
      <c r="S268" s="1" t="s">
        <v>20</v>
      </c>
      <c r="T268" s="1" t="s">
        <v>53</v>
      </c>
      <c r="U268" s="1" t="s">
        <v>6</v>
      </c>
      <c r="V268" s="1" t="str">
        <f>IF(pilgrims[[#This Row],[packages.second_hotel_name]]="",pilgrims[[#This Row],[packages.first_hotel_name]],pilgrims[[#This Row],[packages.second_hotel_name]])</f>
        <v>Daral Taqwa Hotel</v>
      </c>
      <c r="W268" s="1" t="str">
        <f>IF(pilgrims[[#This Row],[packages.second_hotel_name]]="",pilgrims[[#This Row],[packages.first_hotel_check_in]],pilgrims[[#This Row],[packages.second_hotel_check_in]])</f>
        <v>2026-05-30</v>
      </c>
      <c r="X268" s="1" t="str">
        <f>IF(pilgrims[[#This Row],[packages.second_hotel_name]]="",pilgrims[[#This Row],[packages.first_hotel_check_out]],pilgrims[[#This Row],[packages.second_hotel_check_out]])</f>
        <v>2026-06-02</v>
      </c>
      <c r="Y268" s="1" t="s">
        <v>4</v>
      </c>
      <c r="Z268" s="1" t="s">
        <v>214</v>
      </c>
      <c r="AA268" s="1" t="s">
        <v>1196</v>
      </c>
      <c r="AB268" s="1" t="s">
        <v>1196</v>
      </c>
      <c r="AC268" s="1" t="s">
        <v>212</v>
      </c>
      <c r="AD268" s="1" t="s">
        <v>61</v>
      </c>
      <c r="AE268" s="1" t="s">
        <v>1280</v>
      </c>
      <c r="AF268" s="4">
        <v>46164</v>
      </c>
      <c r="AG268" s="5">
        <v>0.57986111111111116</v>
      </c>
      <c r="AH268" s="1" t="s">
        <v>72</v>
      </c>
      <c r="AI268" s="1" t="s">
        <v>1281</v>
      </c>
      <c r="AJ268" s="4">
        <v>46172</v>
      </c>
      <c r="AK268" s="5">
        <v>0.25347222222222221</v>
      </c>
      <c r="AL268" s="1" t="s">
        <v>215</v>
      </c>
      <c r="AM268" s="1"/>
    </row>
    <row r="269" spans="1:39" x14ac:dyDescent="0.3">
      <c r="A269" s="1">
        <v>694359</v>
      </c>
      <c r="B269" s="1">
        <v>564201</v>
      </c>
      <c r="C269" s="1" t="s">
        <v>1188</v>
      </c>
      <c r="D269" s="38" t="s">
        <v>1788</v>
      </c>
      <c r="E269" s="4">
        <v>24119</v>
      </c>
      <c r="F269" s="1">
        <v>60</v>
      </c>
      <c r="G269" s="1" t="s">
        <v>212</v>
      </c>
      <c r="H269" s="1" t="s">
        <v>1501</v>
      </c>
      <c r="I269" s="1" t="s">
        <v>1501</v>
      </c>
      <c r="J269" s="1">
        <v>8540</v>
      </c>
      <c r="K269" s="1" t="s">
        <v>78</v>
      </c>
      <c r="L269" s="1" t="s">
        <v>8</v>
      </c>
      <c r="M269" s="1" t="s">
        <v>13</v>
      </c>
      <c r="N269" s="1" t="s">
        <v>5</v>
      </c>
      <c r="O269" s="1" t="s">
        <v>216</v>
      </c>
      <c r="P269" s="1" t="s">
        <v>53</v>
      </c>
      <c r="Q269" s="1" t="s">
        <v>8</v>
      </c>
      <c r="R269" s="1" t="s">
        <v>11</v>
      </c>
      <c r="S269" s="1"/>
      <c r="T269" s="1"/>
      <c r="U269" s="1"/>
      <c r="V269" s="1" t="str">
        <f>IF(pilgrims[[#This Row],[packages.second_hotel_name]]="",pilgrims[[#This Row],[packages.first_hotel_name]],pilgrims[[#This Row],[packages.second_hotel_name]])</f>
        <v>Movenpick Anwar Almadinah Hotel</v>
      </c>
      <c r="W269" s="1" t="str">
        <f>IF(pilgrims[[#This Row],[packages.second_hotel_name]]="",pilgrims[[#This Row],[packages.first_hotel_check_in]],pilgrims[[#This Row],[packages.second_hotel_check_in]])</f>
        <v>2026-05-21</v>
      </c>
      <c r="X269" s="1" t="str">
        <f>IF(pilgrims[[#This Row],[packages.second_hotel_name]]="",pilgrims[[#This Row],[packages.first_hotel_check_out]],pilgrims[[#This Row],[packages.second_hotel_check_out]])</f>
        <v>2026-05-24</v>
      </c>
      <c r="Y269" s="1"/>
      <c r="Z269" s="1" t="s">
        <v>261</v>
      </c>
      <c r="AA269" s="1" t="s">
        <v>651</v>
      </c>
      <c r="AB269" s="1" t="s">
        <v>1347</v>
      </c>
      <c r="AC269" s="1" t="s">
        <v>652</v>
      </c>
      <c r="AD269" s="1" t="s">
        <v>1348</v>
      </c>
      <c r="AE269" s="1" t="s">
        <v>1281</v>
      </c>
      <c r="AF269" s="4">
        <v>46163</v>
      </c>
      <c r="AG269" s="5">
        <v>0.71180555555555558</v>
      </c>
      <c r="AH269" s="1" t="s">
        <v>1349</v>
      </c>
      <c r="AI269" s="1" t="s">
        <v>1280</v>
      </c>
      <c r="AJ269" s="4">
        <v>46173</v>
      </c>
      <c r="AK269" s="5">
        <v>0.5</v>
      </c>
      <c r="AL269" s="1" t="s">
        <v>215</v>
      </c>
      <c r="AM269" s="1"/>
    </row>
    <row r="270" spans="1:39" x14ac:dyDescent="0.3">
      <c r="A270" s="1">
        <v>663502</v>
      </c>
      <c r="B270" s="1">
        <v>539099</v>
      </c>
      <c r="C270" s="1" t="s">
        <v>1189</v>
      </c>
      <c r="D270" s="38" t="s">
        <v>1789</v>
      </c>
      <c r="E270" s="4">
        <v>38149</v>
      </c>
      <c r="F270" s="1">
        <v>21</v>
      </c>
      <c r="G270" s="1" t="s">
        <v>212</v>
      </c>
      <c r="H270" s="1" t="s">
        <v>1501</v>
      </c>
      <c r="I270" s="1" t="s">
        <v>1501</v>
      </c>
      <c r="J270" s="1">
        <v>8535</v>
      </c>
      <c r="K270" s="1" t="s">
        <v>86</v>
      </c>
      <c r="L270" s="1" t="s">
        <v>8</v>
      </c>
      <c r="M270" s="1" t="s">
        <v>4</v>
      </c>
      <c r="N270" s="1" t="s">
        <v>12</v>
      </c>
      <c r="O270" s="1" t="s">
        <v>216</v>
      </c>
      <c r="P270" s="1" t="s">
        <v>53</v>
      </c>
      <c r="Q270" s="1" t="s">
        <v>8</v>
      </c>
      <c r="R270" s="1" t="s">
        <v>11</v>
      </c>
      <c r="S270" s="1" t="s">
        <v>20</v>
      </c>
      <c r="T270" s="1" t="s">
        <v>53</v>
      </c>
      <c r="U270" s="1" t="s">
        <v>6</v>
      </c>
      <c r="V270" s="1" t="str">
        <f>IF(pilgrims[[#This Row],[packages.second_hotel_name]]="",pilgrims[[#This Row],[packages.first_hotel_name]],pilgrims[[#This Row],[packages.second_hotel_name]])</f>
        <v>Daral Taqwa Hotel</v>
      </c>
      <c r="W270" s="1" t="str">
        <f>IF(pilgrims[[#This Row],[packages.second_hotel_name]]="",pilgrims[[#This Row],[packages.first_hotel_check_in]],pilgrims[[#This Row],[packages.second_hotel_check_in]])</f>
        <v>2026-05-30</v>
      </c>
      <c r="X270" s="1" t="str">
        <f>IF(pilgrims[[#This Row],[packages.second_hotel_name]]="",pilgrims[[#This Row],[packages.first_hotel_check_out]],pilgrims[[#This Row],[packages.second_hotel_check_out]])</f>
        <v>2026-06-02</v>
      </c>
      <c r="Y270" s="1" t="s">
        <v>4</v>
      </c>
      <c r="Z270" s="1" t="s">
        <v>214</v>
      </c>
      <c r="AA270" s="1" t="s">
        <v>1196</v>
      </c>
      <c r="AB270" s="1" t="s">
        <v>1196</v>
      </c>
      <c r="AC270" s="1" t="s">
        <v>212</v>
      </c>
      <c r="AD270" s="1" t="s">
        <v>61</v>
      </c>
      <c r="AE270" s="1" t="s">
        <v>1280</v>
      </c>
      <c r="AF270" s="4">
        <v>46164</v>
      </c>
      <c r="AG270" s="5">
        <v>0.57986111111111116</v>
      </c>
      <c r="AH270" s="1" t="s">
        <v>72</v>
      </c>
      <c r="AI270" s="1" t="s">
        <v>1281</v>
      </c>
      <c r="AJ270" s="4">
        <v>46172</v>
      </c>
      <c r="AK270" s="5">
        <v>0.25347222222222221</v>
      </c>
      <c r="AL270" s="1" t="s">
        <v>215</v>
      </c>
      <c r="AM270" s="1"/>
    </row>
    <row r="271" spans="1:39" x14ac:dyDescent="0.3">
      <c r="A271" s="1">
        <v>702637</v>
      </c>
      <c r="B271" s="1">
        <v>564201</v>
      </c>
      <c r="C271" s="1" t="s">
        <v>1189</v>
      </c>
      <c r="D271" s="38" t="s">
        <v>1790</v>
      </c>
      <c r="E271" s="4">
        <v>26687</v>
      </c>
      <c r="F271" s="1">
        <v>53</v>
      </c>
      <c r="G271" s="1" t="s">
        <v>212</v>
      </c>
      <c r="H271" s="1" t="s">
        <v>1501</v>
      </c>
      <c r="I271" s="1" t="s">
        <v>1501</v>
      </c>
      <c r="J271" s="1">
        <v>8540</v>
      </c>
      <c r="K271" s="1" t="s">
        <v>78</v>
      </c>
      <c r="L271" s="1" t="s">
        <v>8</v>
      </c>
      <c r="M271" s="1" t="s">
        <v>13</v>
      </c>
      <c r="N271" s="1" t="s">
        <v>5</v>
      </c>
      <c r="O271" s="1" t="s">
        <v>216</v>
      </c>
      <c r="P271" s="1" t="s">
        <v>53</v>
      </c>
      <c r="Q271" s="1" t="s">
        <v>8</v>
      </c>
      <c r="R271" s="1" t="s">
        <v>11</v>
      </c>
      <c r="S271" s="1"/>
      <c r="T271" s="1"/>
      <c r="U271" s="1"/>
      <c r="V271" s="1" t="str">
        <f>IF(pilgrims[[#This Row],[packages.second_hotel_name]]="",pilgrims[[#This Row],[packages.first_hotel_name]],pilgrims[[#This Row],[packages.second_hotel_name]])</f>
        <v>Movenpick Anwar Almadinah Hotel</v>
      </c>
      <c r="W271" s="1" t="str">
        <f>IF(pilgrims[[#This Row],[packages.second_hotel_name]]="",pilgrims[[#This Row],[packages.first_hotel_check_in]],pilgrims[[#This Row],[packages.second_hotel_check_in]])</f>
        <v>2026-05-21</v>
      </c>
      <c r="X271" s="1" t="str">
        <f>IF(pilgrims[[#This Row],[packages.second_hotel_name]]="",pilgrims[[#This Row],[packages.first_hotel_check_out]],pilgrims[[#This Row],[packages.second_hotel_check_out]])</f>
        <v>2026-05-24</v>
      </c>
      <c r="Y271" s="1"/>
      <c r="Z271" s="1" t="s">
        <v>261</v>
      </c>
      <c r="AA271" s="1" t="s">
        <v>651</v>
      </c>
      <c r="AB271" s="1" t="s">
        <v>1347</v>
      </c>
      <c r="AC271" s="1" t="s">
        <v>652</v>
      </c>
      <c r="AD271" s="1" t="s">
        <v>1348</v>
      </c>
      <c r="AE271" s="1" t="s">
        <v>1281</v>
      </c>
      <c r="AF271" s="4">
        <v>46163</v>
      </c>
      <c r="AG271" s="5">
        <v>0.71180555555555558</v>
      </c>
      <c r="AH271" s="1" t="s">
        <v>1349</v>
      </c>
      <c r="AI271" s="1" t="s">
        <v>1280</v>
      </c>
      <c r="AJ271" s="4">
        <v>46173</v>
      </c>
      <c r="AK271" s="5">
        <v>0.5</v>
      </c>
      <c r="AL271" s="1" t="s">
        <v>215</v>
      </c>
      <c r="AM271" s="1"/>
    </row>
    <row r="272" spans="1:39" x14ac:dyDescent="0.3">
      <c r="A272" s="1">
        <v>663509</v>
      </c>
      <c r="B272" s="1">
        <v>539099</v>
      </c>
      <c r="C272" s="1" t="s">
        <v>1188</v>
      </c>
      <c r="D272" s="38" t="s">
        <v>1791</v>
      </c>
      <c r="E272" s="4">
        <v>38760</v>
      </c>
      <c r="F272" s="1">
        <v>20</v>
      </c>
      <c r="G272" s="1" t="s">
        <v>212</v>
      </c>
      <c r="H272" s="1" t="s">
        <v>1501</v>
      </c>
      <c r="I272" s="1" t="s">
        <v>1501</v>
      </c>
      <c r="J272" s="1">
        <v>8535</v>
      </c>
      <c r="K272" s="1" t="s">
        <v>86</v>
      </c>
      <c r="L272" s="1" t="s">
        <v>8</v>
      </c>
      <c r="M272" s="1" t="s">
        <v>4</v>
      </c>
      <c r="N272" s="1" t="s">
        <v>12</v>
      </c>
      <c r="O272" s="1" t="s">
        <v>216</v>
      </c>
      <c r="P272" s="1" t="s">
        <v>53</v>
      </c>
      <c r="Q272" s="1" t="s">
        <v>8</v>
      </c>
      <c r="R272" s="1" t="s">
        <v>11</v>
      </c>
      <c r="S272" s="1" t="s">
        <v>20</v>
      </c>
      <c r="T272" s="1" t="s">
        <v>53</v>
      </c>
      <c r="U272" s="1" t="s">
        <v>6</v>
      </c>
      <c r="V272" s="1" t="str">
        <f>IF(pilgrims[[#This Row],[packages.second_hotel_name]]="",pilgrims[[#This Row],[packages.first_hotel_name]],pilgrims[[#This Row],[packages.second_hotel_name]])</f>
        <v>Daral Taqwa Hotel</v>
      </c>
      <c r="W272" s="1" t="str">
        <f>IF(pilgrims[[#This Row],[packages.second_hotel_name]]="",pilgrims[[#This Row],[packages.first_hotel_check_in]],pilgrims[[#This Row],[packages.second_hotel_check_in]])</f>
        <v>2026-05-30</v>
      </c>
      <c r="X272" s="1" t="str">
        <f>IF(pilgrims[[#This Row],[packages.second_hotel_name]]="",pilgrims[[#This Row],[packages.first_hotel_check_out]],pilgrims[[#This Row],[packages.second_hotel_check_out]])</f>
        <v>2026-06-02</v>
      </c>
      <c r="Y272" s="1" t="s">
        <v>4</v>
      </c>
      <c r="Z272" s="1" t="s">
        <v>214</v>
      </c>
      <c r="AA272" s="1" t="s">
        <v>1196</v>
      </c>
      <c r="AB272" s="1" t="s">
        <v>1196</v>
      </c>
      <c r="AC272" s="1" t="s">
        <v>212</v>
      </c>
      <c r="AD272" s="1" t="s">
        <v>61</v>
      </c>
      <c r="AE272" s="1" t="s">
        <v>1280</v>
      </c>
      <c r="AF272" s="4">
        <v>46164</v>
      </c>
      <c r="AG272" s="5">
        <v>0.57986111111111116</v>
      </c>
      <c r="AH272" s="1" t="s">
        <v>72</v>
      </c>
      <c r="AI272" s="1" t="s">
        <v>1281</v>
      </c>
      <c r="AJ272" s="4">
        <v>46172</v>
      </c>
      <c r="AK272" s="5">
        <v>0.25347222222222221</v>
      </c>
      <c r="AL272" s="1" t="s">
        <v>215</v>
      </c>
      <c r="AM272" s="1"/>
    </row>
    <row r="273" spans="1:39" x14ac:dyDescent="0.3">
      <c r="A273" s="1">
        <v>663537</v>
      </c>
      <c r="B273" s="1">
        <v>539099</v>
      </c>
      <c r="C273" s="1" t="s">
        <v>1188</v>
      </c>
      <c r="D273" s="38" t="s">
        <v>1792</v>
      </c>
      <c r="E273" s="4">
        <v>39396</v>
      </c>
      <c r="F273" s="1">
        <v>18</v>
      </c>
      <c r="G273" s="1" t="s">
        <v>212</v>
      </c>
      <c r="H273" s="1" t="s">
        <v>1501</v>
      </c>
      <c r="I273" s="1" t="s">
        <v>1501</v>
      </c>
      <c r="J273" s="1">
        <v>8535</v>
      </c>
      <c r="K273" s="1" t="s">
        <v>86</v>
      </c>
      <c r="L273" s="1" t="s">
        <v>8</v>
      </c>
      <c r="M273" s="1" t="s">
        <v>4</v>
      </c>
      <c r="N273" s="1" t="s">
        <v>12</v>
      </c>
      <c r="O273" s="1" t="s">
        <v>216</v>
      </c>
      <c r="P273" s="1" t="s">
        <v>53</v>
      </c>
      <c r="Q273" s="1" t="s">
        <v>8</v>
      </c>
      <c r="R273" s="1" t="s">
        <v>11</v>
      </c>
      <c r="S273" s="1" t="s">
        <v>20</v>
      </c>
      <c r="T273" s="1" t="s">
        <v>53</v>
      </c>
      <c r="U273" s="1" t="s">
        <v>6</v>
      </c>
      <c r="V273" s="1" t="str">
        <f>IF(pilgrims[[#This Row],[packages.second_hotel_name]]="",pilgrims[[#This Row],[packages.first_hotel_name]],pilgrims[[#This Row],[packages.second_hotel_name]])</f>
        <v>Daral Taqwa Hotel</v>
      </c>
      <c r="W273" s="1" t="str">
        <f>IF(pilgrims[[#This Row],[packages.second_hotel_name]]="",pilgrims[[#This Row],[packages.first_hotel_check_in]],pilgrims[[#This Row],[packages.second_hotel_check_in]])</f>
        <v>2026-05-30</v>
      </c>
      <c r="X273" s="1" t="str">
        <f>IF(pilgrims[[#This Row],[packages.second_hotel_name]]="",pilgrims[[#This Row],[packages.first_hotel_check_out]],pilgrims[[#This Row],[packages.second_hotel_check_out]])</f>
        <v>2026-06-02</v>
      </c>
      <c r="Y273" s="1" t="s">
        <v>4</v>
      </c>
      <c r="Z273" s="1" t="s">
        <v>214</v>
      </c>
      <c r="AA273" s="1" t="s">
        <v>1196</v>
      </c>
      <c r="AB273" s="1" t="s">
        <v>1196</v>
      </c>
      <c r="AC273" s="1" t="s">
        <v>212</v>
      </c>
      <c r="AD273" s="1" t="s">
        <v>61</v>
      </c>
      <c r="AE273" s="1" t="s">
        <v>1280</v>
      </c>
      <c r="AF273" s="4">
        <v>46164</v>
      </c>
      <c r="AG273" s="5">
        <v>0.57986111111111116</v>
      </c>
      <c r="AH273" s="1" t="s">
        <v>72</v>
      </c>
      <c r="AI273" s="1" t="s">
        <v>1281</v>
      </c>
      <c r="AJ273" s="4">
        <v>46172</v>
      </c>
      <c r="AK273" s="5">
        <v>0.25347222222222221</v>
      </c>
      <c r="AL273" s="1" t="s">
        <v>215</v>
      </c>
      <c r="AM273" s="1"/>
    </row>
    <row r="274" spans="1:39" x14ac:dyDescent="0.3">
      <c r="A274" s="1">
        <v>752562</v>
      </c>
      <c r="B274" s="1">
        <v>609591</v>
      </c>
      <c r="C274" s="1" t="s">
        <v>1189</v>
      </c>
      <c r="D274" s="38" t="s">
        <v>1793</v>
      </c>
      <c r="E274" s="4">
        <v>28430</v>
      </c>
      <c r="F274" s="1">
        <v>48</v>
      </c>
      <c r="G274" s="1" t="s">
        <v>212</v>
      </c>
      <c r="H274" s="1" t="s">
        <v>1501</v>
      </c>
      <c r="I274" s="1" t="s">
        <v>1501</v>
      </c>
      <c r="J274" s="1">
        <v>8538</v>
      </c>
      <c r="K274" s="1" t="s">
        <v>88</v>
      </c>
      <c r="L274" s="1" t="s">
        <v>8</v>
      </c>
      <c r="M274" s="1" t="s">
        <v>4</v>
      </c>
      <c r="N274" s="1" t="s">
        <v>15</v>
      </c>
      <c r="O274" s="1" t="s">
        <v>216</v>
      </c>
      <c r="P274" s="1" t="s">
        <v>53</v>
      </c>
      <c r="Q274" s="1" t="s">
        <v>8</v>
      </c>
      <c r="R274" s="1" t="s">
        <v>16</v>
      </c>
      <c r="S274" s="1" t="s">
        <v>5</v>
      </c>
      <c r="T274" s="1" t="s">
        <v>53</v>
      </c>
      <c r="U274" s="1" t="s">
        <v>6</v>
      </c>
      <c r="V274" s="1" t="str">
        <f>IF(pilgrims[[#This Row],[packages.second_hotel_name]]="",pilgrims[[#This Row],[packages.first_hotel_name]],pilgrims[[#This Row],[packages.second_hotel_name]])</f>
        <v>Movenpick Anwar Almadinah Hotel</v>
      </c>
      <c r="W274" s="1" t="str">
        <f>IF(pilgrims[[#This Row],[packages.second_hotel_name]]="",pilgrims[[#This Row],[packages.first_hotel_check_in]],pilgrims[[#This Row],[packages.second_hotel_check_in]])</f>
        <v>2026-05-30</v>
      </c>
      <c r="X274" s="1" t="str">
        <f>IF(pilgrims[[#This Row],[packages.second_hotel_name]]="",pilgrims[[#This Row],[packages.first_hotel_check_out]],pilgrims[[#This Row],[packages.second_hotel_check_out]])</f>
        <v>2026-06-02</v>
      </c>
      <c r="Y274" s="1" t="s">
        <v>4</v>
      </c>
      <c r="Z274" s="1" t="s">
        <v>214</v>
      </c>
      <c r="AA274" s="1" t="s">
        <v>1192</v>
      </c>
      <c r="AB274" s="1" t="s">
        <v>1192</v>
      </c>
      <c r="AC274" s="1" t="s">
        <v>212</v>
      </c>
      <c r="AD274" s="1" t="s">
        <v>57</v>
      </c>
      <c r="AE274" s="1" t="s">
        <v>1280</v>
      </c>
      <c r="AF274" s="4">
        <v>46163</v>
      </c>
      <c r="AG274" s="5">
        <v>0.2361111111111111</v>
      </c>
      <c r="AH274" s="1" t="s">
        <v>76</v>
      </c>
      <c r="AI274" s="1" t="s">
        <v>1281</v>
      </c>
      <c r="AJ274" s="4">
        <v>46175</v>
      </c>
      <c r="AK274" s="5">
        <v>0.93055555555555558</v>
      </c>
      <c r="AL274" s="1" t="s">
        <v>215</v>
      </c>
      <c r="AM274" s="1"/>
    </row>
    <row r="275" spans="1:39" x14ac:dyDescent="0.3">
      <c r="A275" s="1">
        <v>762594</v>
      </c>
      <c r="B275" s="1">
        <v>609591</v>
      </c>
      <c r="C275" s="1" t="s">
        <v>1188</v>
      </c>
      <c r="D275" s="38" t="s">
        <v>1794</v>
      </c>
      <c r="E275" s="4">
        <v>27049</v>
      </c>
      <c r="F275" s="1">
        <v>52</v>
      </c>
      <c r="G275" s="1" t="s">
        <v>212</v>
      </c>
      <c r="H275" s="1" t="s">
        <v>1501</v>
      </c>
      <c r="I275" s="1" t="s">
        <v>1501</v>
      </c>
      <c r="J275" s="1">
        <v>8538</v>
      </c>
      <c r="K275" s="1" t="s">
        <v>88</v>
      </c>
      <c r="L275" s="1" t="s">
        <v>8</v>
      </c>
      <c r="M275" s="1" t="s">
        <v>4</v>
      </c>
      <c r="N275" s="1" t="s">
        <v>15</v>
      </c>
      <c r="O275" s="1" t="s">
        <v>216</v>
      </c>
      <c r="P275" s="1" t="s">
        <v>53</v>
      </c>
      <c r="Q275" s="1" t="s">
        <v>8</v>
      </c>
      <c r="R275" s="1" t="s">
        <v>16</v>
      </c>
      <c r="S275" s="1" t="s">
        <v>5</v>
      </c>
      <c r="T275" s="1" t="s">
        <v>53</v>
      </c>
      <c r="U275" s="1" t="s">
        <v>6</v>
      </c>
      <c r="V275" s="1" t="str">
        <f>IF(pilgrims[[#This Row],[packages.second_hotel_name]]="",pilgrims[[#This Row],[packages.first_hotel_name]],pilgrims[[#This Row],[packages.second_hotel_name]])</f>
        <v>Movenpick Anwar Almadinah Hotel</v>
      </c>
      <c r="W275" s="1" t="str">
        <f>IF(pilgrims[[#This Row],[packages.second_hotel_name]]="",pilgrims[[#This Row],[packages.first_hotel_check_in]],pilgrims[[#This Row],[packages.second_hotel_check_in]])</f>
        <v>2026-05-30</v>
      </c>
      <c r="X275" s="1" t="str">
        <f>IF(pilgrims[[#This Row],[packages.second_hotel_name]]="",pilgrims[[#This Row],[packages.first_hotel_check_out]],pilgrims[[#This Row],[packages.second_hotel_check_out]])</f>
        <v>2026-06-02</v>
      </c>
      <c r="Y275" s="1" t="s">
        <v>4</v>
      </c>
      <c r="Z275" s="1" t="s">
        <v>214</v>
      </c>
      <c r="AA275" s="1" t="s">
        <v>1192</v>
      </c>
      <c r="AB275" s="1" t="s">
        <v>1192</v>
      </c>
      <c r="AC275" s="1" t="s">
        <v>212</v>
      </c>
      <c r="AD275" s="1" t="s">
        <v>57</v>
      </c>
      <c r="AE275" s="1" t="s">
        <v>1280</v>
      </c>
      <c r="AF275" s="4">
        <v>46163</v>
      </c>
      <c r="AG275" s="5">
        <v>0.2361111111111111</v>
      </c>
      <c r="AH275" s="1" t="s">
        <v>76</v>
      </c>
      <c r="AI275" s="1" t="s">
        <v>1281</v>
      </c>
      <c r="AJ275" s="4">
        <v>46175</v>
      </c>
      <c r="AK275" s="5">
        <v>0.93055555555555558</v>
      </c>
      <c r="AL275" s="1" t="s">
        <v>215</v>
      </c>
      <c r="AM275" s="1"/>
    </row>
    <row r="276" spans="1:39" x14ac:dyDescent="0.3">
      <c r="A276" s="1">
        <v>819816</v>
      </c>
      <c r="B276" s="1">
        <v>662770</v>
      </c>
      <c r="C276" s="1" t="s">
        <v>1188</v>
      </c>
      <c r="D276" s="38" t="s">
        <v>1795</v>
      </c>
      <c r="E276" s="4">
        <v>20803</v>
      </c>
      <c r="F276" s="1">
        <v>69</v>
      </c>
      <c r="G276" s="1" t="s">
        <v>212</v>
      </c>
      <c r="H276" s="1" t="s">
        <v>1501</v>
      </c>
      <c r="I276" s="1" t="s">
        <v>1501</v>
      </c>
      <c r="J276" s="1">
        <v>8537</v>
      </c>
      <c r="K276" s="1" t="s">
        <v>87</v>
      </c>
      <c r="L276" s="1" t="s">
        <v>8</v>
      </c>
      <c r="M276" s="1" t="s">
        <v>4</v>
      </c>
      <c r="N276" s="1" t="s">
        <v>21</v>
      </c>
      <c r="O276" s="1" t="s">
        <v>216</v>
      </c>
      <c r="P276" s="1" t="s">
        <v>53</v>
      </c>
      <c r="Q276" s="1" t="s">
        <v>8</v>
      </c>
      <c r="R276" s="1" t="s">
        <v>16</v>
      </c>
      <c r="S276" s="1" t="s">
        <v>5</v>
      </c>
      <c r="T276" s="1" t="s">
        <v>53</v>
      </c>
      <c r="U276" s="1" t="s">
        <v>6</v>
      </c>
      <c r="V276" s="1" t="str">
        <f>IF(pilgrims[[#This Row],[packages.second_hotel_name]]="",pilgrims[[#This Row],[packages.first_hotel_name]],pilgrims[[#This Row],[packages.second_hotel_name]])</f>
        <v>Movenpick Anwar Almadinah Hotel</v>
      </c>
      <c r="W276" s="1" t="str">
        <f>IF(pilgrims[[#This Row],[packages.second_hotel_name]]="",pilgrims[[#This Row],[packages.first_hotel_check_in]],pilgrims[[#This Row],[packages.second_hotel_check_in]])</f>
        <v>2026-05-30</v>
      </c>
      <c r="X276" s="1" t="str">
        <f>IF(pilgrims[[#This Row],[packages.second_hotel_name]]="",pilgrims[[#This Row],[packages.first_hotel_check_out]],pilgrims[[#This Row],[packages.second_hotel_check_out]])</f>
        <v>2026-06-02</v>
      </c>
      <c r="Y276" s="1" t="s">
        <v>4</v>
      </c>
      <c r="Z276" s="1" t="s">
        <v>214</v>
      </c>
      <c r="AA276" s="1" t="s">
        <v>1196</v>
      </c>
      <c r="AB276" s="1" t="s">
        <v>1196</v>
      </c>
      <c r="AC276" s="1" t="s">
        <v>212</v>
      </c>
      <c r="AD276" s="1" t="s">
        <v>61</v>
      </c>
      <c r="AE276" s="1" t="s">
        <v>1280</v>
      </c>
      <c r="AF276" s="4">
        <v>46164</v>
      </c>
      <c r="AG276" s="5">
        <v>0.57986111111111116</v>
      </c>
      <c r="AH276" s="1" t="s">
        <v>72</v>
      </c>
      <c r="AI276" s="1" t="s">
        <v>1281</v>
      </c>
      <c r="AJ276" s="4">
        <v>46172</v>
      </c>
      <c r="AK276" s="5">
        <v>0.25347222222222221</v>
      </c>
      <c r="AL276" s="1" t="s">
        <v>215</v>
      </c>
      <c r="AM276" s="1"/>
    </row>
    <row r="277" spans="1:39" x14ac:dyDescent="0.3">
      <c r="A277" s="1">
        <v>819868</v>
      </c>
      <c r="B277" s="1">
        <v>662770</v>
      </c>
      <c r="C277" s="1" t="s">
        <v>1189</v>
      </c>
      <c r="D277" s="38" t="s">
        <v>1796</v>
      </c>
      <c r="E277" s="4">
        <v>22553</v>
      </c>
      <c r="F277" s="1">
        <v>64</v>
      </c>
      <c r="G277" s="1" t="s">
        <v>212</v>
      </c>
      <c r="H277" s="1" t="s">
        <v>1501</v>
      </c>
      <c r="I277" s="1" t="s">
        <v>1501</v>
      </c>
      <c r="J277" s="1">
        <v>8537</v>
      </c>
      <c r="K277" s="1" t="s">
        <v>87</v>
      </c>
      <c r="L277" s="1" t="s">
        <v>8</v>
      </c>
      <c r="M277" s="1" t="s">
        <v>4</v>
      </c>
      <c r="N277" s="1" t="s">
        <v>21</v>
      </c>
      <c r="O277" s="1" t="s">
        <v>216</v>
      </c>
      <c r="P277" s="1" t="s">
        <v>53</v>
      </c>
      <c r="Q277" s="1" t="s">
        <v>8</v>
      </c>
      <c r="R277" s="1" t="s">
        <v>16</v>
      </c>
      <c r="S277" s="1" t="s">
        <v>5</v>
      </c>
      <c r="T277" s="1" t="s">
        <v>53</v>
      </c>
      <c r="U277" s="1" t="s">
        <v>6</v>
      </c>
      <c r="V277" s="1" t="str">
        <f>IF(pilgrims[[#This Row],[packages.second_hotel_name]]="",pilgrims[[#This Row],[packages.first_hotel_name]],pilgrims[[#This Row],[packages.second_hotel_name]])</f>
        <v>Movenpick Anwar Almadinah Hotel</v>
      </c>
      <c r="W277" s="1" t="str">
        <f>IF(pilgrims[[#This Row],[packages.second_hotel_name]]="",pilgrims[[#This Row],[packages.first_hotel_check_in]],pilgrims[[#This Row],[packages.second_hotel_check_in]])</f>
        <v>2026-05-30</v>
      </c>
      <c r="X277" s="1" t="str">
        <f>IF(pilgrims[[#This Row],[packages.second_hotel_name]]="",pilgrims[[#This Row],[packages.first_hotel_check_out]],pilgrims[[#This Row],[packages.second_hotel_check_out]])</f>
        <v>2026-06-02</v>
      </c>
      <c r="Y277" s="1" t="s">
        <v>4</v>
      </c>
      <c r="Z277" s="1" t="s">
        <v>214</v>
      </c>
      <c r="AA277" s="1" t="s">
        <v>1196</v>
      </c>
      <c r="AB277" s="1" t="s">
        <v>1196</v>
      </c>
      <c r="AC277" s="1" t="s">
        <v>212</v>
      </c>
      <c r="AD277" s="1" t="s">
        <v>61</v>
      </c>
      <c r="AE277" s="1" t="s">
        <v>1280</v>
      </c>
      <c r="AF277" s="4">
        <v>46164</v>
      </c>
      <c r="AG277" s="5">
        <v>0.57986111111111116</v>
      </c>
      <c r="AH277" s="1" t="s">
        <v>72</v>
      </c>
      <c r="AI277" s="1" t="s">
        <v>1281</v>
      </c>
      <c r="AJ277" s="4">
        <v>46172</v>
      </c>
      <c r="AK277" s="5">
        <v>0.25347222222222221</v>
      </c>
      <c r="AL277" s="1" t="s">
        <v>215</v>
      </c>
      <c r="AM277" s="1"/>
    </row>
    <row r="278" spans="1:39" x14ac:dyDescent="0.3">
      <c r="A278" s="1">
        <v>328213</v>
      </c>
      <c r="B278" s="1">
        <v>258453</v>
      </c>
      <c r="C278" s="1" t="s">
        <v>1188</v>
      </c>
      <c r="D278" s="38" t="s">
        <v>1797</v>
      </c>
      <c r="E278" s="4">
        <v>25282</v>
      </c>
      <c r="F278" s="1">
        <v>56</v>
      </c>
      <c r="G278" s="1" t="s">
        <v>212</v>
      </c>
      <c r="H278" s="1" t="s">
        <v>1501</v>
      </c>
      <c r="I278" s="1" t="s">
        <v>1501</v>
      </c>
      <c r="J278" s="1">
        <v>8544</v>
      </c>
      <c r="K278" s="1" t="s">
        <v>90</v>
      </c>
      <c r="L278" s="1" t="s">
        <v>19</v>
      </c>
      <c r="M278" s="1" t="s">
        <v>13</v>
      </c>
      <c r="N278" s="1" t="s">
        <v>5</v>
      </c>
      <c r="O278" s="1" t="s">
        <v>216</v>
      </c>
      <c r="P278" s="1" t="s">
        <v>53</v>
      </c>
      <c r="Q278" s="1" t="s">
        <v>19</v>
      </c>
      <c r="R278" s="1" t="s">
        <v>8</v>
      </c>
      <c r="S278" s="1" t="s">
        <v>21</v>
      </c>
      <c r="T278" s="1" t="s">
        <v>53</v>
      </c>
      <c r="U278" s="1" t="s">
        <v>8</v>
      </c>
      <c r="V278" s="1" t="str">
        <f>IF(pilgrims[[#This Row],[packages.second_hotel_name]]="",pilgrims[[#This Row],[packages.first_hotel_name]],pilgrims[[#This Row],[packages.second_hotel_name]])</f>
        <v>Swissotel Makkah Hotel</v>
      </c>
      <c r="W278" s="1" t="str">
        <f>IF(pilgrims[[#This Row],[packages.second_hotel_name]]="",pilgrims[[#This Row],[packages.first_hotel_check_in]],pilgrims[[#This Row],[packages.second_hotel_check_in]])</f>
        <v>2026-05-21</v>
      </c>
      <c r="X278" s="1" t="str">
        <f>IF(pilgrims[[#This Row],[packages.second_hotel_name]]="",pilgrims[[#This Row],[packages.first_hotel_check_out]],pilgrims[[#This Row],[packages.second_hotel_check_out]])</f>
        <v>2026-05-24</v>
      </c>
      <c r="Y278" s="1" t="s">
        <v>11</v>
      </c>
      <c r="Z278" s="1" t="s">
        <v>214</v>
      </c>
      <c r="AA278" s="1" t="s">
        <v>1194</v>
      </c>
      <c r="AB278" s="1" t="s">
        <v>1194</v>
      </c>
      <c r="AC278" s="1" t="s">
        <v>212</v>
      </c>
      <c r="AD278" s="1" t="s">
        <v>137</v>
      </c>
      <c r="AE278" s="1" t="s">
        <v>1281</v>
      </c>
      <c r="AF278" s="4">
        <v>46161</v>
      </c>
      <c r="AG278" s="5">
        <v>0.87847222222222221</v>
      </c>
      <c r="AH278" s="1" t="s">
        <v>63</v>
      </c>
      <c r="AI278" s="1" t="s">
        <v>1280</v>
      </c>
      <c r="AJ278" s="4">
        <v>46173</v>
      </c>
      <c r="AK278" s="5">
        <v>0.3923611111111111</v>
      </c>
      <c r="AL278" s="1" t="s">
        <v>215</v>
      </c>
      <c r="AM278" s="1"/>
    </row>
    <row r="279" spans="1:39" x14ac:dyDescent="0.3">
      <c r="A279" s="1">
        <v>548574</v>
      </c>
      <c r="B279" s="1">
        <v>435574</v>
      </c>
      <c r="C279" s="1" t="s">
        <v>1189</v>
      </c>
      <c r="D279" s="38" t="s">
        <v>1798</v>
      </c>
      <c r="E279" s="4">
        <v>33336</v>
      </c>
      <c r="F279" s="1">
        <v>34</v>
      </c>
      <c r="G279" s="1" t="s">
        <v>212</v>
      </c>
      <c r="H279" s="1" t="s">
        <v>1503</v>
      </c>
      <c r="I279" s="1" t="s">
        <v>1503</v>
      </c>
      <c r="J279" s="1">
        <v>8529</v>
      </c>
      <c r="K279" s="1" t="s">
        <v>82</v>
      </c>
      <c r="L279" s="1" t="s">
        <v>19</v>
      </c>
      <c r="M279" s="1" t="s">
        <v>13</v>
      </c>
      <c r="N279" s="1" t="s">
        <v>20</v>
      </c>
      <c r="O279" s="1" t="s">
        <v>216</v>
      </c>
      <c r="P279" s="1" t="s">
        <v>53</v>
      </c>
      <c r="Q279" s="1" t="s">
        <v>19</v>
      </c>
      <c r="R279" s="1" t="s">
        <v>8</v>
      </c>
      <c r="S279" s="1" t="s">
        <v>21</v>
      </c>
      <c r="T279" s="1" t="s">
        <v>53</v>
      </c>
      <c r="U279" s="1" t="s">
        <v>8</v>
      </c>
      <c r="V279" s="1" t="str">
        <f>IF(pilgrims[[#This Row],[packages.second_hotel_name]]="",pilgrims[[#This Row],[packages.first_hotel_name]],pilgrims[[#This Row],[packages.second_hotel_name]])</f>
        <v>Swissotel Makkah Hotel</v>
      </c>
      <c r="W279" s="1" t="str">
        <f>IF(pilgrims[[#This Row],[packages.second_hotel_name]]="",pilgrims[[#This Row],[packages.first_hotel_check_in]],pilgrims[[#This Row],[packages.second_hotel_check_in]])</f>
        <v>2026-05-21</v>
      </c>
      <c r="X279" s="1" t="str">
        <f>IF(pilgrims[[#This Row],[packages.second_hotel_name]]="",pilgrims[[#This Row],[packages.first_hotel_check_out]],pilgrims[[#This Row],[packages.second_hotel_check_out]])</f>
        <v>2026-05-25</v>
      </c>
      <c r="Y279" s="1" t="s">
        <v>16</v>
      </c>
      <c r="Z279" s="1" t="s">
        <v>261</v>
      </c>
      <c r="AA279" s="1" t="s">
        <v>663</v>
      </c>
      <c r="AB279" s="1" t="s">
        <v>1375</v>
      </c>
      <c r="AC279" s="1" t="s">
        <v>664</v>
      </c>
      <c r="AD279" s="1" t="s">
        <v>1376</v>
      </c>
      <c r="AE279" s="1" t="s">
        <v>1281</v>
      </c>
      <c r="AF279" s="4">
        <v>46161</v>
      </c>
      <c r="AG279" s="5">
        <v>0.43055555555555558</v>
      </c>
      <c r="AH279" s="1" t="s">
        <v>1377</v>
      </c>
      <c r="AI279" s="1" t="s">
        <v>1280</v>
      </c>
      <c r="AJ279" s="4">
        <v>46173</v>
      </c>
      <c r="AK279" s="5">
        <v>0.2361111111111111</v>
      </c>
      <c r="AL279" s="1" t="s">
        <v>215</v>
      </c>
      <c r="AM279" s="1"/>
    </row>
    <row r="280" spans="1:39" x14ac:dyDescent="0.3">
      <c r="A280" s="1">
        <v>637073</v>
      </c>
      <c r="B280" s="1">
        <v>258453</v>
      </c>
      <c r="C280" s="1" t="s">
        <v>1189</v>
      </c>
      <c r="D280" s="38" t="s">
        <v>1799</v>
      </c>
      <c r="E280" s="4">
        <v>27159</v>
      </c>
      <c r="F280" s="1">
        <v>51</v>
      </c>
      <c r="G280" s="1" t="s">
        <v>212</v>
      </c>
      <c r="H280" s="1" t="s">
        <v>1501</v>
      </c>
      <c r="I280" s="1" t="s">
        <v>1501</v>
      </c>
      <c r="J280" s="1">
        <v>8544</v>
      </c>
      <c r="K280" s="1" t="s">
        <v>90</v>
      </c>
      <c r="L280" s="1" t="s">
        <v>19</v>
      </c>
      <c r="M280" s="1" t="s">
        <v>13</v>
      </c>
      <c r="N280" s="1" t="s">
        <v>5</v>
      </c>
      <c r="O280" s="1" t="s">
        <v>216</v>
      </c>
      <c r="P280" s="1" t="s">
        <v>53</v>
      </c>
      <c r="Q280" s="1" t="s">
        <v>19</v>
      </c>
      <c r="R280" s="1" t="s">
        <v>8</v>
      </c>
      <c r="S280" s="1" t="s">
        <v>21</v>
      </c>
      <c r="T280" s="1" t="s">
        <v>53</v>
      </c>
      <c r="U280" s="1" t="s">
        <v>8</v>
      </c>
      <c r="V280" s="1" t="str">
        <f>IF(pilgrims[[#This Row],[packages.second_hotel_name]]="",pilgrims[[#This Row],[packages.first_hotel_name]],pilgrims[[#This Row],[packages.second_hotel_name]])</f>
        <v>Swissotel Makkah Hotel</v>
      </c>
      <c r="W280" s="1" t="str">
        <f>IF(pilgrims[[#This Row],[packages.second_hotel_name]]="",pilgrims[[#This Row],[packages.first_hotel_check_in]],pilgrims[[#This Row],[packages.second_hotel_check_in]])</f>
        <v>2026-05-21</v>
      </c>
      <c r="X280" s="1" t="str">
        <f>IF(pilgrims[[#This Row],[packages.second_hotel_name]]="",pilgrims[[#This Row],[packages.first_hotel_check_out]],pilgrims[[#This Row],[packages.second_hotel_check_out]])</f>
        <v>2026-05-24</v>
      </c>
      <c r="Y280" s="1" t="s">
        <v>11</v>
      </c>
      <c r="Z280" s="1" t="s">
        <v>214</v>
      </c>
      <c r="AA280" s="1" t="s">
        <v>1194</v>
      </c>
      <c r="AB280" s="1" t="s">
        <v>1194</v>
      </c>
      <c r="AC280" s="1" t="s">
        <v>212</v>
      </c>
      <c r="AD280" s="1" t="s">
        <v>137</v>
      </c>
      <c r="AE280" s="1" t="s">
        <v>1281</v>
      </c>
      <c r="AF280" s="4">
        <v>46161</v>
      </c>
      <c r="AG280" s="5">
        <v>0.87847222222222221</v>
      </c>
      <c r="AH280" s="1" t="s">
        <v>63</v>
      </c>
      <c r="AI280" s="1" t="s">
        <v>1280</v>
      </c>
      <c r="AJ280" s="4">
        <v>46173</v>
      </c>
      <c r="AK280" s="5">
        <v>0.3923611111111111</v>
      </c>
      <c r="AL280" s="1" t="s">
        <v>215</v>
      </c>
      <c r="AM280" s="1"/>
    </row>
    <row r="281" spans="1:39" x14ac:dyDescent="0.3">
      <c r="A281" s="1">
        <v>862334</v>
      </c>
      <c r="B281" s="1">
        <v>696942</v>
      </c>
      <c r="C281" s="1" t="s">
        <v>1188</v>
      </c>
      <c r="D281" s="38" t="s">
        <v>1800</v>
      </c>
      <c r="E281" s="4">
        <v>35531</v>
      </c>
      <c r="F281" s="1">
        <v>28</v>
      </c>
      <c r="G281" s="1" t="s">
        <v>212</v>
      </c>
      <c r="H281" s="1" t="s">
        <v>1501</v>
      </c>
      <c r="I281" s="1" t="s">
        <v>1501</v>
      </c>
      <c r="J281" s="1">
        <v>8525</v>
      </c>
      <c r="K281" s="1" t="s">
        <v>77</v>
      </c>
      <c r="L281" s="1" t="s">
        <v>19</v>
      </c>
      <c r="M281" s="1" t="s">
        <v>13</v>
      </c>
      <c r="N281" s="1" t="s">
        <v>10</v>
      </c>
      <c r="O281" s="1" t="s">
        <v>216</v>
      </c>
      <c r="P281" s="1" t="s">
        <v>52</v>
      </c>
      <c r="Q281" s="1" t="s">
        <v>19</v>
      </c>
      <c r="R281" s="1" t="s">
        <v>8</v>
      </c>
      <c r="S281" s="1" t="s">
        <v>12</v>
      </c>
      <c r="T281" s="1" t="s">
        <v>53</v>
      </c>
      <c r="U281" s="1" t="s">
        <v>8</v>
      </c>
      <c r="V281" s="1" t="str">
        <f>IF(pilgrims[[#This Row],[packages.second_hotel_name]]="",pilgrims[[#This Row],[packages.first_hotel_name]],pilgrims[[#This Row],[packages.second_hotel_name]])</f>
        <v>Makkah Clock Royal Tower A Fairmont Hotel</v>
      </c>
      <c r="W281" s="1" t="str">
        <f>IF(pilgrims[[#This Row],[packages.second_hotel_name]]="",pilgrims[[#This Row],[packages.first_hotel_check_in]],pilgrims[[#This Row],[packages.second_hotel_check_in]])</f>
        <v>2026-05-21</v>
      </c>
      <c r="X281" s="1" t="str">
        <f>IF(pilgrims[[#This Row],[packages.second_hotel_name]]="",pilgrims[[#This Row],[packages.first_hotel_check_out]],pilgrims[[#This Row],[packages.second_hotel_check_out]])</f>
        <v>2026-05-24</v>
      </c>
      <c r="Y281" s="1" t="s">
        <v>11</v>
      </c>
      <c r="Z281" s="1" t="s">
        <v>214</v>
      </c>
      <c r="AA281" s="1" t="s">
        <v>1190</v>
      </c>
      <c r="AB281" s="1" t="s">
        <v>1190</v>
      </c>
      <c r="AC281" s="1" t="s">
        <v>212</v>
      </c>
      <c r="AD281" s="1" t="s">
        <v>133</v>
      </c>
      <c r="AE281" s="1" t="s">
        <v>1281</v>
      </c>
      <c r="AF281" s="4">
        <v>46160</v>
      </c>
      <c r="AG281" s="5">
        <v>0.3923611111111111</v>
      </c>
      <c r="AH281" s="1" t="s">
        <v>60</v>
      </c>
      <c r="AI281" s="1" t="s">
        <v>1280</v>
      </c>
      <c r="AJ281" s="4">
        <v>46173</v>
      </c>
      <c r="AK281" s="5">
        <v>0.12847222222222221</v>
      </c>
      <c r="AL281" s="1" t="s">
        <v>215</v>
      </c>
      <c r="AM281" s="1"/>
    </row>
    <row r="282" spans="1:39" x14ac:dyDescent="0.3">
      <c r="A282" s="1">
        <v>862401</v>
      </c>
      <c r="B282" s="1">
        <v>696942</v>
      </c>
      <c r="C282" s="1" t="s">
        <v>1188</v>
      </c>
      <c r="D282" s="38" t="s">
        <v>1801</v>
      </c>
      <c r="E282" s="4">
        <v>23703</v>
      </c>
      <c r="F282" s="1">
        <v>61</v>
      </c>
      <c r="G282" s="1" t="s">
        <v>212</v>
      </c>
      <c r="H282" s="1" t="s">
        <v>1501</v>
      </c>
      <c r="I282" s="1" t="s">
        <v>1501</v>
      </c>
      <c r="J282" s="1">
        <v>8525</v>
      </c>
      <c r="K282" s="1" t="s">
        <v>77</v>
      </c>
      <c r="L282" s="1" t="s">
        <v>19</v>
      </c>
      <c r="M282" s="1" t="s">
        <v>13</v>
      </c>
      <c r="N282" s="1" t="s">
        <v>10</v>
      </c>
      <c r="O282" s="1" t="s">
        <v>216</v>
      </c>
      <c r="P282" s="1" t="s">
        <v>52</v>
      </c>
      <c r="Q282" s="1" t="s">
        <v>19</v>
      </c>
      <c r="R282" s="1" t="s">
        <v>8</v>
      </c>
      <c r="S282" s="1" t="s">
        <v>12</v>
      </c>
      <c r="T282" s="1" t="s">
        <v>53</v>
      </c>
      <c r="U282" s="1" t="s">
        <v>8</v>
      </c>
      <c r="V282" s="1" t="str">
        <f>IF(pilgrims[[#This Row],[packages.second_hotel_name]]="",pilgrims[[#This Row],[packages.first_hotel_name]],pilgrims[[#This Row],[packages.second_hotel_name]])</f>
        <v>Makkah Clock Royal Tower A Fairmont Hotel</v>
      </c>
      <c r="W282" s="1" t="str">
        <f>IF(pilgrims[[#This Row],[packages.second_hotel_name]]="",pilgrims[[#This Row],[packages.first_hotel_check_in]],pilgrims[[#This Row],[packages.second_hotel_check_in]])</f>
        <v>2026-05-21</v>
      </c>
      <c r="X282" s="1" t="str">
        <f>IF(pilgrims[[#This Row],[packages.second_hotel_name]]="",pilgrims[[#This Row],[packages.first_hotel_check_out]],pilgrims[[#This Row],[packages.second_hotel_check_out]])</f>
        <v>2026-05-24</v>
      </c>
      <c r="Y282" s="1" t="s">
        <v>11</v>
      </c>
      <c r="Z282" s="1" t="s">
        <v>214</v>
      </c>
      <c r="AA282" s="1" t="s">
        <v>1190</v>
      </c>
      <c r="AB282" s="1" t="s">
        <v>1190</v>
      </c>
      <c r="AC282" s="1" t="s">
        <v>212</v>
      </c>
      <c r="AD282" s="1" t="s">
        <v>133</v>
      </c>
      <c r="AE282" s="1" t="s">
        <v>1281</v>
      </c>
      <c r="AF282" s="4">
        <v>46160</v>
      </c>
      <c r="AG282" s="5">
        <v>0.3923611111111111</v>
      </c>
      <c r="AH282" s="1" t="s">
        <v>60</v>
      </c>
      <c r="AI282" s="1" t="s">
        <v>1280</v>
      </c>
      <c r="AJ282" s="4">
        <v>46173</v>
      </c>
      <c r="AK282" s="5">
        <v>0.12847222222222221</v>
      </c>
      <c r="AL282" s="1" t="s">
        <v>215</v>
      </c>
      <c r="AM282" s="1"/>
    </row>
    <row r="283" spans="1:39" x14ac:dyDescent="0.3">
      <c r="A283" s="1">
        <v>862441</v>
      </c>
      <c r="B283" s="1">
        <v>696942</v>
      </c>
      <c r="C283" s="1" t="s">
        <v>1189</v>
      </c>
      <c r="D283" s="38" t="s">
        <v>1802</v>
      </c>
      <c r="E283" s="4">
        <v>25574</v>
      </c>
      <c r="F283" s="1">
        <v>56</v>
      </c>
      <c r="G283" s="1" t="s">
        <v>212</v>
      </c>
      <c r="H283" s="1" t="s">
        <v>1501</v>
      </c>
      <c r="I283" s="1" t="s">
        <v>1501</v>
      </c>
      <c r="J283" s="1">
        <v>8525</v>
      </c>
      <c r="K283" s="1" t="s">
        <v>77</v>
      </c>
      <c r="L283" s="1" t="s">
        <v>19</v>
      </c>
      <c r="M283" s="1" t="s">
        <v>13</v>
      </c>
      <c r="N283" s="1" t="s">
        <v>10</v>
      </c>
      <c r="O283" s="1" t="s">
        <v>216</v>
      </c>
      <c r="P283" s="1" t="s">
        <v>52</v>
      </c>
      <c r="Q283" s="1" t="s">
        <v>19</v>
      </c>
      <c r="R283" s="1" t="s">
        <v>8</v>
      </c>
      <c r="S283" s="1" t="s">
        <v>12</v>
      </c>
      <c r="T283" s="1" t="s">
        <v>53</v>
      </c>
      <c r="U283" s="1" t="s">
        <v>8</v>
      </c>
      <c r="V283" s="1" t="str">
        <f>IF(pilgrims[[#This Row],[packages.second_hotel_name]]="",pilgrims[[#This Row],[packages.first_hotel_name]],pilgrims[[#This Row],[packages.second_hotel_name]])</f>
        <v>Makkah Clock Royal Tower A Fairmont Hotel</v>
      </c>
      <c r="W283" s="1" t="str">
        <f>IF(pilgrims[[#This Row],[packages.second_hotel_name]]="",pilgrims[[#This Row],[packages.first_hotel_check_in]],pilgrims[[#This Row],[packages.second_hotel_check_in]])</f>
        <v>2026-05-21</v>
      </c>
      <c r="X283" s="1" t="str">
        <f>IF(pilgrims[[#This Row],[packages.second_hotel_name]]="",pilgrims[[#This Row],[packages.first_hotel_check_out]],pilgrims[[#This Row],[packages.second_hotel_check_out]])</f>
        <v>2026-05-24</v>
      </c>
      <c r="Y283" s="1" t="s">
        <v>11</v>
      </c>
      <c r="Z283" s="1" t="s">
        <v>214</v>
      </c>
      <c r="AA283" s="1" t="s">
        <v>1190</v>
      </c>
      <c r="AB283" s="1" t="s">
        <v>1190</v>
      </c>
      <c r="AC283" s="1" t="s">
        <v>212</v>
      </c>
      <c r="AD283" s="1" t="s">
        <v>133</v>
      </c>
      <c r="AE283" s="1" t="s">
        <v>1281</v>
      </c>
      <c r="AF283" s="4">
        <v>46160</v>
      </c>
      <c r="AG283" s="5">
        <v>0.3923611111111111</v>
      </c>
      <c r="AH283" s="1" t="s">
        <v>60</v>
      </c>
      <c r="AI283" s="1" t="s">
        <v>1280</v>
      </c>
      <c r="AJ283" s="4">
        <v>46173</v>
      </c>
      <c r="AK283" s="5">
        <v>0.12847222222222221</v>
      </c>
      <c r="AL283" s="1" t="s">
        <v>215</v>
      </c>
      <c r="AM283" s="1"/>
    </row>
    <row r="284" spans="1:39" x14ac:dyDescent="0.3">
      <c r="A284" s="1">
        <v>864866</v>
      </c>
      <c r="B284" s="1">
        <v>696942</v>
      </c>
      <c r="C284" s="1" t="s">
        <v>1189</v>
      </c>
      <c r="D284" s="38" t="s">
        <v>1803</v>
      </c>
      <c r="E284" s="4">
        <v>17944</v>
      </c>
      <c r="F284" s="1">
        <v>77</v>
      </c>
      <c r="G284" s="1" t="s">
        <v>212</v>
      </c>
      <c r="H284" s="1" t="s">
        <v>1501</v>
      </c>
      <c r="I284" s="1" t="s">
        <v>1501</v>
      </c>
      <c r="J284" s="1">
        <v>8525</v>
      </c>
      <c r="K284" s="1" t="s">
        <v>77</v>
      </c>
      <c r="L284" s="1" t="s">
        <v>19</v>
      </c>
      <c r="M284" s="1" t="s">
        <v>13</v>
      </c>
      <c r="N284" s="1" t="s">
        <v>10</v>
      </c>
      <c r="O284" s="1" t="s">
        <v>216</v>
      </c>
      <c r="P284" s="1" t="s">
        <v>52</v>
      </c>
      <c r="Q284" s="1" t="s">
        <v>19</v>
      </c>
      <c r="R284" s="1" t="s">
        <v>8</v>
      </c>
      <c r="S284" s="1" t="s">
        <v>12</v>
      </c>
      <c r="T284" s="1" t="s">
        <v>53</v>
      </c>
      <c r="U284" s="1" t="s">
        <v>8</v>
      </c>
      <c r="V284" s="1" t="str">
        <f>IF(pilgrims[[#This Row],[packages.second_hotel_name]]="",pilgrims[[#This Row],[packages.first_hotel_name]],pilgrims[[#This Row],[packages.second_hotel_name]])</f>
        <v>Makkah Clock Royal Tower A Fairmont Hotel</v>
      </c>
      <c r="W284" s="1" t="str">
        <f>IF(pilgrims[[#This Row],[packages.second_hotel_name]]="",pilgrims[[#This Row],[packages.first_hotel_check_in]],pilgrims[[#This Row],[packages.second_hotel_check_in]])</f>
        <v>2026-05-21</v>
      </c>
      <c r="X284" s="1" t="str">
        <f>IF(pilgrims[[#This Row],[packages.second_hotel_name]]="",pilgrims[[#This Row],[packages.first_hotel_check_out]],pilgrims[[#This Row],[packages.second_hotel_check_out]])</f>
        <v>2026-05-24</v>
      </c>
      <c r="Y284" s="1" t="s">
        <v>11</v>
      </c>
      <c r="Z284" s="1" t="s">
        <v>214</v>
      </c>
      <c r="AA284" s="1" t="s">
        <v>1190</v>
      </c>
      <c r="AB284" s="1" t="s">
        <v>1190</v>
      </c>
      <c r="AC284" s="1" t="s">
        <v>212</v>
      </c>
      <c r="AD284" s="1" t="s">
        <v>133</v>
      </c>
      <c r="AE284" s="1" t="s">
        <v>1281</v>
      </c>
      <c r="AF284" s="4">
        <v>46160</v>
      </c>
      <c r="AG284" s="5">
        <v>0.3923611111111111</v>
      </c>
      <c r="AH284" s="1" t="s">
        <v>60</v>
      </c>
      <c r="AI284" s="1" t="s">
        <v>1280</v>
      </c>
      <c r="AJ284" s="4">
        <v>46173</v>
      </c>
      <c r="AK284" s="5">
        <v>0.12847222222222221</v>
      </c>
      <c r="AL284" s="1" t="s">
        <v>215</v>
      </c>
      <c r="AM284" s="1"/>
    </row>
    <row r="285" spans="1:39" x14ac:dyDescent="0.3">
      <c r="A285" s="1">
        <v>131330</v>
      </c>
      <c r="B285" s="1">
        <v>100690</v>
      </c>
      <c r="C285" s="1" t="s">
        <v>1189</v>
      </c>
      <c r="D285" s="38" t="s">
        <v>1804</v>
      </c>
      <c r="E285" s="4">
        <v>27670</v>
      </c>
      <c r="F285" s="1">
        <v>50</v>
      </c>
      <c r="G285" s="1" t="s">
        <v>212</v>
      </c>
      <c r="H285" s="1" t="s">
        <v>1501</v>
      </c>
      <c r="I285" s="1" t="s">
        <v>1501</v>
      </c>
      <c r="J285" s="1">
        <v>8525</v>
      </c>
      <c r="K285" s="1" t="s">
        <v>77</v>
      </c>
      <c r="L285" s="1" t="s">
        <v>19</v>
      </c>
      <c r="M285" s="1" t="s">
        <v>13</v>
      </c>
      <c r="N285" s="1" t="s">
        <v>10</v>
      </c>
      <c r="O285" s="1" t="s">
        <v>216</v>
      </c>
      <c r="P285" s="1" t="s">
        <v>52</v>
      </c>
      <c r="Q285" s="1" t="s">
        <v>19</v>
      </c>
      <c r="R285" s="1" t="s">
        <v>8</v>
      </c>
      <c r="S285" s="1" t="s">
        <v>12</v>
      </c>
      <c r="T285" s="1" t="s">
        <v>53</v>
      </c>
      <c r="U285" s="1" t="s">
        <v>8</v>
      </c>
      <c r="V285" s="1" t="str">
        <f>IF(pilgrims[[#This Row],[packages.second_hotel_name]]="",pilgrims[[#This Row],[packages.first_hotel_name]],pilgrims[[#This Row],[packages.second_hotel_name]])</f>
        <v>Makkah Clock Royal Tower A Fairmont Hotel</v>
      </c>
      <c r="W285" s="1" t="str">
        <f>IF(pilgrims[[#This Row],[packages.second_hotel_name]]="",pilgrims[[#This Row],[packages.first_hotel_check_in]],pilgrims[[#This Row],[packages.second_hotel_check_in]])</f>
        <v>2026-05-21</v>
      </c>
      <c r="X285" s="1" t="str">
        <f>IF(pilgrims[[#This Row],[packages.second_hotel_name]]="",pilgrims[[#This Row],[packages.first_hotel_check_out]],pilgrims[[#This Row],[packages.second_hotel_check_out]])</f>
        <v>2026-05-24</v>
      </c>
      <c r="Y285" s="1" t="s">
        <v>11</v>
      </c>
      <c r="Z285" s="1" t="s">
        <v>214</v>
      </c>
      <c r="AA285" s="1" t="s">
        <v>1190</v>
      </c>
      <c r="AB285" s="1" t="s">
        <v>1190</v>
      </c>
      <c r="AC285" s="1" t="s">
        <v>212</v>
      </c>
      <c r="AD285" s="1" t="s">
        <v>133</v>
      </c>
      <c r="AE285" s="1" t="s">
        <v>1281</v>
      </c>
      <c r="AF285" s="4">
        <v>46160</v>
      </c>
      <c r="AG285" s="5">
        <v>0.3923611111111111</v>
      </c>
      <c r="AH285" s="1" t="s">
        <v>60</v>
      </c>
      <c r="AI285" s="1" t="s">
        <v>1280</v>
      </c>
      <c r="AJ285" s="4">
        <v>46173</v>
      </c>
      <c r="AK285" s="5">
        <v>0.12847222222222221</v>
      </c>
      <c r="AL285" s="1" t="s">
        <v>215</v>
      </c>
      <c r="AM285" s="1"/>
    </row>
    <row r="286" spans="1:39" x14ac:dyDescent="0.3">
      <c r="A286" s="1">
        <v>131352</v>
      </c>
      <c r="B286" s="1">
        <v>100690</v>
      </c>
      <c r="C286" s="1" t="s">
        <v>1188</v>
      </c>
      <c r="D286" s="38" t="s">
        <v>1805</v>
      </c>
      <c r="E286" s="4">
        <v>15685</v>
      </c>
      <c r="F286" s="1">
        <v>83</v>
      </c>
      <c r="G286" s="1" t="s">
        <v>212</v>
      </c>
      <c r="H286" s="1" t="s">
        <v>1501</v>
      </c>
      <c r="I286" s="1" t="s">
        <v>1501</v>
      </c>
      <c r="J286" s="1">
        <v>8525</v>
      </c>
      <c r="K286" s="1" t="s">
        <v>77</v>
      </c>
      <c r="L286" s="1" t="s">
        <v>19</v>
      </c>
      <c r="M286" s="1" t="s">
        <v>13</v>
      </c>
      <c r="N286" s="1" t="s">
        <v>10</v>
      </c>
      <c r="O286" s="1" t="s">
        <v>216</v>
      </c>
      <c r="P286" s="1" t="s">
        <v>52</v>
      </c>
      <c r="Q286" s="1" t="s">
        <v>19</v>
      </c>
      <c r="R286" s="1" t="s">
        <v>8</v>
      </c>
      <c r="S286" s="1" t="s">
        <v>12</v>
      </c>
      <c r="T286" s="1" t="s">
        <v>53</v>
      </c>
      <c r="U286" s="1" t="s">
        <v>8</v>
      </c>
      <c r="V286" s="1" t="str">
        <f>IF(pilgrims[[#This Row],[packages.second_hotel_name]]="",pilgrims[[#This Row],[packages.first_hotel_name]],pilgrims[[#This Row],[packages.second_hotel_name]])</f>
        <v>Makkah Clock Royal Tower A Fairmont Hotel</v>
      </c>
      <c r="W286" s="1" t="str">
        <f>IF(pilgrims[[#This Row],[packages.second_hotel_name]]="",pilgrims[[#This Row],[packages.first_hotel_check_in]],pilgrims[[#This Row],[packages.second_hotel_check_in]])</f>
        <v>2026-05-21</v>
      </c>
      <c r="X286" s="1" t="str">
        <f>IF(pilgrims[[#This Row],[packages.second_hotel_name]]="",pilgrims[[#This Row],[packages.first_hotel_check_out]],pilgrims[[#This Row],[packages.second_hotel_check_out]])</f>
        <v>2026-05-24</v>
      </c>
      <c r="Y286" s="1" t="s">
        <v>11</v>
      </c>
      <c r="Z286" s="1" t="s">
        <v>214</v>
      </c>
      <c r="AA286" s="1" t="s">
        <v>1190</v>
      </c>
      <c r="AB286" s="1" t="s">
        <v>1190</v>
      </c>
      <c r="AC286" s="1" t="s">
        <v>212</v>
      </c>
      <c r="AD286" s="1" t="s">
        <v>133</v>
      </c>
      <c r="AE286" s="1" t="s">
        <v>1281</v>
      </c>
      <c r="AF286" s="4">
        <v>46160</v>
      </c>
      <c r="AG286" s="5">
        <v>0.3923611111111111</v>
      </c>
      <c r="AH286" s="1" t="s">
        <v>60</v>
      </c>
      <c r="AI286" s="1" t="s">
        <v>1280</v>
      </c>
      <c r="AJ286" s="4">
        <v>46173</v>
      </c>
      <c r="AK286" s="5">
        <v>0.12847222222222221</v>
      </c>
      <c r="AL286" s="1" t="s">
        <v>215</v>
      </c>
      <c r="AM286" s="1"/>
    </row>
    <row r="287" spans="1:39" x14ac:dyDescent="0.3">
      <c r="A287" s="1">
        <v>131372</v>
      </c>
      <c r="B287" s="1">
        <v>100690</v>
      </c>
      <c r="C287" s="1" t="s">
        <v>1189</v>
      </c>
      <c r="D287" s="38" t="s">
        <v>1806</v>
      </c>
      <c r="E287" s="4">
        <v>19621</v>
      </c>
      <c r="F287" s="1">
        <v>72</v>
      </c>
      <c r="G287" s="1" t="s">
        <v>212</v>
      </c>
      <c r="H287" s="1" t="s">
        <v>1501</v>
      </c>
      <c r="I287" s="1" t="s">
        <v>1501</v>
      </c>
      <c r="J287" s="1">
        <v>8525</v>
      </c>
      <c r="K287" s="1" t="s">
        <v>77</v>
      </c>
      <c r="L287" s="1" t="s">
        <v>19</v>
      </c>
      <c r="M287" s="1" t="s">
        <v>13</v>
      </c>
      <c r="N287" s="1" t="s">
        <v>10</v>
      </c>
      <c r="O287" s="1" t="s">
        <v>216</v>
      </c>
      <c r="P287" s="1" t="s">
        <v>52</v>
      </c>
      <c r="Q287" s="1" t="s">
        <v>19</v>
      </c>
      <c r="R287" s="1" t="s">
        <v>8</v>
      </c>
      <c r="S287" s="1" t="s">
        <v>12</v>
      </c>
      <c r="T287" s="1" t="s">
        <v>53</v>
      </c>
      <c r="U287" s="1" t="s">
        <v>8</v>
      </c>
      <c r="V287" s="1" t="str">
        <f>IF(pilgrims[[#This Row],[packages.second_hotel_name]]="",pilgrims[[#This Row],[packages.first_hotel_name]],pilgrims[[#This Row],[packages.second_hotel_name]])</f>
        <v>Makkah Clock Royal Tower A Fairmont Hotel</v>
      </c>
      <c r="W287" s="1" t="str">
        <f>IF(pilgrims[[#This Row],[packages.second_hotel_name]]="",pilgrims[[#This Row],[packages.first_hotel_check_in]],pilgrims[[#This Row],[packages.second_hotel_check_in]])</f>
        <v>2026-05-21</v>
      </c>
      <c r="X287" s="1" t="str">
        <f>IF(pilgrims[[#This Row],[packages.second_hotel_name]]="",pilgrims[[#This Row],[packages.first_hotel_check_out]],pilgrims[[#This Row],[packages.second_hotel_check_out]])</f>
        <v>2026-05-24</v>
      </c>
      <c r="Y287" s="1" t="s">
        <v>11</v>
      </c>
      <c r="Z287" s="1" t="s">
        <v>214</v>
      </c>
      <c r="AA287" s="1" t="s">
        <v>1190</v>
      </c>
      <c r="AB287" s="1" t="s">
        <v>1190</v>
      </c>
      <c r="AC287" s="1" t="s">
        <v>212</v>
      </c>
      <c r="AD287" s="1" t="s">
        <v>133</v>
      </c>
      <c r="AE287" s="1" t="s">
        <v>1281</v>
      </c>
      <c r="AF287" s="4">
        <v>46160</v>
      </c>
      <c r="AG287" s="5">
        <v>0.3923611111111111</v>
      </c>
      <c r="AH287" s="1" t="s">
        <v>60</v>
      </c>
      <c r="AI287" s="1" t="s">
        <v>1280</v>
      </c>
      <c r="AJ287" s="4">
        <v>46173</v>
      </c>
      <c r="AK287" s="5">
        <v>0.12847222222222221</v>
      </c>
      <c r="AL287" s="1" t="s">
        <v>215</v>
      </c>
      <c r="AM287" s="1"/>
    </row>
    <row r="288" spans="1:39" x14ac:dyDescent="0.3">
      <c r="A288" s="1">
        <v>819175</v>
      </c>
      <c r="B288" s="1">
        <v>662302</v>
      </c>
      <c r="C288" s="1" t="s">
        <v>1189</v>
      </c>
      <c r="D288" s="38" t="s">
        <v>1807</v>
      </c>
      <c r="E288" s="4">
        <v>21923</v>
      </c>
      <c r="F288" s="1">
        <v>66</v>
      </c>
      <c r="G288" s="1" t="s">
        <v>212</v>
      </c>
      <c r="H288" s="1" t="s">
        <v>1501</v>
      </c>
      <c r="I288" s="1" t="s">
        <v>1501</v>
      </c>
      <c r="J288" s="1">
        <v>8537</v>
      </c>
      <c r="K288" s="1" t="s">
        <v>87</v>
      </c>
      <c r="L288" s="1" t="s">
        <v>8</v>
      </c>
      <c r="M288" s="1" t="s">
        <v>4</v>
      </c>
      <c r="N288" s="1" t="s">
        <v>21</v>
      </c>
      <c r="O288" s="1" t="s">
        <v>216</v>
      </c>
      <c r="P288" s="1" t="s">
        <v>53</v>
      </c>
      <c r="Q288" s="1" t="s">
        <v>8</v>
      </c>
      <c r="R288" s="1" t="s">
        <v>16</v>
      </c>
      <c r="S288" s="1" t="s">
        <v>5</v>
      </c>
      <c r="T288" s="1" t="s">
        <v>53</v>
      </c>
      <c r="U288" s="1" t="s">
        <v>6</v>
      </c>
      <c r="V288" s="1" t="str">
        <f>IF(pilgrims[[#This Row],[packages.second_hotel_name]]="",pilgrims[[#This Row],[packages.first_hotel_name]],pilgrims[[#This Row],[packages.second_hotel_name]])</f>
        <v>Movenpick Anwar Almadinah Hotel</v>
      </c>
      <c r="W288" s="1" t="str">
        <f>IF(pilgrims[[#This Row],[packages.second_hotel_name]]="",pilgrims[[#This Row],[packages.first_hotel_check_in]],pilgrims[[#This Row],[packages.second_hotel_check_in]])</f>
        <v>2026-05-30</v>
      </c>
      <c r="X288" s="1" t="str">
        <f>IF(pilgrims[[#This Row],[packages.second_hotel_name]]="",pilgrims[[#This Row],[packages.first_hotel_check_out]],pilgrims[[#This Row],[packages.second_hotel_check_out]])</f>
        <v>2026-06-02</v>
      </c>
      <c r="Y288" s="1" t="s">
        <v>4</v>
      </c>
      <c r="Z288" s="1" t="s">
        <v>214</v>
      </c>
      <c r="AA288" s="1" t="s">
        <v>1196</v>
      </c>
      <c r="AB288" s="1" t="s">
        <v>1196</v>
      </c>
      <c r="AC288" s="1" t="s">
        <v>212</v>
      </c>
      <c r="AD288" s="1" t="s">
        <v>61</v>
      </c>
      <c r="AE288" s="1" t="s">
        <v>1280</v>
      </c>
      <c r="AF288" s="4">
        <v>46164</v>
      </c>
      <c r="AG288" s="5">
        <v>0.57986111111111116</v>
      </c>
      <c r="AH288" s="1" t="s">
        <v>72</v>
      </c>
      <c r="AI288" s="1" t="s">
        <v>1281</v>
      </c>
      <c r="AJ288" s="4">
        <v>46172</v>
      </c>
      <c r="AK288" s="5">
        <v>0.25347222222222221</v>
      </c>
      <c r="AL288" s="1" t="s">
        <v>215</v>
      </c>
      <c r="AM288" s="1"/>
    </row>
    <row r="289" spans="1:39" x14ac:dyDescent="0.3">
      <c r="A289" s="1">
        <v>819254</v>
      </c>
      <c r="B289" s="1">
        <v>662302</v>
      </c>
      <c r="C289" s="1" t="s">
        <v>1188</v>
      </c>
      <c r="D289" s="38" t="s">
        <v>1808</v>
      </c>
      <c r="E289" s="4">
        <v>20821</v>
      </c>
      <c r="F289" s="1">
        <v>69</v>
      </c>
      <c r="G289" s="1" t="s">
        <v>212</v>
      </c>
      <c r="H289" s="1" t="s">
        <v>1501</v>
      </c>
      <c r="I289" s="1" t="s">
        <v>1501</v>
      </c>
      <c r="J289" s="1">
        <v>8537</v>
      </c>
      <c r="K289" s="1" t="s">
        <v>87</v>
      </c>
      <c r="L289" s="1" t="s">
        <v>8</v>
      </c>
      <c r="M289" s="1" t="s">
        <v>4</v>
      </c>
      <c r="N289" s="1" t="s">
        <v>21</v>
      </c>
      <c r="O289" s="1" t="s">
        <v>216</v>
      </c>
      <c r="P289" s="1" t="s">
        <v>53</v>
      </c>
      <c r="Q289" s="1" t="s">
        <v>8</v>
      </c>
      <c r="R289" s="1" t="s">
        <v>16</v>
      </c>
      <c r="S289" s="1" t="s">
        <v>5</v>
      </c>
      <c r="T289" s="1" t="s">
        <v>53</v>
      </c>
      <c r="U289" s="1" t="s">
        <v>6</v>
      </c>
      <c r="V289" s="1" t="str">
        <f>IF(pilgrims[[#This Row],[packages.second_hotel_name]]="",pilgrims[[#This Row],[packages.first_hotel_name]],pilgrims[[#This Row],[packages.second_hotel_name]])</f>
        <v>Movenpick Anwar Almadinah Hotel</v>
      </c>
      <c r="W289" s="1" t="str">
        <f>IF(pilgrims[[#This Row],[packages.second_hotel_name]]="",pilgrims[[#This Row],[packages.first_hotel_check_in]],pilgrims[[#This Row],[packages.second_hotel_check_in]])</f>
        <v>2026-05-30</v>
      </c>
      <c r="X289" s="1" t="str">
        <f>IF(pilgrims[[#This Row],[packages.second_hotel_name]]="",pilgrims[[#This Row],[packages.first_hotel_check_out]],pilgrims[[#This Row],[packages.second_hotel_check_out]])</f>
        <v>2026-06-02</v>
      </c>
      <c r="Y289" s="1" t="s">
        <v>4</v>
      </c>
      <c r="Z289" s="1" t="s">
        <v>214</v>
      </c>
      <c r="AA289" s="1" t="s">
        <v>1196</v>
      </c>
      <c r="AB289" s="1" t="s">
        <v>1196</v>
      </c>
      <c r="AC289" s="1" t="s">
        <v>212</v>
      </c>
      <c r="AD289" s="1" t="s">
        <v>61</v>
      </c>
      <c r="AE289" s="1" t="s">
        <v>1280</v>
      </c>
      <c r="AF289" s="4">
        <v>46164</v>
      </c>
      <c r="AG289" s="5">
        <v>0.57986111111111116</v>
      </c>
      <c r="AH289" s="1" t="s">
        <v>72</v>
      </c>
      <c r="AI289" s="1" t="s">
        <v>1281</v>
      </c>
      <c r="AJ289" s="4">
        <v>46172</v>
      </c>
      <c r="AK289" s="5">
        <v>0.25347222222222221</v>
      </c>
      <c r="AL289" s="1" t="s">
        <v>215</v>
      </c>
      <c r="AM289" s="1"/>
    </row>
    <row r="290" spans="1:39" x14ac:dyDescent="0.3">
      <c r="A290" s="1">
        <v>868401</v>
      </c>
      <c r="B290" s="1">
        <v>716724</v>
      </c>
      <c r="C290" s="1" t="s">
        <v>1189</v>
      </c>
      <c r="D290" s="38" t="s">
        <v>1809</v>
      </c>
      <c r="E290" s="4">
        <v>24353</v>
      </c>
      <c r="F290" s="1">
        <v>59</v>
      </c>
      <c r="G290" s="1" t="s">
        <v>212</v>
      </c>
      <c r="H290" s="1" t="s">
        <v>1501</v>
      </c>
      <c r="I290" s="1" t="s">
        <v>1501</v>
      </c>
      <c r="J290" s="1">
        <v>8530</v>
      </c>
      <c r="K290" s="1" t="s">
        <v>83</v>
      </c>
      <c r="L290" s="1" t="s">
        <v>19</v>
      </c>
      <c r="M290" s="1" t="s">
        <v>13</v>
      </c>
      <c r="N290" s="1" t="s">
        <v>5</v>
      </c>
      <c r="O290" s="1" t="s">
        <v>216</v>
      </c>
      <c r="P290" s="1" t="s">
        <v>53</v>
      </c>
      <c r="Q290" s="1" t="s">
        <v>19</v>
      </c>
      <c r="R290" s="1" t="s">
        <v>8</v>
      </c>
      <c r="S290" s="1" t="s">
        <v>15</v>
      </c>
      <c r="T290" s="1" t="s">
        <v>53</v>
      </c>
      <c r="U290" s="1" t="s">
        <v>8</v>
      </c>
      <c r="V290" s="1" t="str">
        <f>IF(pilgrims[[#This Row],[packages.second_hotel_name]]="",pilgrims[[#This Row],[packages.first_hotel_name]],pilgrims[[#This Row],[packages.second_hotel_name]])</f>
        <v>Swissotel Al Maqam Makkah</v>
      </c>
      <c r="W290" s="1" t="str">
        <f>IF(pilgrims[[#This Row],[packages.second_hotel_name]]="",pilgrims[[#This Row],[packages.first_hotel_check_in]],pilgrims[[#This Row],[packages.second_hotel_check_in]])</f>
        <v>2026-05-21</v>
      </c>
      <c r="X290" s="1" t="str">
        <f>IF(pilgrims[[#This Row],[packages.second_hotel_name]]="",pilgrims[[#This Row],[packages.first_hotel_check_out]],pilgrims[[#This Row],[packages.second_hotel_check_out]])</f>
        <v>2026-05-25</v>
      </c>
      <c r="Y290" s="1" t="s">
        <v>16</v>
      </c>
      <c r="Z290" s="1" t="s">
        <v>214</v>
      </c>
      <c r="AA290" s="1" t="s">
        <v>1202</v>
      </c>
      <c r="AB290" s="1" t="s">
        <v>1202</v>
      </c>
      <c r="AC290" s="1" t="s">
        <v>212</v>
      </c>
      <c r="AD290" s="1" t="s">
        <v>136</v>
      </c>
      <c r="AE290" s="1" t="s">
        <v>1281</v>
      </c>
      <c r="AF290" s="4">
        <v>46160</v>
      </c>
      <c r="AG290" s="5">
        <v>0.1076388888888889</v>
      </c>
      <c r="AH290" s="1" t="s">
        <v>71</v>
      </c>
      <c r="AI290" s="1" t="s">
        <v>1280</v>
      </c>
      <c r="AJ290" s="4">
        <v>46172</v>
      </c>
      <c r="AK290" s="5">
        <v>0.40972222222222221</v>
      </c>
      <c r="AL290" s="1" t="s">
        <v>215</v>
      </c>
      <c r="AM290" s="1"/>
    </row>
    <row r="291" spans="1:39" x14ac:dyDescent="0.3">
      <c r="A291" s="1">
        <v>715940</v>
      </c>
      <c r="B291" s="1">
        <v>580831</v>
      </c>
      <c r="C291" s="1" t="s">
        <v>1189</v>
      </c>
      <c r="D291" s="38" t="s">
        <v>1810</v>
      </c>
      <c r="E291" s="4">
        <v>29871</v>
      </c>
      <c r="F291" s="1">
        <v>44</v>
      </c>
      <c r="G291" s="1" t="s">
        <v>212</v>
      </c>
      <c r="H291" s="1" t="s">
        <v>1502</v>
      </c>
      <c r="I291" s="1" t="s">
        <v>1502</v>
      </c>
      <c r="J291" s="1">
        <v>8530</v>
      </c>
      <c r="K291" s="1" t="s">
        <v>83</v>
      </c>
      <c r="L291" s="1" t="s">
        <v>19</v>
      </c>
      <c r="M291" s="1" t="s">
        <v>13</v>
      </c>
      <c r="N291" s="1" t="s">
        <v>5</v>
      </c>
      <c r="O291" s="1" t="s">
        <v>216</v>
      </c>
      <c r="P291" s="1" t="s">
        <v>53</v>
      </c>
      <c r="Q291" s="1" t="s">
        <v>19</v>
      </c>
      <c r="R291" s="1" t="s">
        <v>8</v>
      </c>
      <c r="S291" s="1" t="s">
        <v>15</v>
      </c>
      <c r="T291" s="1" t="s">
        <v>53</v>
      </c>
      <c r="U291" s="1" t="s">
        <v>8</v>
      </c>
      <c r="V291" s="1" t="str">
        <f>IF(pilgrims[[#This Row],[packages.second_hotel_name]]="",pilgrims[[#This Row],[packages.first_hotel_name]],pilgrims[[#This Row],[packages.second_hotel_name]])</f>
        <v>Swissotel Al Maqam Makkah</v>
      </c>
      <c r="W291" s="1" t="str">
        <f>IF(pilgrims[[#This Row],[packages.second_hotel_name]]="",pilgrims[[#This Row],[packages.first_hotel_check_in]],pilgrims[[#This Row],[packages.second_hotel_check_in]])</f>
        <v>2026-05-21</v>
      </c>
      <c r="X291" s="1" t="str">
        <f>IF(pilgrims[[#This Row],[packages.second_hotel_name]]="",pilgrims[[#This Row],[packages.first_hotel_check_out]],pilgrims[[#This Row],[packages.second_hotel_check_out]])</f>
        <v>2026-05-25</v>
      </c>
      <c r="Y291" s="1" t="s">
        <v>16</v>
      </c>
      <c r="Z291" s="1" t="s">
        <v>214</v>
      </c>
      <c r="AA291" s="1" t="s">
        <v>1209</v>
      </c>
      <c r="AB291" s="1" t="s">
        <v>1209</v>
      </c>
      <c r="AC291" s="1" t="s">
        <v>212</v>
      </c>
      <c r="AD291" s="1" t="s">
        <v>134</v>
      </c>
      <c r="AE291" s="1" t="s">
        <v>1281</v>
      </c>
      <c r="AF291" s="4">
        <v>46160</v>
      </c>
      <c r="AG291" s="5">
        <v>0.73958333333333337</v>
      </c>
      <c r="AH291" s="1" t="s">
        <v>68</v>
      </c>
      <c r="AI291" s="1" t="s">
        <v>1280</v>
      </c>
      <c r="AJ291" s="4">
        <v>46172</v>
      </c>
      <c r="AK291" s="5">
        <v>0.38541666666666669</v>
      </c>
      <c r="AL291" s="1" t="s">
        <v>215</v>
      </c>
      <c r="AM291" s="1"/>
    </row>
    <row r="292" spans="1:39" x14ac:dyDescent="0.3">
      <c r="A292" s="1">
        <v>715988</v>
      </c>
      <c r="B292" s="1">
        <v>580831</v>
      </c>
      <c r="C292" s="1" t="s">
        <v>1188</v>
      </c>
      <c r="D292" s="38" t="s">
        <v>1811</v>
      </c>
      <c r="E292" s="4">
        <v>27817</v>
      </c>
      <c r="F292" s="1">
        <v>50</v>
      </c>
      <c r="G292" s="1" t="s">
        <v>212</v>
      </c>
      <c r="H292" s="1" t="s">
        <v>1502</v>
      </c>
      <c r="I292" s="1" t="s">
        <v>1502</v>
      </c>
      <c r="J292" s="1">
        <v>8530</v>
      </c>
      <c r="K292" s="1" t="s">
        <v>83</v>
      </c>
      <c r="L292" s="1" t="s">
        <v>19</v>
      </c>
      <c r="M292" s="1" t="s">
        <v>13</v>
      </c>
      <c r="N292" s="1" t="s">
        <v>5</v>
      </c>
      <c r="O292" s="1" t="s">
        <v>216</v>
      </c>
      <c r="P292" s="1" t="s">
        <v>53</v>
      </c>
      <c r="Q292" s="1" t="s">
        <v>19</v>
      </c>
      <c r="R292" s="1" t="s">
        <v>8</v>
      </c>
      <c r="S292" s="1" t="s">
        <v>15</v>
      </c>
      <c r="T292" s="1" t="s">
        <v>53</v>
      </c>
      <c r="U292" s="1" t="s">
        <v>8</v>
      </c>
      <c r="V292" s="1" t="str">
        <f>IF(pilgrims[[#This Row],[packages.second_hotel_name]]="",pilgrims[[#This Row],[packages.first_hotel_name]],pilgrims[[#This Row],[packages.second_hotel_name]])</f>
        <v>Swissotel Al Maqam Makkah</v>
      </c>
      <c r="W292" s="1" t="str">
        <f>IF(pilgrims[[#This Row],[packages.second_hotel_name]]="",pilgrims[[#This Row],[packages.first_hotel_check_in]],pilgrims[[#This Row],[packages.second_hotel_check_in]])</f>
        <v>2026-05-21</v>
      </c>
      <c r="X292" s="1" t="str">
        <f>IF(pilgrims[[#This Row],[packages.second_hotel_name]]="",pilgrims[[#This Row],[packages.first_hotel_check_out]],pilgrims[[#This Row],[packages.second_hotel_check_out]])</f>
        <v>2026-05-25</v>
      </c>
      <c r="Y292" s="1" t="s">
        <v>16</v>
      </c>
      <c r="Z292" s="1" t="s">
        <v>214</v>
      </c>
      <c r="AA292" s="1" t="s">
        <v>1209</v>
      </c>
      <c r="AB292" s="1" t="s">
        <v>1209</v>
      </c>
      <c r="AC292" s="1" t="s">
        <v>212</v>
      </c>
      <c r="AD292" s="1" t="s">
        <v>134</v>
      </c>
      <c r="AE292" s="1" t="s">
        <v>1281</v>
      </c>
      <c r="AF292" s="4">
        <v>46160</v>
      </c>
      <c r="AG292" s="5">
        <v>0.73958333333333337</v>
      </c>
      <c r="AH292" s="1" t="s">
        <v>68</v>
      </c>
      <c r="AI292" s="1" t="s">
        <v>1280</v>
      </c>
      <c r="AJ292" s="4">
        <v>46172</v>
      </c>
      <c r="AK292" s="5">
        <v>0.38541666666666669</v>
      </c>
      <c r="AL292" s="1" t="s">
        <v>215</v>
      </c>
      <c r="AM292" s="1"/>
    </row>
    <row r="293" spans="1:39" x14ac:dyDescent="0.3">
      <c r="A293" s="1">
        <v>850055</v>
      </c>
      <c r="B293" s="1">
        <v>687158</v>
      </c>
      <c r="C293" s="1" t="s">
        <v>1188</v>
      </c>
      <c r="D293" s="38" t="s">
        <v>1812</v>
      </c>
      <c r="E293" s="4">
        <v>25634</v>
      </c>
      <c r="F293" s="1">
        <v>55</v>
      </c>
      <c r="G293" s="1" t="s">
        <v>212</v>
      </c>
      <c r="H293" s="1" t="s">
        <v>1501</v>
      </c>
      <c r="I293" s="1" t="s">
        <v>1501</v>
      </c>
      <c r="J293" s="1">
        <v>8535</v>
      </c>
      <c r="K293" s="1" t="s">
        <v>86</v>
      </c>
      <c r="L293" s="1" t="s">
        <v>8</v>
      </c>
      <c r="M293" s="1" t="s">
        <v>4</v>
      </c>
      <c r="N293" s="1" t="s">
        <v>12</v>
      </c>
      <c r="O293" s="1" t="s">
        <v>216</v>
      </c>
      <c r="P293" s="1" t="s">
        <v>53</v>
      </c>
      <c r="Q293" s="1" t="s">
        <v>8</v>
      </c>
      <c r="R293" s="1" t="s">
        <v>11</v>
      </c>
      <c r="S293" s="1" t="s">
        <v>20</v>
      </c>
      <c r="T293" s="1" t="s">
        <v>53</v>
      </c>
      <c r="U293" s="1" t="s">
        <v>6</v>
      </c>
      <c r="V293" s="1" t="str">
        <f>IF(pilgrims[[#This Row],[packages.second_hotel_name]]="",pilgrims[[#This Row],[packages.first_hotel_name]],pilgrims[[#This Row],[packages.second_hotel_name]])</f>
        <v>Daral Taqwa Hotel</v>
      </c>
      <c r="W293" s="1" t="str">
        <f>IF(pilgrims[[#This Row],[packages.second_hotel_name]]="",pilgrims[[#This Row],[packages.first_hotel_check_in]],pilgrims[[#This Row],[packages.second_hotel_check_in]])</f>
        <v>2026-05-30</v>
      </c>
      <c r="X293" s="1" t="str">
        <f>IF(pilgrims[[#This Row],[packages.second_hotel_name]]="",pilgrims[[#This Row],[packages.first_hotel_check_out]],pilgrims[[#This Row],[packages.second_hotel_check_out]])</f>
        <v>2026-06-02</v>
      </c>
      <c r="Y293" s="1" t="s">
        <v>4</v>
      </c>
      <c r="Z293" s="1" t="s">
        <v>261</v>
      </c>
      <c r="AA293" s="1" t="s">
        <v>684</v>
      </c>
      <c r="AB293" s="1" t="s">
        <v>1364</v>
      </c>
      <c r="AC293" s="1" t="s">
        <v>685</v>
      </c>
      <c r="AD293" s="1" t="s">
        <v>1365</v>
      </c>
      <c r="AE293" s="1" t="s">
        <v>1280</v>
      </c>
      <c r="AF293" s="4">
        <v>46163</v>
      </c>
      <c r="AG293" s="5">
        <v>0.91319444444444442</v>
      </c>
      <c r="AH293" s="1" t="s">
        <v>1366</v>
      </c>
      <c r="AI293" s="1" t="s">
        <v>1281</v>
      </c>
      <c r="AJ293" s="4">
        <v>46175</v>
      </c>
      <c r="AK293" s="5">
        <v>0.71875</v>
      </c>
      <c r="AL293" s="1" t="s">
        <v>215</v>
      </c>
      <c r="AM293" s="1"/>
    </row>
    <row r="294" spans="1:39" x14ac:dyDescent="0.3">
      <c r="A294" s="1">
        <v>787743</v>
      </c>
      <c r="B294" s="1">
        <v>637970</v>
      </c>
      <c r="C294" s="1" t="s">
        <v>1188</v>
      </c>
      <c r="D294" s="38" t="s">
        <v>1813</v>
      </c>
      <c r="E294" s="4">
        <v>32110</v>
      </c>
      <c r="F294" s="1">
        <v>38</v>
      </c>
      <c r="G294" s="1" t="s">
        <v>212</v>
      </c>
      <c r="H294" s="1" t="s">
        <v>1501</v>
      </c>
      <c r="I294" s="1" t="s">
        <v>1501</v>
      </c>
      <c r="J294" s="1">
        <v>8528</v>
      </c>
      <c r="K294" s="1" t="s">
        <v>81</v>
      </c>
      <c r="L294" s="1" t="s">
        <v>19</v>
      </c>
      <c r="M294" s="1" t="s">
        <v>6</v>
      </c>
      <c r="N294" s="1" t="s">
        <v>10</v>
      </c>
      <c r="O294" s="1" t="s">
        <v>216</v>
      </c>
      <c r="P294" s="1" t="s">
        <v>52</v>
      </c>
      <c r="Q294" s="1" t="s">
        <v>19</v>
      </c>
      <c r="R294" s="1" t="s">
        <v>8</v>
      </c>
      <c r="S294" s="1" t="s">
        <v>12</v>
      </c>
      <c r="T294" s="1" t="s">
        <v>53</v>
      </c>
      <c r="U294" s="1" t="s">
        <v>8</v>
      </c>
      <c r="V294" s="1" t="str">
        <f>IF(pilgrims[[#This Row],[packages.second_hotel_name]]="",pilgrims[[#This Row],[packages.first_hotel_name]],pilgrims[[#This Row],[packages.second_hotel_name]])</f>
        <v>Makkah Clock Royal Tower A Fairmont Hotel</v>
      </c>
      <c r="W294" s="1" t="str">
        <f>IF(pilgrims[[#This Row],[packages.second_hotel_name]]="",pilgrims[[#This Row],[packages.first_hotel_check_in]],pilgrims[[#This Row],[packages.second_hotel_check_in]])</f>
        <v>2026-05-21</v>
      </c>
      <c r="X294" s="1" t="str">
        <f>IF(pilgrims[[#This Row],[packages.second_hotel_name]]="",pilgrims[[#This Row],[packages.first_hotel_check_out]],pilgrims[[#This Row],[packages.second_hotel_check_out]])</f>
        <v>2026-05-25</v>
      </c>
      <c r="Y294" s="1" t="s">
        <v>16</v>
      </c>
      <c r="Z294" s="1" t="s">
        <v>214</v>
      </c>
      <c r="AA294" s="1" t="s">
        <v>1193</v>
      </c>
      <c r="AB294" s="1" t="s">
        <v>1193</v>
      </c>
      <c r="AC294" s="1" t="s">
        <v>212</v>
      </c>
      <c r="AD294" s="1" t="s">
        <v>134</v>
      </c>
      <c r="AE294" s="1" t="s">
        <v>1281</v>
      </c>
      <c r="AF294" s="4">
        <v>46160</v>
      </c>
      <c r="AG294" s="5">
        <v>0.73958333333333337</v>
      </c>
      <c r="AH294" s="1" t="s">
        <v>63</v>
      </c>
      <c r="AI294" s="1" t="s">
        <v>1280</v>
      </c>
      <c r="AJ294" s="4">
        <v>46172</v>
      </c>
      <c r="AK294" s="5">
        <v>0.35069444444444442</v>
      </c>
      <c r="AL294" s="1" t="s">
        <v>215</v>
      </c>
      <c r="AM294" s="1"/>
    </row>
    <row r="295" spans="1:39" x14ac:dyDescent="0.3">
      <c r="A295" s="1">
        <v>850078</v>
      </c>
      <c r="B295" s="1">
        <v>687158</v>
      </c>
      <c r="C295" s="1" t="s">
        <v>1189</v>
      </c>
      <c r="D295" s="38" t="s">
        <v>1814</v>
      </c>
      <c r="E295" s="4">
        <v>27705</v>
      </c>
      <c r="F295" s="1">
        <v>50</v>
      </c>
      <c r="G295" s="1" t="s">
        <v>212</v>
      </c>
      <c r="H295" s="1" t="s">
        <v>1501</v>
      </c>
      <c r="I295" s="1" t="s">
        <v>1501</v>
      </c>
      <c r="J295" s="1">
        <v>8535</v>
      </c>
      <c r="K295" s="1" t="s">
        <v>86</v>
      </c>
      <c r="L295" s="1" t="s">
        <v>8</v>
      </c>
      <c r="M295" s="1" t="s">
        <v>4</v>
      </c>
      <c r="N295" s="1" t="s">
        <v>12</v>
      </c>
      <c r="O295" s="1" t="s">
        <v>216</v>
      </c>
      <c r="P295" s="1" t="s">
        <v>53</v>
      </c>
      <c r="Q295" s="1" t="s">
        <v>8</v>
      </c>
      <c r="R295" s="1" t="s">
        <v>11</v>
      </c>
      <c r="S295" s="1" t="s">
        <v>20</v>
      </c>
      <c r="T295" s="1" t="s">
        <v>53</v>
      </c>
      <c r="U295" s="1" t="s">
        <v>6</v>
      </c>
      <c r="V295" s="1" t="str">
        <f>IF(pilgrims[[#This Row],[packages.second_hotel_name]]="",pilgrims[[#This Row],[packages.first_hotel_name]],pilgrims[[#This Row],[packages.second_hotel_name]])</f>
        <v>Daral Taqwa Hotel</v>
      </c>
      <c r="W295" s="1" t="str">
        <f>IF(pilgrims[[#This Row],[packages.second_hotel_name]]="",pilgrims[[#This Row],[packages.first_hotel_check_in]],pilgrims[[#This Row],[packages.second_hotel_check_in]])</f>
        <v>2026-05-30</v>
      </c>
      <c r="X295" s="1" t="str">
        <f>IF(pilgrims[[#This Row],[packages.second_hotel_name]]="",pilgrims[[#This Row],[packages.first_hotel_check_out]],pilgrims[[#This Row],[packages.second_hotel_check_out]])</f>
        <v>2026-06-02</v>
      </c>
      <c r="Y295" s="1" t="s">
        <v>4</v>
      </c>
      <c r="Z295" s="1" t="s">
        <v>261</v>
      </c>
      <c r="AA295" s="1" t="s">
        <v>684</v>
      </c>
      <c r="AB295" s="1" t="s">
        <v>1364</v>
      </c>
      <c r="AC295" s="1" t="s">
        <v>685</v>
      </c>
      <c r="AD295" s="1" t="s">
        <v>1365</v>
      </c>
      <c r="AE295" s="1" t="s">
        <v>1280</v>
      </c>
      <c r="AF295" s="4">
        <v>46163</v>
      </c>
      <c r="AG295" s="5">
        <v>0.91319444444444442</v>
      </c>
      <c r="AH295" s="1" t="s">
        <v>1366</v>
      </c>
      <c r="AI295" s="1" t="s">
        <v>1281</v>
      </c>
      <c r="AJ295" s="4">
        <v>46175</v>
      </c>
      <c r="AK295" s="5">
        <v>0.71875</v>
      </c>
      <c r="AL295" s="1" t="s">
        <v>215</v>
      </c>
      <c r="AM295" s="1"/>
    </row>
    <row r="296" spans="1:39" x14ac:dyDescent="0.3">
      <c r="A296" s="1">
        <v>795892</v>
      </c>
      <c r="B296" s="1">
        <v>637970</v>
      </c>
      <c r="C296" s="1" t="s">
        <v>1189</v>
      </c>
      <c r="D296" s="38" t="s">
        <v>1815</v>
      </c>
      <c r="E296" s="4">
        <v>33545</v>
      </c>
      <c r="F296" s="1">
        <v>34</v>
      </c>
      <c r="G296" s="1" t="s">
        <v>212</v>
      </c>
      <c r="H296" s="1" t="s">
        <v>1501</v>
      </c>
      <c r="I296" s="1" t="s">
        <v>1501</v>
      </c>
      <c r="J296" s="1">
        <v>8528</v>
      </c>
      <c r="K296" s="1" t="s">
        <v>81</v>
      </c>
      <c r="L296" s="1" t="s">
        <v>19</v>
      </c>
      <c r="M296" s="1" t="s">
        <v>6</v>
      </c>
      <c r="N296" s="1" t="s">
        <v>10</v>
      </c>
      <c r="O296" s="1" t="s">
        <v>216</v>
      </c>
      <c r="P296" s="1" t="s">
        <v>52</v>
      </c>
      <c r="Q296" s="1" t="s">
        <v>19</v>
      </c>
      <c r="R296" s="1" t="s">
        <v>8</v>
      </c>
      <c r="S296" s="1" t="s">
        <v>12</v>
      </c>
      <c r="T296" s="1" t="s">
        <v>53</v>
      </c>
      <c r="U296" s="1" t="s">
        <v>8</v>
      </c>
      <c r="V296" s="1" t="str">
        <f>IF(pilgrims[[#This Row],[packages.second_hotel_name]]="",pilgrims[[#This Row],[packages.first_hotel_name]],pilgrims[[#This Row],[packages.second_hotel_name]])</f>
        <v>Makkah Clock Royal Tower A Fairmont Hotel</v>
      </c>
      <c r="W296" s="1" t="str">
        <f>IF(pilgrims[[#This Row],[packages.second_hotel_name]]="",pilgrims[[#This Row],[packages.first_hotel_check_in]],pilgrims[[#This Row],[packages.second_hotel_check_in]])</f>
        <v>2026-05-21</v>
      </c>
      <c r="X296" s="1" t="str">
        <f>IF(pilgrims[[#This Row],[packages.second_hotel_name]]="",pilgrims[[#This Row],[packages.first_hotel_check_out]],pilgrims[[#This Row],[packages.second_hotel_check_out]])</f>
        <v>2026-05-25</v>
      </c>
      <c r="Y296" s="1" t="s">
        <v>16</v>
      </c>
      <c r="Z296" s="1" t="s">
        <v>214</v>
      </c>
      <c r="AA296" s="1" t="s">
        <v>1193</v>
      </c>
      <c r="AB296" s="1" t="s">
        <v>1193</v>
      </c>
      <c r="AC296" s="1" t="s">
        <v>212</v>
      </c>
      <c r="AD296" s="1" t="s">
        <v>134</v>
      </c>
      <c r="AE296" s="1" t="s">
        <v>1281</v>
      </c>
      <c r="AF296" s="4">
        <v>46160</v>
      </c>
      <c r="AG296" s="5">
        <v>0.73958333333333337</v>
      </c>
      <c r="AH296" s="1" t="s">
        <v>63</v>
      </c>
      <c r="AI296" s="1" t="s">
        <v>1280</v>
      </c>
      <c r="AJ296" s="4">
        <v>46172</v>
      </c>
      <c r="AK296" s="5">
        <v>0.35069444444444442</v>
      </c>
      <c r="AL296" s="1" t="s">
        <v>215</v>
      </c>
      <c r="AM296" s="1"/>
    </row>
    <row r="297" spans="1:39" x14ac:dyDescent="0.3">
      <c r="A297" s="1">
        <v>548148</v>
      </c>
      <c r="B297" s="1">
        <v>435193</v>
      </c>
      <c r="C297" s="1" t="s">
        <v>1188</v>
      </c>
      <c r="D297" s="38" t="s">
        <v>1552</v>
      </c>
      <c r="E297" s="4">
        <v>19923</v>
      </c>
      <c r="F297" s="1">
        <v>71</v>
      </c>
      <c r="G297" s="1" t="s">
        <v>212</v>
      </c>
      <c r="H297" s="1" t="s">
        <v>1501</v>
      </c>
      <c r="I297" s="1" t="s">
        <v>1501</v>
      </c>
      <c r="J297" s="1">
        <v>8530</v>
      </c>
      <c r="K297" s="1" t="s">
        <v>83</v>
      </c>
      <c r="L297" s="1" t="s">
        <v>19</v>
      </c>
      <c r="M297" s="1" t="s">
        <v>13</v>
      </c>
      <c r="N297" s="1" t="s">
        <v>5</v>
      </c>
      <c r="O297" s="1" t="s">
        <v>216</v>
      </c>
      <c r="P297" s="1" t="s">
        <v>53</v>
      </c>
      <c r="Q297" s="1" t="s">
        <v>19</v>
      </c>
      <c r="R297" s="1" t="s">
        <v>8</v>
      </c>
      <c r="S297" s="1" t="s">
        <v>15</v>
      </c>
      <c r="T297" s="1" t="s">
        <v>53</v>
      </c>
      <c r="U297" s="1" t="s">
        <v>8</v>
      </c>
      <c r="V297" s="1" t="str">
        <f>IF(pilgrims[[#This Row],[packages.second_hotel_name]]="",pilgrims[[#This Row],[packages.first_hotel_name]],pilgrims[[#This Row],[packages.second_hotel_name]])</f>
        <v>Swissotel Al Maqam Makkah</v>
      </c>
      <c r="W297" s="1" t="str">
        <f>IF(pilgrims[[#This Row],[packages.second_hotel_name]]="",pilgrims[[#This Row],[packages.first_hotel_check_in]],pilgrims[[#This Row],[packages.second_hotel_check_in]])</f>
        <v>2026-05-21</v>
      </c>
      <c r="X297" s="1" t="str">
        <f>IF(pilgrims[[#This Row],[packages.second_hotel_name]]="",pilgrims[[#This Row],[packages.first_hotel_check_out]],pilgrims[[#This Row],[packages.second_hotel_check_out]])</f>
        <v>2026-05-25</v>
      </c>
      <c r="Y297" s="1" t="s">
        <v>16</v>
      </c>
      <c r="Z297" s="1" t="s">
        <v>214</v>
      </c>
      <c r="AA297" s="1" t="s">
        <v>1193</v>
      </c>
      <c r="AB297" s="1" t="s">
        <v>1193</v>
      </c>
      <c r="AC297" s="1" t="s">
        <v>212</v>
      </c>
      <c r="AD297" s="1" t="s">
        <v>134</v>
      </c>
      <c r="AE297" s="1" t="s">
        <v>1281</v>
      </c>
      <c r="AF297" s="4">
        <v>46160</v>
      </c>
      <c r="AG297" s="5">
        <v>0.73958333333333337</v>
      </c>
      <c r="AH297" s="1" t="s">
        <v>63</v>
      </c>
      <c r="AI297" s="1" t="s">
        <v>1280</v>
      </c>
      <c r="AJ297" s="4">
        <v>46172</v>
      </c>
      <c r="AK297" s="5">
        <v>0.35069444444444442</v>
      </c>
      <c r="AL297" s="1" t="s">
        <v>215</v>
      </c>
      <c r="AM297" s="1"/>
    </row>
    <row r="298" spans="1:39" x14ac:dyDescent="0.3">
      <c r="A298" s="1">
        <v>548148</v>
      </c>
      <c r="B298" s="1">
        <v>435193</v>
      </c>
      <c r="C298" s="1" t="s">
        <v>1188</v>
      </c>
      <c r="D298" s="38" t="s">
        <v>1552</v>
      </c>
      <c r="E298" s="4">
        <v>19923</v>
      </c>
      <c r="F298" s="1">
        <v>71</v>
      </c>
      <c r="G298" s="1" t="s">
        <v>212</v>
      </c>
      <c r="H298" s="1" t="s">
        <v>1501</v>
      </c>
      <c r="I298" s="1" t="s">
        <v>1501</v>
      </c>
      <c r="J298" s="1">
        <v>8530</v>
      </c>
      <c r="K298" s="1" t="s">
        <v>83</v>
      </c>
      <c r="L298" s="1" t="s">
        <v>19</v>
      </c>
      <c r="M298" s="1" t="s">
        <v>13</v>
      </c>
      <c r="N298" s="1" t="s">
        <v>5</v>
      </c>
      <c r="O298" s="1" t="s">
        <v>216</v>
      </c>
      <c r="P298" s="1" t="s">
        <v>53</v>
      </c>
      <c r="Q298" s="1" t="s">
        <v>19</v>
      </c>
      <c r="R298" s="1" t="s">
        <v>8</v>
      </c>
      <c r="S298" s="1" t="s">
        <v>15</v>
      </c>
      <c r="T298" s="1" t="s">
        <v>53</v>
      </c>
      <c r="U298" s="1" t="s">
        <v>8</v>
      </c>
      <c r="V298" s="1" t="str">
        <f>IF(pilgrims[[#This Row],[packages.second_hotel_name]]="",pilgrims[[#This Row],[packages.first_hotel_name]],pilgrims[[#This Row],[packages.second_hotel_name]])</f>
        <v>Swissotel Al Maqam Makkah</v>
      </c>
      <c r="W298" s="1" t="str">
        <f>IF(pilgrims[[#This Row],[packages.second_hotel_name]]="",pilgrims[[#This Row],[packages.first_hotel_check_in]],pilgrims[[#This Row],[packages.second_hotel_check_in]])</f>
        <v>2026-05-21</v>
      </c>
      <c r="X298" s="1" t="str">
        <f>IF(pilgrims[[#This Row],[packages.second_hotel_name]]="",pilgrims[[#This Row],[packages.first_hotel_check_out]],pilgrims[[#This Row],[packages.second_hotel_check_out]])</f>
        <v>2026-05-25</v>
      </c>
      <c r="Y298" s="1" t="s">
        <v>16</v>
      </c>
      <c r="Z298" s="1" t="s">
        <v>214</v>
      </c>
      <c r="AA298" s="1" t="s">
        <v>1193</v>
      </c>
      <c r="AB298" s="1" t="s">
        <v>1290</v>
      </c>
      <c r="AC298" s="1" t="s">
        <v>268</v>
      </c>
      <c r="AD298" s="1" t="s">
        <v>1291</v>
      </c>
      <c r="AE298" s="1" t="s">
        <v>1281</v>
      </c>
      <c r="AF298" s="4">
        <v>46164</v>
      </c>
      <c r="AG298" s="5">
        <v>0.95833333333333337</v>
      </c>
      <c r="AH298" s="1" t="s">
        <v>1292</v>
      </c>
      <c r="AI298" s="1" t="s">
        <v>1280</v>
      </c>
      <c r="AJ298" s="4">
        <v>46173</v>
      </c>
      <c r="AK298" s="5">
        <v>2.7777777777777776E-2</v>
      </c>
      <c r="AL298" s="1" t="s">
        <v>215</v>
      </c>
      <c r="AM298" s="1"/>
    </row>
    <row r="299" spans="1:39" x14ac:dyDescent="0.3">
      <c r="A299" s="1">
        <v>478601</v>
      </c>
      <c r="B299" s="1">
        <v>375855</v>
      </c>
      <c r="C299" s="1" t="s">
        <v>1188</v>
      </c>
      <c r="D299" s="38" t="s">
        <v>1816</v>
      </c>
      <c r="E299" s="4">
        <v>29198</v>
      </c>
      <c r="F299" s="1">
        <v>46</v>
      </c>
      <c r="G299" s="1" t="s">
        <v>212</v>
      </c>
      <c r="H299" s="1" t="s">
        <v>1501</v>
      </c>
      <c r="I299" s="1" t="s">
        <v>1501</v>
      </c>
      <c r="J299" s="1">
        <v>8530</v>
      </c>
      <c r="K299" s="1" t="s">
        <v>83</v>
      </c>
      <c r="L299" s="1" t="s">
        <v>19</v>
      </c>
      <c r="M299" s="1" t="s">
        <v>13</v>
      </c>
      <c r="N299" s="1" t="s">
        <v>5</v>
      </c>
      <c r="O299" s="1" t="s">
        <v>216</v>
      </c>
      <c r="P299" s="1" t="s">
        <v>53</v>
      </c>
      <c r="Q299" s="1" t="s">
        <v>19</v>
      </c>
      <c r="R299" s="1" t="s">
        <v>8</v>
      </c>
      <c r="S299" s="1" t="s">
        <v>15</v>
      </c>
      <c r="T299" s="1" t="s">
        <v>53</v>
      </c>
      <c r="U299" s="1" t="s">
        <v>8</v>
      </c>
      <c r="V299" s="1" t="str">
        <f>IF(pilgrims[[#This Row],[packages.second_hotel_name]]="",pilgrims[[#This Row],[packages.first_hotel_name]],pilgrims[[#This Row],[packages.second_hotel_name]])</f>
        <v>Swissotel Al Maqam Makkah</v>
      </c>
      <c r="W299" s="1" t="str">
        <f>IF(pilgrims[[#This Row],[packages.second_hotel_name]]="",pilgrims[[#This Row],[packages.first_hotel_check_in]],pilgrims[[#This Row],[packages.second_hotel_check_in]])</f>
        <v>2026-05-21</v>
      </c>
      <c r="X299" s="1" t="str">
        <f>IF(pilgrims[[#This Row],[packages.second_hotel_name]]="",pilgrims[[#This Row],[packages.first_hotel_check_out]],pilgrims[[#This Row],[packages.second_hotel_check_out]])</f>
        <v>2026-05-25</v>
      </c>
      <c r="Y299" s="1" t="s">
        <v>16</v>
      </c>
      <c r="Z299" s="1" t="s">
        <v>261</v>
      </c>
      <c r="AA299" s="1" t="s">
        <v>689</v>
      </c>
      <c r="AB299" s="1" t="s">
        <v>1367</v>
      </c>
      <c r="AC299" s="1" t="s">
        <v>690</v>
      </c>
      <c r="AD299" s="1" t="s">
        <v>1368</v>
      </c>
      <c r="AE299" s="1" t="s">
        <v>1280</v>
      </c>
      <c r="AF299" s="4">
        <v>46160</v>
      </c>
      <c r="AG299" s="5">
        <v>0.63888888888888884</v>
      </c>
      <c r="AH299" s="1" t="s">
        <v>1369</v>
      </c>
      <c r="AI299" s="1" t="s">
        <v>1280</v>
      </c>
      <c r="AJ299" s="4">
        <v>46173</v>
      </c>
      <c r="AK299" s="5">
        <v>0.25</v>
      </c>
      <c r="AL299" s="1" t="s">
        <v>215</v>
      </c>
      <c r="AM299" s="1"/>
    </row>
    <row r="300" spans="1:39" x14ac:dyDescent="0.3">
      <c r="A300" s="1">
        <v>548381</v>
      </c>
      <c r="B300" s="1">
        <v>435193</v>
      </c>
      <c r="C300" s="1" t="s">
        <v>1189</v>
      </c>
      <c r="D300" s="38" t="s">
        <v>1817</v>
      </c>
      <c r="E300" s="4">
        <v>20967</v>
      </c>
      <c r="F300" s="1">
        <v>68</v>
      </c>
      <c r="G300" s="1" t="s">
        <v>212</v>
      </c>
      <c r="H300" s="1" t="s">
        <v>1501</v>
      </c>
      <c r="I300" s="1" t="s">
        <v>1501</v>
      </c>
      <c r="J300" s="1">
        <v>8530</v>
      </c>
      <c r="K300" s="1" t="s">
        <v>83</v>
      </c>
      <c r="L300" s="1" t="s">
        <v>19</v>
      </c>
      <c r="M300" s="1" t="s">
        <v>13</v>
      </c>
      <c r="N300" s="1" t="s">
        <v>5</v>
      </c>
      <c r="O300" s="1" t="s">
        <v>216</v>
      </c>
      <c r="P300" s="1" t="s">
        <v>53</v>
      </c>
      <c r="Q300" s="1" t="s">
        <v>19</v>
      </c>
      <c r="R300" s="1" t="s">
        <v>8</v>
      </c>
      <c r="S300" s="1" t="s">
        <v>15</v>
      </c>
      <c r="T300" s="1" t="s">
        <v>53</v>
      </c>
      <c r="U300" s="1" t="s">
        <v>8</v>
      </c>
      <c r="V300" s="1" t="str">
        <f>IF(pilgrims[[#This Row],[packages.second_hotel_name]]="",pilgrims[[#This Row],[packages.first_hotel_name]],pilgrims[[#This Row],[packages.second_hotel_name]])</f>
        <v>Swissotel Al Maqam Makkah</v>
      </c>
      <c r="W300" s="1" t="str">
        <f>IF(pilgrims[[#This Row],[packages.second_hotel_name]]="",pilgrims[[#This Row],[packages.first_hotel_check_in]],pilgrims[[#This Row],[packages.second_hotel_check_in]])</f>
        <v>2026-05-21</v>
      </c>
      <c r="X300" s="1" t="str">
        <f>IF(pilgrims[[#This Row],[packages.second_hotel_name]]="",pilgrims[[#This Row],[packages.first_hotel_check_out]],pilgrims[[#This Row],[packages.second_hotel_check_out]])</f>
        <v>2026-05-25</v>
      </c>
      <c r="Y300" s="1" t="s">
        <v>16</v>
      </c>
      <c r="Z300" s="1" t="s">
        <v>214</v>
      </c>
      <c r="AA300" s="1" t="s">
        <v>1193</v>
      </c>
      <c r="AB300" s="1" t="s">
        <v>1193</v>
      </c>
      <c r="AC300" s="1" t="s">
        <v>212</v>
      </c>
      <c r="AD300" s="1" t="s">
        <v>134</v>
      </c>
      <c r="AE300" s="1" t="s">
        <v>1281</v>
      </c>
      <c r="AF300" s="4">
        <v>46160</v>
      </c>
      <c r="AG300" s="5">
        <v>0.73958333333333337</v>
      </c>
      <c r="AH300" s="1" t="s">
        <v>63</v>
      </c>
      <c r="AI300" s="1" t="s">
        <v>1280</v>
      </c>
      <c r="AJ300" s="4">
        <v>46172</v>
      </c>
      <c r="AK300" s="5">
        <v>0.35069444444444442</v>
      </c>
      <c r="AL300" s="1" t="s">
        <v>215</v>
      </c>
      <c r="AM300" s="1"/>
    </row>
    <row r="301" spans="1:39" x14ac:dyDescent="0.3">
      <c r="A301" s="1">
        <v>491050</v>
      </c>
      <c r="B301" s="1">
        <v>386362</v>
      </c>
      <c r="C301" s="1" t="s">
        <v>1188</v>
      </c>
      <c r="D301" s="38" t="s">
        <v>1818</v>
      </c>
      <c r="E301" s="4">
        <v>27608</v>
      </c>
      <c r="F301" s="1">
        <v>50</v>
      </c>
      <c r="G301" s="1" t="s">
        <v>212</v>
      </c>
      <c r="H301" s="1" t="s">
        <v>1501</v>
      </c>
      <c r="I301" s="1" t="s">
        <v>1501</v>
      </c>
      <c r="J301" s="1">
        <v>8530</v>
      </c>
      <c r="K301" s="1" t="s">
        <v>83</v>
      </c>
      <c r="L301" s="1" t="s">
        <v>19</v>
      </c>
      <c r="M301" s="1" t="s">
        <v>13</v>
      </c>
      <c r="N301" s="1" t="s">
        <v>5</v>
      </c>
      <c r="O301" s="1" t="s">
        <v>216</v>
      </c>
      <c r="P301" s="1" t="s">
        <v>53</v>
      </c>
      <c r="Q301" s="1" t="s">
        <v>19</v>
      </c>
      <c r="R301" s="1" t="s">
        <v>8</v>
      </c>
      <c r="S301" s="1" t="s">
        <v>15</v>
      </c>
      <c r="T301" s="1" t="s">
        <v>53</v>
      </c>
      <c r="U301" s="1" t="s">
        <v>8</v>
      </c>
      <c r="V301" s="1" t="str">
        <f>IF(pilgrims[[#This Row],[packages.second_hotel_name]]="",pilgrims[[#This Row],[packages.first_hotel_name]],pilgrims[[#This Row],[packages.second_hotel_name]])</f>
        <v>Swissotel Al Maqam Makkah</v>
      </c>
      <c r="W301" s="1" t="str">
        <f>IF(pilgrims[[#This Row],[packages.second_hotel_name]]="",pilgrims[[#This Row],[packages.first_hotel_check_in]],pilgrims[[#This Row],[packages.second_hotel_check_in]])</f>
        <v>2026-05-21</v>
      </c>
      <c r="X301" s="1" t="str">
        <f>IF(pilgrims[[#This Row],[packages.second_hotel_name]]="",pilgrims[[#This Row],[packages.first_hotel_check_out]],pilgrims[[#This Row],[packages.second_hotel_check_out]])</f>
        <v>2026-05-25</v>
      </c>
      <c r="Y301" s="1" t="s">
        <v>16</v>
      </c>
      <c r="Z301" s="1" t="s">
        <v>214</v>
      </c>
      <c r="AA301" s="1" t="s">
        <v>1193</v>
      </c>
      <c r="AB301" s="1" t="s">
        <v>1193</v>
      </c>
      <c r="AC301" s="1" t="s">
        <v>212</v>
      </c>
      <c r="AD301" s="1" t="s">
        <v>134</v>
      </c>
      <c r="AE301" s="1" t="s">
        <v>1281</v>
      </c>
      <c r="AF301" s="4">
        <v>46160</v>
      </c>
      <c r="AG301" s="5">
        <v>0.73958333333333337</v>
      </c>
      <c r="AH301" s="1" t="s">
        <v>63</v>
      </c>
      <c r="AI301" s="1" t="s">
        <v>1280</v>
      </c>
      <c r="AJ301" s="4">
        <v>46172</v>
      </c>
      <c r="AK301" s="5">
        <v>0.35069444444444442</v>
      </c>
      <c r="AL301" s="1" t="s">
        <v>215</v>
      </c>
      <c r="AM301" s="1"/>
    </row>
    <row r="302" spans="1:39" x14ac:dyDescent="0.3">
      <c r="A302" s="1">
        <v>503805</v>
      </c>
      <c r="B302" s="1">
        <v>386362</v>
      </c>
      <c r="C302" s="1" t="s">
        <v>1189</v>
      </c>
      <c r="D302" s="38" t="s">
        <v>1819</v>
      </c>
      <c r="E302" s="4">
        <v>28220</v>
      </c>
      <c r="F302" s="1">
        <v>48</v>
      </c>
      <c r="G302" s="1" t="s">
        <v>212</v>
      </c>
      <c r="H302" s="1" t="s">
        <v>1501</v>
      </c>
      <c r="I302" s="1" t="s">
        <v>1501</v>
      </c>
      <c r="J302" s="1">
        <v>8530</v>
      </c>
      <c r="K302" s="1" t="s">
        <v>83</v>
      </c>
      <c r="L302" s="1" t="s">
        <v>19</v>
      </c>
      <c r="M302" s="1" t="s">
        <v>13</v>
      </c>
      <c r="N302" s="1" t="s">
        <v>5</v>
      </c>
      <c r="O302" s="1" t="s">
        <v>216</v>
      </c>
      <c r="P302" s="1" t="s">
        <v>53</v>
      </c>
      <c r="Q302" s="1" t="s">
        <v>19</v>
      </c>
      <c r="R302" s="1" t="s">
        <v>8</v>
      </c>
      <c r="S302" s="1" t="s">
        <v>15</v>
      </c>
      <c r="T302" s="1" t="s">
        <v>53</v>
      </c>
      <c r="U302" s="1" t="s">
        <v>8</v>
      </c>
      <c r="V302" s="1" t="str">
        <f>IF(pilgrims[[#This Row],[packages.second_hotel_name]]="",pilgrims[[#This Row],[packages.first_hotel_name]],pilgrims[[#This Row],[packages.second_hotel_name]])</f>
        <v>Swissotel Al Maqam Makkah</v>
      </c>
      <c r="W302" s="1" t="str">
        <f>IF(pilgrims[[#This Row],[packages.second_hotel_name]]="",pilgrims[[#This Row],[packages.first_hotel_check_in]],pilgrims[[#This Row],[packages.second_hotel_check_in]])</f>
        <v>2026-05-21</v>
      </c>
      <c r="X302" s="1" t="str">
        <f>IF(pilgrims[[#This Row],[packages.second_hotel_name]]="",pilgrims[[#This Row],[packages.first_hotel_check_out]],pilgrims[[#This Row],[packages.second_hotel_check_out]])</f>
        <v>2026-05-25</v>
      </c>
      <c r="Y302" s="1" t="s">
        <v>16</v>
      </c>
      <c r="Z302" s="1" t="s">
        <v>214</v>
      </c>
      <c r="AA302" s="1" t="s">
        <v>1193</v>
      </c>
      <c r="AB302" s="1" t="s">
        <v>1193</v>
      </c>
      <c r="AC302" s="1" t="s">
        <v>212</v>
      </c>
      <c r="AD302" s="1" t="s">
        <v>134</v>
      </c>
      <c r="AE302" s="1" t="s">
        <v>1281</v>
      </c>
      <c r="AF302" s="4">
        <v>46160</v>
      </c>
      <c r="AG302" s="5">
        <v>0.73958333333333337</v>
      </c>
      <c r="AH302" s="1" t="s">
        <v>63</v>
      </c>
      <c r="AI302" s="1" t="s">
        <v>1280</v>
      </c>
      <c r="AJ302" s="4">
        <v>46172</v>
      </c>
      <c r="AK302" s="5">
        <v>0.35069444444444442</v>
      </c>
      <c r="AL302" s="1" t="s">
        <v>215</v>
      </c>
      <c r="AM302" s="1"/>
    </row>
    <row r="303" spans="1:39" x14ac:dyDescent="0.3">
      <c r="A303" s="1">
        <v>554093</v>
      </c>
      <c r="B303" s="1">
        <v>497236</v>
      </c>
      <c r="C303" s="1" t="s">
        <v>1189</v>
      </c>
      <c r="D303" s="38" t="s">
        <v>1820</v>
      </c>
      <c r="E303" s="4">
        <v>25728</v>
      </c>
      <c r="F303" s="1">
        <v>55</v>
      </c>
      <c r="G303" s="1" t="s">
        <v>212</v>
      </c>
      <c r="H303" s="1" t="s">
        <v>1501</v>
      </c>
      <c r="I303" s="1" t="s">
        <v>1501</v>
      </c>
      <c r="J303" s="1">
        <v>8528</v>
      </c>
      <c r="K303" s="1" t="s">
        <v>81</v>
      </c>
      <c r="L303" s="1" t="s">
        <v>19</v>
      </c>
      <c r="M303" s="1" t="s">
        <v>6</v>
      </c>
      <c r="N303" s="1" t="s">
        <v>10</v>
      </c>
      <c r="O303" s="1" t="s">
        <v>216</v>
      </c>
      <c r="P303" s="1" t="s">
        <v>52</v>
      </c>
      <c r="Q303" s="1" t="s">
        <v>19</v>
      </c>
      <c r="R303" s="1" t="s">
        <v>8</v>
      </c>
      <c r="S303" s="1" t="s">
        <v>12</v>
      </c>
      <c r="T303" s="1" t="s">
        <v>53</v>
      </c>
      <c r="U303" s="1" t="s">
        <v>8</v>
      </c>
      <c r="V303" s="1" t="str">
        <f>IF(pilgrims[[#This Row],[packages.second_hotel_name]]="",pilgrims[[#This Row],[packages.first_hotel_name]],pilgrims[[#This Row],[packages.second_hotel_name]])</f>
        <v>Makkah Clock Royal Tower A Fairmont Hotel</v>
      </c>
      <c r="W303" s="1" t="str">
        <f>IF(pilgrims[[#This Row],[packages.second_hotel_name]]="",pilgrims[[#This Row],[packages.first_hotel_check_in]],pilgrims[[#This Row],[packages.second_hotel_check_in]])</f>
        <v>2026-05-21</v>
      </c>
      <c r="X303" s="1" t="str">
        <f>IF(pilgrims[[#This Row],[packages.second_hotel_name]]="",pilgrims[[#This Row],[packages.first_hotel_check_out]],pilgrims[[#This Row],[packages.second_hotel_check_out]])</f>
        <v>2026-05-25</v>
      </c>
      <c r="Y303" s="1" t="s">
        <v>16</v>
      </c>
      <c r="Z303" s="1" t="s">
        <v>214</v>
      </c>
      <c r="AA303" s="1" t="s">
        <v>1203</v>
      </c>
      <c r="AB303" s="1" t="s">
        <v>1203</v>
      </c>
      <c r="AC303" s="1" t="s">
        <v>212</v>
      </c>
      <c r="AD303" s="1" t="s">
        <v>136</v>
      </c>
      <c r="AE303" s="1" t="s">
        <v>1281</v>
      </c>
      <c r="AF303" s="4">
        <v>46160</v>
      </c>
      <c r="AG303" s="5">
        <v>0.1076388888888889</v>
      </c>
      <c r="AH303" s="1" t="s">
        <v>71</v>
      </c>
      <c r="AI303" s="1" t="s">
        <v>1280</v>
      </c>
      <c r="AJ303" s="4">
        <v>46172</v>
      </c>
      <c r="AK303" s="5">
        <v>0.40972222222222221</v>
      </c>
      <c r="AL303" s="1" t="s">
        <v>215</v>
      </c>
      <c r="AM303" s="1"/>
    </row>
    <row r="304" spans="1:39" x14ac:dyDescent="0.3">
      <c r="A304" s="1">
        <v>125991</v>
      </c>
      <c r="B304" s="1">
        <v>96906</v>
      </c>
      <c r="C304" s="1" t="s">
        <v>1188</v>
      </c>
      <c r="D304" s="38" t="s">
        <v>1821</v>
      </c>
      <c r="E304" s="4">
        <v>27616</v>
      </c>
      <c r="F304" s="1">
        <v>50</v>
      </c>
      <c r="G304" s="1" t="s">
        <v>212</v>
      </c>
      <c r="H304" s="1" t="s">
        <v>1502</v>
      </c>
      <c r="I304" s="1" t="s">
        <v>1502</v>
      </c>
      <c r="J304" s="1">
        <v>8728</v>
      </c>
      <c r="K304" s="1" t="s">
        <v>97</v>
      </c>
      <c r="L304" s="1" t="s">
        <v>8</v>
      </c>
      <c r="M304" s="1" t="s">
        <v>4</v>
      </c>
      <c r="N304" s="1" t="s">
        <v>12</v>
      </c>
      <c r="O304" s="1" t="s">
        <v>216</v>
      </c>
      <c r="P304" s="1" t="s">
        <v>53</v>
      </c>
      <c r="Q304" s="1" t="s">
        <v>8</v>
      </c>
      <c r="R304" s="1" t="s">
        <v>16</v>
      </c>
      <c r="S304" s="1" t="s">
        <v>28</v>
      </c>
      <c r="T304" s="1" t="s">
        <v>52</v>
      </c>
      <c r="U304" s="1" t="s">
        <v>6</v>
      </c>
      <c r="V304" s="1" t="str">
        <f>IF(pilgrims[[#This Row],[packages.second_hotel_name]]="",pilgrims[[#This Row],[packages.first_hotel_name]],pilgrims[[#This Row],[packages.second_hotel_name]])</f>
        <v>Madinah Hilton Hotel</v>
      </c>
      <c r="W304" s="1" t="str">
        <f>IF(pilgrims[[#This Row],[packages.second_hotel_name]]="",pilgrims[[#This Row],[packages.first_hotel_check_in]],pilgrims[[#This Row],[packages.second_hotel_check_in]])</f>
        <v>2026-05-30</v>
      </c>
      <c r="X304" s="1" t="str">
        <f>IF(pilgrims[[#This Row],[packages.second_hotel_name]]="",pilgrims[[#This Row],[packages.first_hotel_check_out]],pilgrims[[#This Row],[packages.second_hotel_check_out]])</f>
        <v>2026-06-02</v>
      </c>
      <c r="Y304" s="1" t="s">
        <v>4</v>
      </c>
      <c r="Z304" s="1" t="s">
        <v>261</v>
      </c>
      <c r="AA304" s="1" t="s">
        <v>699</v>
      </c>
      <c r="AB304" s="1" t="s">
        <v>1408</v>
      </c>
      <c r="AC304" s="1" t="s">
        <v>700</v>
      </c>
      <c r="AD304" s="1" t="s">
        <v>1400</v>
      </c>
      <c r="AE304" s="1" t="s">
        <v>1280</v>
      </c>
      <c r="AF304" s="4">
        <v>46163</v>
      </c>
      <c r="AG304" s="5">
        <v>0.95486111111111116</v>
      </c>
      <c r="AH304" s="1" t="s">
        <v>1359</v>
      </c>
      <c r="AI304" s="1" t="s">
        <v>1280</v>
      </c>
      <c r="AJ304" s="4">
        <v>46175</v>
      </c>
      <c r="AK304" s="5">
        <v>0.41666666666666669</v>
      </c>
      <c r="AL304" s="1" t="s">
        <v>215</v>
      </c>
      <c r="AM304" s="1" t="b">
        <v>1</v>
      </c>
    </row>
    <row r="305" spans="1:39" x14ac:dyDescent="0.3">
      <c r="A305" s="1">
        <v>616092</v>
      </c>
      <c r="B305" s="1">
        <v>497236</v>
      </c>
      <c r="C305" s="1" t="s">
        <v>1188</v>
      </c>
      <c r="D305" s="38" t="s">
        <v>1822</v>
      </c>
      <c r="E305" s="4">
        <v>25594</v>
      </c>
      <c r="F305" s="1">
        <v>56</v>
      </c>
      <c r="G305" s="1" t="s">
        <v>212</v>
      </c>
      <c r="H305" s="1" t="s">
        <v>1501</v>
      </c>
      <c r="I305" s="1" t="s">
        <v>1501</v>
      </c>
      <c r="J305" s="1">
        <v>8528</v>
      </c>
      <c r="K305" s="1" t="s">
        <v>81</v>
      </c>
      <c r="L305" s="1" t="s">
        <v>19</v>
      </c>
      <c r="M305" s="1" t="s">
        <v>6</v>
      </c>
      <c r="N305" s="1" t="s">
        <v>10</v>
      </c>
      <c r="O305" s="1" t="s">
        <v>216</v>
      </c>
      <c r="P305" s="1" t="s">
        <v>52</v>
      </c>
      <c r="Q305" s="1" t="s">
        <v>19</v>
      </c>
      <c r="R305" s="1" t="s">
        <v>8</v>
      </c>
      <c r="S305" s="1" t="s">
        <v>12</v>
      </c>
      <c r="T305" s="1" t="s">
        <v>53</v>
      </c>
      <c r="U305" s="1" t="s">
        <v>8</v>
      </c>
      <c r="V305" s="1" t="str">
        <f>IF(pilgrims[[#This Row],[packages.second_hotel_name]]="",pilgrims[[#This Row],[packages.first_hotel_name]],pilgrims[[#This Row],[packages.second_hotel_name]])</f>
        <v>Makkah Clock Royal Tower A Fairmont Hotel</v>
      </c>
      <c r="W305" s="1" t="str">
        <f>IF(pilgrims[[#This Row],[packages.second_hotel_name]]="",pilgrims[[#This Row],[packages.first_hotel_check_in]],pilgrims[[#This Row],[packages.second_hotel_check_in]])</f>
        <v>2026-05-21</v>
      </c>
      <c r="X305" s="1" t="str">
        <f>IF(pilgrims[[#This Row],[packages.second_hotel_name]]="",pilgrims[[#This Row],[packages.first_hotel_check_out]],pilgrims[[#This Row],[packages.second_hotel_check_out]])</f>
        <v>2026-05-25</v>
      </c>
      <c r="Y305" s="1" t="s">
        <v>16</v>
      </c>
      <c r="Z305" s="1" t="s">
        <v>214</v>
      </c>
      <c r="AA305" s="1" t="s">
        <v>1203</v>
      </c>
      <c r="AB305" s="1" t="s">
        <v>1203</v>
      </c>
      <c r="AC305" s="1" t="s">
        <v>212</v>
      </c>
      <c r="AD305" s="1" t="s">
        <v>136</v>
      </c>
      <c r="AE305" s="1" t="s">
        <v>1281</v>
      </c>
      <c r="AF305" s="4">
        <v>46160</v>
      </c>
      <c r="AG305" s="5">
        <v>0.1076388888888889</v>
      </c>
      <c r="AH305" s="1" t="s">
        <v>71</v>
      </c>
      <c r="AI305" s="1" t="s">
        <v>1280</v>
      </c>
      <c r="AJ305" s="4">
        <v>46172</v>
      </c>
      <c r="AK305" s="5">
        <v>0.40972222222222221</v>
      </c>
      <c r="AL305" s="1" t="s">
        <v>215</v>
      </c>
      <c r="AM305" s="1"/>
    </row>
    <row r="306" spans="1:39" x14ac:dyDescent="0.3">
      <c r="A306" s="1">
        <v>727955</v>
      </c>
      <c r="B306" s="1">
        <v>589733</v>
      </c>
      <c r="C306" s="1" t="s">
        <v>1188</v>
      </c>
      <c r="D306" s="38" t="s">
        <v>1823</v>
      </c>
      <c r="E306" s="4">
        <v>29042</v>
      </c>
      <c r="F306" s="1">
        <v>46</v>
      </c>
      <c r="G306" s="1" t="s">
        <v>212</v>
      </c>
      <c r="H306" s="1" t="s">
        <v>1501</v>
      </c>
      <c r="I306" s="1" t="s">
        <v>1501</v>
      </c>
      <c r="J306" s="1">
        <v>8525</v>
      </c>
      <c r="K306" s="1" t="s">
        <v>77</v>
      </c>
      <c r="L306" s="1" t="s">
        <v>19</v>
      </c>
      <c r="M306" s="1" t="s">
        <v>13</v>
      </c>
      <c r="N306" s="1" t="s">
        <v>10</v>
      </c>
      <c r="O306" s="1" t="s">
        <v>216</v>
      </c>
      <c r="P306" s="1" t="s">
        <v>52</v>
      </c>
      <c r="Q306" s="1" t="s">
        <v>19</v>
      </c>
      <c r="R306" s="1" t="s">
        <v>8</v>
      </c>
      <c r="S306" s="1" t="s">
        <v>12</v>
      </c>
      <c r="T306" s="1" t="s">
        <v>53</v>
      </c>
      <c r="U306" s="1" t="s">
        <v>8</v>
      </c>
      <c r="V306" s="1" t="str">
        <f>IF(pilgrims[[#This Row],[packages.second_hotel_name]]="",pilgrims[[#This Row],[packages.first_hotel_name]],pilgrims[[#This Row],[packages.second_hotel_name]])</f>
        <v>Makkah Clock Royal Tower A Fairmont Hotel</v>
      </c>
      <c r="W306" s="1" t="str">
        <f>IF(pilgrims[[#This Row],[packages.second_hotel_name]]="",pilgrims[[#This Row],[packages.first_hotel_check_in]],pilgrims[[#This Row],[packages.second_hotel_check_in]])</f>
        <v>2026-05-21</v>
      </c>
      <c r="X306" s="1" t="str">
        <f>IF(pilgrims[[#This Row],[packages.second_hotel_name]]="",pilgrims[[#This Row],[packages.first_hotel_check_out]],pilgrims[[#This Row],[packages.second_hotel_check_out]])</f>
        <v>2026-05-24</v>
      </c>
      <c r="Y306" s="1" t="s">
        <v>11</v>
      </c>
      <c r="Z306" s="1" t="s">
        <v>214</v>
      </c>
      <c r="AA306" s="1" t="s">
        <v>1202</v>
      </c>
      <c r="AB306" s="1" t="s">
        <v>1202</v>
      </c>
      <c r="AC306" s="1" t="s">
        <v>212</v>
      </c>
      <c r="AD306" s="1" t="s">
        <v>136</v>
      </c>
      <c r="AE306" s="1" t="s">
        <v>1281</v>
      </c>
      <c r="AF306" s="4">
        <v>46160</v>
      </c>
      <c r="AG306" s="5">
        <v>0.1076388888888889</v>
      </c>
      <c r="AH306" s="1" t="s">
        <v>71</v>
      </c>
      <c r="AI306" s="1" t="s">
        <v>1280</v>
      </c>
      <c r="AJ306" s="4">
        <v>46172</v>
      </c>
      <c r="AK306" s="5">
        <v>0.40972222222222221</v>
      </c>
      <c r="AL306" s="1" t="s">
        <v>215</v>
      </c>
      <c r="AM306" s="1"/>
    </row>
    <row r="307" spans="1:39" x14ac:dyDescent="0.3">
      <c r="A307" s="1">
        <v>727973</v>
      </c>
      <c r="B307" s="1">
        <v>589733</v>
      </c>
      <c r="C307" s="1" t="s">
        <v>1189</v>
      </c>
      <c r="D307" s="38" t="s">
        <v>1824</v>
      </c>
      <c r="E307" s="4">
        <v>29949</v>
      </c>
      <c r="F307" s="1">
        <v>44</v>
      </c>
      <c r="G307" s="1" t="s">
        <v>212</v>
      </c>
      <c r="H307" s="1" t="s">
        <v>1501</v>
      </c>
      <c r="I307" s="1" t="s">
        <v>1501</v>
      </c>
      <c r="J307" s="1">
        <v>8525</v>
      </c>
      <c r="K307" s="1" t="s">
        <v>77</v>
      </c>
      <c r="L307" s="1" t="s">
        <v>19</v>
      </c>
      <c r="M307" s="1" t="s">
        <v>13</v>
      </c>
      <c r="N307" s="1" t="s">
        <v>10</v>
      </c>
      <c r="O307" s="1" t="s">
        <v>216</v>
      </c>
      <c r="P307" s="1" t="s">
        <v>52</v>
      </c>
      <c r="Q307" s="1" t="s">
        <v>19</v>
      </c>
      <c r="R307" s="1" t="s">
        <v>8</v>
      </c>
      <c r="S307" s="1" t="s">
        <v>12</v>
      </c>
      <c r="T307" s="1" t="s">
        <v>53</v>
      </c>
      <c r="U307" s="1" t="s">
        <v>8</v>
      </c>
      <c r="V307" s="1" t="str">
        <f>IF(pilgrims[[#This Row],[packages.second_hotel_name]]="",pilgrims[[#This Row],[packages.first_hotel_name]],pilgrims[[#This Row],[packages.second_hotel_name]])</f>
        <v>Makkah Clock Royal Tower A Fairmont Hotel</v>
      </c>
      <c r="W307" s="1" t="str">
        <f>IF(pilgrims[[#This Row],[packages.second_hotel_name]]="",pilgrims[[#This Row],[packages.first_hotel_check_in]],pilgrims[[#This Row],[packages.second_hotel_check_in]])</f>
        <v>2026-05-21</v>
      </c>
      <c r="X307" s="1" t="str">
        <f>IF(pilgrims[[#This Row],[packages.second_hotel_name]]="",pilgrims[[#This Row],[packages.first_hotel_check_out]],pilgrims[[#This Row],[packages.second_hotel_check_out]])</f>
        <v>2026-05-24</v>
      </c>
      <c r="Y307" s="1" t="s">
        <v>11</v>
      </c>
      <c r="Z307" s="1" t="s">
        <v>214</v>
      </c>
      <c r="AA307" s="1" t="s">
        <v>1202</v>
      </c>
      <c r="AB307" s="1" t="s">
        <v>1202</v>
      </c>
      <c r="AC307" s="1" t="s">
        <v>212</v>
      </c>
      <c r="AD307" s="1" t="s">
        <v>136</v>
      </c>
      <c r="AE307" s="1" t="s">
        <v>1281</v>
      </c>
      <c r="AF307" s="4">
        <v>46160</v>
      </c>
      <c r="AG307" s="5">
        <v>0.1076388888888889</v>
      </c>
      <c r="AH307" s="1" t="s">
        <v>71</v>
      </c>
      <c r="AI307" s="1" t="s">
        <v>1280</v>
      </c>
      <c r="AJ307" s="4">
        <v>46172</v>
      </c>
      <c r="AK307" s="5">
        <v>0.40972222222222221</v>
      </c>
      <c r="AL307" s="1" t="s">
        <v>215</v>
      </c>
      <c r="AM307" s="1"/>
    </row>
    <row r="308" spans="1:39" x14ac:dyDescent="0.3">
      <c r="A308" s="1">
        <v>712908</v>
      </c>
      <c r="B308" s="1">
        <v>578543</v>
      </c>
      <c r="C308" s="1" t="s">
        <v>1188</v>
      </c>
      <c r="D308" s="38" t="s">
        <v>1825</v>
      </c>
      <c r="E308" s="4">
        <v>34074</v>
      </c>
      <c r="F308" s="1">
        <v>32</v>
      </c>
      <c r="G308" s="1" t="s">
        <v>212</v>
      </c>
      <c r="H308" s="1" t="s">
        <v>1501</v>
      </c>
      <c r="I308" s="1" t="s">
        <v>1501</v>
      </c>
      <c r="J308" s="1">
        <v>8530</v>
      </c>
      <c r="K308" s="1" t="s">
        <v>83</v>
      </c>
      <c r="L308" s="1" t="s">
        <v>19</v>
      </c>
      <c r="M308" s="1" t="s">
        <v>13</v>
      </c>
      <c r="N308" s="1" t="s">
        <v>5</v>
      </c>
      <c r="O308" s="1" t="s">
        <v>216</v>
      </c>
      <c r="P308" s="1" t="s">
        <v>53</v>
      </c>
      <c r="Q308" s="1" t="s">
        <v>19</v>
      </c>
      <c r="R308" s="1" t="s">
        <v>8</v>
      </c>
      <c r="S308" s="1" t="s">
        <v>15</v>
      </c>
      <c r="T308" s="1" t="s">
        <v>53</v>
      </c>
      <c r="U308" s="1" t="s">
        <v>8</v>
      </c>
      <c r="V308" s="1" t="str">
        <f>IF(pilgrims[[#This Row],[packages.second_hotel_name]]="",pilgrims[[#This Row],[packages.first_hotel_name]],pilgrims[[#This Row],[packages.second_hotel_name]])</f>
        <v>Swissotel Al Maqam Makkah</v>
      </c>
      <c r="W308" s="1" t="str">
        <f>IF(pilgrims[[#This Row],[packages.second_hotel_name]]="",pilgrims[[#This Row],[packages.first_hotel_check_in]],pilgrims[[#This Row],[packages.second_hotel_check_in]])</f>
        <v>2026-05-21</v>
      </c>
      <c r="X308" s="1" t="str">
        <f>IF(pilgrims[[#This Row],[packages.second_hotel_name]]="",pilgrims[[#This Row],[packages.first_hotel_check_out]],pilgrims[[#This Row],[packages.second_hotel_check_out]])</f>
        <v>2026-05-25</v>
      </c>
      <c r="Y308" s="1" t="s">
        <v>16</v>
      </c>
      <c r="Z308" s="1" t="s">
        <v>214</v>
      </c>
      <c r="AA308" s="1" t="s">
        <v>1193</v>
      </c>
      <c r="AB308" s="1" t="s">
        <v>1193</v>
      </c>
      <c r="AC308" s="1" t="s">
        <v>212</v>
      </c>
      <c r="AD308" s="1" t="s">
        <v>134</v>
      </c>
      <c r="AE308" s="1" t="s">
        <v>1281</v>
      </c>
      <c r="AF308" s="4">
        <v>46160</v>
      </c>
      <c r="AG308" s="5">
        <v>0.73958333333333337</v>
      </c>
      <c r="AH308" s="1" t="s">
        <v>63</v>
      </c>
      <c r="AI308" s="1" t="s">
        <v>1280</v>
      </c>
      <c r="AJ308" s="4">
        <v>46172</v>
      </c>
      <c r="AK308" s="5">
        <v>0.35069444444444442</v>
      </c>
      <c r="AL308" s="1" t="s">
        <v>215</v>
      </c>
      <c r="AM308" s="1"/>
    </row>
    <row r="309" spans="1:39" x14ac:dyDescent="0.3">
      <c r="A309" s="1">
        <v>707618</v>
      </c>
      <c r="B309" s="1">
        <v>574542</v>
      </c>
      <c r="C309" s="1" t="s">
        <v>1188</v>
      </c>
      <c r="D309" s="38" t="s">
        <v>1826</v>
      </c>
      <c r="E309" s="4">
        <v>21971</v>
      </c>
      <c r="F309" s="1">
        <v>66</v>
      </c>
      <c r="G309" s="1" t="s">
        <v>212</v>
      </c>
      <c r="H309" s="1" t="s">
        <v>1501</v>
      </c>
      <c r="I309" s="1" t="s">
        <v>1501</v>
      </c>
      <c r="J309" s="1">
        <v>8540</v>
      </c>
      <c r="K309" s="1" t="s">
        <v>78</v>
      </c>
      <c r="L309" s="1" t="s">
        <v>8</v>
      </c>
      <c r="M309" s="1" t="s">
        <v>13</v>
      </c>
      <c r="N309" s="1" t="s">
        <v>5</v>
      </c>
      <c r="O309" s="1" t="s">
        <v>216</v>
      </c>
      <c r="P309" s="1" t="s">
        <v>53</v>
      </c>
      <c r="Q309" s="1" t="s">
        <v>8</v>
      </c>
      <c r="R309" s="1" t="s">
        <v>11</v>
      </c>
      <c r="S309" s="1"/>
      <c r="T309" s="1"/>
      <c r="U309" s="1"/>
      <c r="V309" s="1" t="str">
        <f>IF(pilgrims[[#This Row],[packages.second_hotel_name]]="",pilgrims[[#This Row],[packages.first_hotel_name]],pilgrims[[#This Row],[packages.second_hotel_name]])</f>
        <v>Movenpick Anwar Almadinah Hotel</v>
      </c>
      <c r="W309" s="1" t="str">
        <f>IF(pilgrims[[#This Row],[packages.second_hotel_name]]="",pilgrims[[#This Row],[packages.first_hotel_check_in]],pilgrims[[#This Row],[packages.second_hotel_check_in]])</f>
        <v>2026-05-21</v>
      </c>
      <c r="X309" s="1" t="str">
        <f>IF(pilgrims[[#This Row],[packages.second_hotel_name]]="",pilgrims[[#This Row],[packages.first_hotel_check_out]],pilgrims[[#This Row],[packages.second_hotel_check_out]])</f>
        <v>2026-05-24</v>
      </c>
      <c r="Y309" s="1"/>
      <c r="Z309" s="1" t="s">
        <v>261</v>
      </c>
      <c r="AA309" s="1" t="s">
        <v>707</v>
      </c>
      <c r="AB309" s="1" t="s">
        <v>1391</v>
      </c>
      <c r="AC309" s="1" t="s">
        <v>708</v>
      </c>
      <c r="AD309" s="1" t="s">
        <v>1392</v>
      </c>
      <c r="AE309" s="1" t="s">
        <v>1280</v>
      </c>
      <c r="AF309" s="4">
        <v>46165</v>
      </c>
      <c r="AG309" s="5">
        <v>3.8194444444444448E-2</v>
      </c>
      <c r="AH309" s="1" t="s">
        <v>1292</v>
      </c>
      <c r="AI309" s="1" t="s">
        <v>1280</v>
      </c>
      <c r="AJ309" s="4">
        <v>46173</v>
      </c>
      <c r="AK309" s="5">
        <v>2.7777777777777776E-2</v>
      </c>
      <c r="AL309" s="1" t="s">
        <v>215</v>
      </c>
      <c r="AM309" s="1"/>
    </row>
    <row r="310" spans="1:39" x14ac:dyDescent="0.3">
      <c r="A310" s="1">
        <v>712926</v>
      </c>
      <c r="B310" s="1">
        <v>578543</v>
      </c>
      <c r="C310" s="1" t="s">
        <v>1188</v>
      </c>
      <c r="D310" s="38" t="s">
        <v>1827</v>
      </c>
      <c r="E310" s="4">
        <v>20082</v>
      </c>
      <c r="F310" s="1">
        <v>71</v>
      </c>
      <c r="G310" s="1" t="s">
        <v>212</v>
      </c>
      <c r="H310" s="1" t="s">
        <v>1501</v>
      </c>
      <c r="I310" s="1" t="s">
        <v>1501</v>
      </c>
      <c r="J310" s="1">
        <v>8530</v>
      </c>
      <c r="K310" s="1" t="s">
        <v>83</v>
      </c>
      <c r="L310" s="1" t="s">
        <v>19</v>
      </c>
      <c r="M310" s="1" t="s">
        <v>13</v>
      </c>
      <c r="N310" s="1" t="s">
        <v>5</v>
      </c>
      <c r="O310" s="1" t="s">
        <v>216</v>
      </c>
      <c r="P310" s="1" t="s">
        <v>53</v>
      </c>
      <c r="Q310" s="1" t="s">
        <v>19</v>
      </c>
      <c r="R310" s="1" t="s">
        <v>8</v>
      </c>
      <c r="S310" s="1" t="s">
        <v>15</v>
      </c>
      <c r="T310" s="1" t="s">
        <v>53</v>
      </c>
      <c r="U310" s="1" t="s">
        <v>8</v>
      </c>
      <c r="V310" s="1" t="str">
        <f>IF(pilgrims[[#This Row],[packages.second_hotel_name]]="",pilgrims[[#This Row],[packages.first_hotel_name]],pilgrims[[#This Row],[packages.second_hotel_name]])</f>
        <v>Swissotel Al Maqam Makkah</v>
      </c>
      <c r="W310" s="1" t="str">
        <f>IF(pilgrims[[#This Row],[packages.second_hotel_name]]="",pilgrims[[#This Row],[packages.first_hotel_check_in]],pilgrims[[#This Row],[packages.second_hotel_check_in]])</f>
        <v>2026-05-21</v>
      </c>
      <c r="X310" s="1" t="str">
        <f>IF(pilgrims[[#This Row],[packages.second_hotel_name]]="",pilgrims[[#This Row],[packages.first_hotel_check_out]],pilgrims[[#This Row],[packages.second_hotel_check_out]])</f>
        <v>2026-05-25</v>
      </c>
      <c r="Y310" s="1" t="s">
        <v>16</v>
      </c>
      <c r="Z310" s="1" t="s">
        <v>214</v>
      </c>
      <c r="AA310" s="1" t="s">
        <v>1193</v>
      </c>
      <c r="AB310" s="1" t="s">
        <v>1193</v>
      </c>
      <c r="AC310" s="1" t="s">
        <v>212</v>
      </c>
      <c r="AD310" s="1" t="s">
        <v>134</v>
      </c>
      <c r="AE310" s="1" t="s">
        <v>1281</v>
      </c>
      <c r="AF310" s="4">
        <v>46160</v>
      </c>
      <c r="AG310" s="5">
        <v>0.73958333333333337</v>
      </c>
      <c r="AH310" s="1" t="s">
        <v>63</v>
      </c>
      <c r="AI310" s="1" t="s">
        <v>1280</v>
      </c>
      <c r="AJ310" s="4">
        <v>46172</v>
      </c>
      <c r="AK310" s="5">
        <v>0.35069444444444442</v>
      </c>
      <c r="AL310" s="1" t="s">
        <v>215</v>
      </c>
      <c r="AM310" s="1"/>
    </row>
    <row r="311" spans="1:39" x14ac:dyDescent="0.3">
      <c r="A311" s="1">
        <v>707681</v>
      </c>
      <c r="B311" s="1">
        <v>574542</v>
      </c>
      <c r="C311" s="1" t="s">
        <v>1189</v>
      </c>
      <c r="D311" s="38" t="s">
        <v>1828</v>
      </c>
      <c r="E311" s="4">
        <v>22038</v>
      </c>
      <c r="F311" s="1">
        <v>65</v>
      </c>
      <c r="G311" s="1" t="s">
        <v>212</v>
      </c>
      <c r="H311" s="1" t="s">
        <v>1501</v>
      </c>
      <c r="I311" s="1" t="s">
        <v>1501</v>
      </c>
      <c r="J311" s="1">
        <v>8540</v>
      </c>
      <c r="K311" s="1" t="s">
        <v>78</v>
      </c>
      <c r="L311" s="1" t="s">
        <v>8</v>
      </c>
      <c r="M311" s="1" t="s">
        <v>13</v>
      </c>
      <c r="N311" s="1" t="s">
        <v>5</v>
      </c>
      <c r="O311" s="1" t="s">
        <v>216</v>
      </c>
      <c r="P311" s="1" t="s">
        <v>53</v>
      </c>
      <c r="Q311" s="1" t="s">
        <v>8</v>
      </c>
      <c r="R311" s="1" t="s">
        <v>11</v>
      </c>
      <c r="S311" s="1"/>
      <c r="T311" s="1"/>
      <c r="U311" s="1"/>
      <c r="V311" s="1" t="str">
        <f>IF(pilgrims[[#This Row],[packages.second_hotel_name]]="",pilgrims[[#This Row],[packages.first_hotel_name]],pilgrims[[#This Row],[packages.second_hotel_name]])</f>
        <v>Movenpick Anwar Almadinah Hotel</v>
      </c>
      <c r="W311" s="1" t="str">
        <f>IF(pilgrims[[#This Row],[packages.second_hotel_name]]="",pilgrims[[#This Row],[packages.first_hotel_check_in]],pilgrims[[#This Row],[packages.second_hotel_check_in]])</f>
        <v>2026-05-21</v>
      </c>
      <c r="X311" s="1" t="str">
        <f>IF(pilgrims[[#This Row],[packages.second_hotel_name]]="",pilgrims[[#This Row],[packages.first_hotel_check_out]],pilgrims[[#This Row],[packages.second_hotel_check_out]])</f>
        <v>2026-05-24</v>
      </c>
      <c r="Y311" s="1"/>
      <c r="Z311" s="1" t="s">
        <v>261</v>
      </c>
      <c r="AA311" s="1" t="s">
        <v>707</v>
      </c>
      <c r="AB311" s="1" t="s">
        <v>1391</v>
      </c>
      <c r="AC311" s="1" t="s">
        <v>708</v>
      </c>
      <c r="AD311" s="1" t="s">
        <v>1392</v>
      </c>
      <c r="AE311" s="1" t="s">
        <v>1280</v>
      </c>
      <c r="AF311" s="4">
        <v>46165</v>
      </c>
      <c r="AG311" s="5">
        <v>3.8194444444444448E-2</v>
      </c>
      <c r="AH311" s="1" t="s">
        <v>1292</v>
      </c>
      <c r="AI311" s="1" t="s">
        <v>1280</v>
      </c>
      <c r="AJ311" s="4">
        <v>46173</v>
      </c>
      <c r="AK311" s="5">
        <v>2.7777777777777776E-2</v>
      </c>
      <c r="AL311" s="1" t="s">
        <v>215</v>
      </c>
      <c r="AM311" s="1"/>
    </row>
    <row r="312" spans="1:39" x14ac:dyDescent="0.3">
      <c r="A312" s="1">
        <v>720701</v>
      </c>
      <c r="B312" s="1">
        <v>578543</v>
      </c>
      <c r="C312" s="1" t="s">
        <v>1189</v>
      </c>
      <c r="D312" s="38" t="s">
        <v>1829</v>
      </c>
      <c r="E312" s="4">
        <v>20809</v>
      </c>
      <c r="F312" s="1">
        <v>69</v>
      </c>
      <c r="G312" s="1" t="s">
        <v>212</v>
      </c>
      <c r="H312" s="1" t="s">
        <v>1501</v>
      </c>
      <c r="I312" s="1" t="s">
        <v>1501</v>
      </c>
      <c r="J312" s="1">
        <v>8530</v>
      </c>
      <c r="K312" s="1" t="s">
        <v>83</v>
      </c>
      <c r="L312" s="1" t="s">
        <v>19</v>
      </c>
      <c r="M312" s="1" t="s">
        <v>13</v>
      </c>
      <c r="N312" s="1" t="s">
        <v>5</v>
      </c>
      <c r="O312" s="1" t="s">
        <v>216</v>
      </c>
      <c r="P312" s="1" t="s">
        <v>53</v>
      </c>
      <c r="Q312" s="1" t="s">
        <v>19</v>
      </c>
      <c r="R312" s="1" t="s">
        <v>8</v>
      </c>
      <c r="S312" s="1" t="s">
        <v>15</v>
      </c>
      <c r="T312" s="1" t="s">
        <v>53</v>
      </c>
      <c r="U312" s="1" t="s">
        <v>8</v>
      </c>
      <c r="V312" s="1" t="str">
        <f>IF(pilgrims[[#This Row],[packages.second_hotel_name]]="",pilgrims[[#This Row],[packages.first_hotel_name]],pilgrims[[#This Row],[packages.second_hotel_name]])</f>
        <v>Swissotel Al Maqam Makkah</v>
      </c>
      <c r="W312" s="1" t="str">
        <f>IF(pilgrims[[#This Row],[packages.second_hotel_name]]="",pilgrims[[#This Row],[packages.first_hotel_check_in]],pilgrims[[#This Row],[packages.second_hotel_check_in]])</f>
        <v>2026-05-21</v>
      </c>
      <c r="X312" s="1" t="str">
        <f>IF(pilgrims[[#This Row],[packages.second_hotel_name]]="",pilgrims[[#This Row],[packages.first_hotel_check_out]],pilgrims[[#This Row],[packages.second_hotel_check_out]])</f>
        <v>2026-05-25</v>
      </c>
      <c r="Y312" s="1" t="s">
        <v>16</v>
      </c>
      <c r="Z312" s="1" t="s">
        <v>214</v>
      </c>
      <c r="AA312" s="1" t="s">
        <v>1193</v>
      </c>
      <c r="AB312" s="1" t="s">
        <v>1193</v>
      </c>
      <c r="AC312" s="1" t="s">
        <v>212</v>
      </c>
      <c r="AD312" s="1" t="s">
        <v>134</v>
      </c>
      <c r="AE312" s="1" t="s">
        <v>1281</v>
      </c>
      <c r="AF312" s="4">
        <v>46160</v>
      </c>
      <c r="AG312" s="5">
        <v>0.73958333333333337</v>
      </c>
      <c r="AH312" s="1" t="s">
        <v>63</v>
      </c>
      <c r="AI312" s="1" t="s">
        <v>1280</v>
      </c>
      <c r="AJ312" s="4">
        <v>46172</v>
      </c>
      <c r="AK312" s="5">
        <v>0.35069444444444442</v>
      </c>
      <c r="AL312" s="1" t="s">
        <v>215</v>
      </c>
      <c r="AM312" s="1"/>
    </row>
    <row r="313" spans="1:39" x14ac:dyDescent="0.3">
      <c r="A313" s="1">
        <v>708367</v>
      </c>
      <c r="B313" s="1">
        <v>574542</v>
      </c>
      <c r="C313" s="1" t="s">
        <v>1189</v>
      </c>
      <c r="D313" s="38" t="s">
        <v>1830</v>
      </c>
      <c r="E313" s="4">
        <v>27061</v>
      </c>
      <c r="F313" s="1">
        <v>52</v>
      </c>
      <c r="G313" s="1" t="s">
        <v>212</v>
      </c>
      <c r="H313" s="1" t="s">
        <v>1501</v>
      </c>
      <c r="I313" s="1" t="s">
        <v>1501</v>
      </c>
      <c r="J313" s="1">
        <v>8540</v>
      </c>
      <c r="K313" s="1" t="s">
        <v>78</v>
      </c>
      <c r="L313" s="1" t="s">
        <v>8</v>
      </c>
      <c r="M313" s="1" t="s">
        <v>13</v>
      </c>
      <c r="N313" s="1" t="s">
        <v>5</v>
      </c>
      <c r="O313" s="1" t="s">
        <v>216</v>
      </c>
      <c r="P313" s="1" t="s">
        <v>53</v>
      </c>
      <c r="Q313" s="1" t="s">
        <v>8</v>
      </c>
      <c r="R313" s="1" t="s">
        <v>11</v>
      </c>
      <c r="S313" s="1"/>
      <c r="T313" s="1"/>
      <c r="U313" s="1"/>
      <c r="V313" s="1" t="str">
        <f>IF(pilgrims[[#This Row],[packages.second_hotel_name]]="",pilgrims[[#This Row],[packages.first_hotel_name]],pilgrims[[#This Row],[packages.second_hotel_name]])</f>
        <v>Movenpick Anwar Almadinah Hotel</v>
      </c>
      <c r="W313" s="1" t="str">
        <f>IF(pilgrims[[#This Row],[packages.second_hotel_name]]="",pilgrims[[#This Row],[packages.first_hotel_check_in]],pilgrims[[#This Row],[packages.second_hotel_check_in]])</f>
        <v>2026-05-21</v>
      </c>
      <c r="X313" s="1" t="str">
        <f>IF(pilgrims[[#This Row],[packages.second_hotel_name]]="",pilgrims[[#This Row],[packages.first_hotel_check_out]],pilgrims[[#This Row],[packages.second_hotel_check_out]])</f>
        <v>2026-05-24</v>
      </c>
      <c r="Y313" s="1"/>
      <c r="Z313" s="1" t="s">
        <v>261</v>
      </c>
      <c r="AA313" s="1" t="s">
        <v>707</v>
      </c>
      <c r="AB313" s="1" t="s">
        <v>1391</v>
      </c>
      <c r="AC313" s="1" t="s">
        <v>708</v>
      </c>
      <c r="AD313" s="1" t="s">
        <v>1392</v>
      </c>
      <c r="AE313" s="1" t="s">
        <v>1280</v>
      </c>
      <c r="AF313" s="4">
        <v>46165</v>
      </c>
      <c r="AG313" s="5">
        <v>3.8194444444444448E-2</v>
      </c>
      <c r="AH313" s="1" t="s">
        <v>1292</v>
      </c>
      <c r="AI313" s="1" t="s">
        <v>1280</v>
      </c>
      <c r="AJ313" s="4">
        <v>46173</v>
      </c>
      <c r="AK313" s="5">
        <v>2.7777777777777776E-2</v>
      </c>
      <c r="AL313" s="1" t="s">
        <v>215</v>
      </c>
      <c r="AM313" s="1"/>
    </row>
    <row r="314" spans="1:39" x14ac:dyDescent="0.3">
      <c r="A314" s="1">
        <v>550195</v>
      </c>
      <c r="B314" s="1">
        <v>436980</v>
      </c>
      <c r="C314" s="1" t="s">
        <v>1188</v>
      </c>
      <c r="D314" s="38" t="s">
        <v>1831</v>
      </c>
      <c r="E314" s="4">
        <v>23507</v>
      </c>
      <c r="F314" s="1">
        <v>61</v>
      </c>
      <c r="G314" s="1" t="s">
        <v>212</v>
      </c>
      <c r="H314" s="1" t="s">
        <v>1501</v>
      </c>
      <c r="I314" s="1" t="s">
        <v>1501</v>
      </c>
      <c r="J314" s="1">
        <v>8711</v>
      </c>
      <c r="K314" s="1" t="s">
        <v>99</v>
      </c>
      <c r="L314" s="1" t="s">
        <v>8</v>
      </c>
      <c r="M314" s="1" t="s">
        <v>4</v>
      </c>
      <c r="N314" s="1" t="s">
        <v>15</v>
      </c>
      <c r="O314" s="1" t="s">
        <v>216</v>
      </c>
      <c r="P314" s="1" t="s">
        <v>53</v>
      </c>
      <c r="Q314" s="1" t="s">
        <v>8</v>
      </c>
      <c r="R314" s="1" t="s">
        <v>16</v>
      </c>
      <c r="S314" s="1" t="s">
        <v>5</v>
      </c>
      <c r="T314" s="1" t="s">
        <v>53</v>
      </c>
      <c r="U314" s="1" t="s">
        <v>6</v>
      </c>
      <c r="V314" s="1" t="str">
        <f>IF(pilgrims[[#This Row],[packages.second_hotel_name]]="",pilgrims[[#This Row],[packages.first_hotel_name]],pilgrims[[#This Row],[packages.second_hotel_name]])</f>
        <v>Movenpick Anwar Almadinah Hotel</v>
      </c>
      <c r="W314" s="1" t="str">
        <f>IF(pilgrims[[#This Row],[packages.second_hotel_name]]="",pilgrims[[#This Row],[packages.first_hotel_check_in]],pilgrims[[#This Row],[packages.second_hotel_check_in]])</f>
        <v>2026-05-30</v>
      </c>
      <c r="X314" s="1" t="str">
        <f>IF(pilgrims[[#This Row],[packages.second_hotel_name]]="",pilgrims[[#This Row],[packages.first_hotel_check_out]],pilgrims[[#This Row],[packages.second_hotel_check_out]])</f>
        <v>2026-06-02</v>
      </c>
      <c r="Y314" s="1" t="s">
        <v>4</v>
      </c>
      <c r="Z314" s="1" t="s">
        <v>214</v>
      </c>
      <c r="AA314" s="1" t="s">
        <v>1191</v>
      </c>
      <c r="AB314" s="1" t="s">
        <v>1191</v>
      </c>
      <c r="AC314" s="1" t="s">
        <v>212</v>
      </c>
      <c r="AD314" s="1" t="s">
        <v>57</v>
      </c>
      <c r="AE314" s="1" t="s">
        <v>1280</v>
      </c>
      <c r="AF314" s="4">
        <v>46163</v>
      </c>
      <c r="AG314" s="5">
        <v>0.2361111111111111</v>
      </c>
      <c r="AH314" s="1" t="s">
        <v>76</v>
      </c>
      <c r="AI314" s="1" t="s">
        <v>1281</v>
      </c>
      <c r="AJ314" s="4">
        <v>46175</v>
      </c>
      <c r="AK314" s="5">
        <v>0.93055555555555558</v>
      </c>
      <c r="AL314" s="1" t="s">
        <v>215</v>
      </c>
      <c r="AM314" s="1"/>
    </row>
    <row r="315" spans="1:39" x14ac:dyDescent="0.3">
      <c r="A315" s="1">
        <v>714052</v>
      </c>
      <c r="B315" s="1">
        <v>574542</v>
      </c>
      <c r="C315" s="1" t="s">
        <v>1189</v>
      </c>
      <c r="D315" s="38" t="s">
        <v>1832</v>
      </c>
      <c r="E315" s="4">
        <v>32582</v>
      </c>
      <c r="F315" s="1">
        <v>36</v>
      </c>
      <c r="G315" s="1" t="s">
        <v>212</v>
      </c>
      <c r="H315" s="1" t="s">
        <v>1501</v>
      </c>
      <c r="I315" s="1" t="s">
        <v>1501</v>
      </c>
      <c r="J315" s="1">
        <v>8540</v>
      </c>
      <c r="K315" s="1" t="s">
        <v>78</v>
      </c>
      <c r="L315" s="1" t="s">
        <v>8</v>
      </c>
      <c r="M315" s="1" t="s">
        <v>13</v>
      </c>
      <c r="N315" s="1" t="s">
        <v>5</v>
      </c>
      <c r="O315" s="1" t="s">
        <v>216</v>
      </c>
      <c r="P315" s="1" t="s">
        <v>53</v>
      </c>
      <c r="Q315" s="1" t="s">
        <v>8</v>
      </c>
      <c r="R315" s="1" t="s">
        <v>11</v>
      </c>
      <c r="S315" s="1"/>
      <c r="T315" s="1"/>
      <c r="U315" s="1"/>
      <c r="V315" s="1" t="str">
        <f>IF(pilgrims[[#This Row],[packages.second_hotel_name]]="",pilgrims[[#This Row],[packages.first_hotel_name]],pilgrims[[#This Row],[packages.second_hotel_name]])</f>
        <v>Movenpick Anwar Almadinah Hotel</v>
      </c>
      <c r="W315" s="1" t="str">
        <f>IF(pilgrims[[#This Row],[packages.second_hotel_name]]="",pilgrims[[#This Row],[packages.first_hotel_check_in]],pilgrims[[#This Row],[packages.second_hotel_check_in]])</f>
        <v>2026-05-21</v>
      </c>
      <c r="X315" s="1" t="str">
        <f>IF(pilgrims[[#This Row],[packages.second_hotel_name]]="",pilgrims[[#This Row],[packages.first_hotel_check_out]],pilgrims[[#This Row],[packages.second_hotel_check_out]])</f>
        <v>2026-05-24</v>
      </c>
      <c r="Y315" s="1"/>
      <c r="Z315" s="1" t="s">
        <v>261</v>
      </c>
      <c r="AA315" s="1" t="s">
        <v>707</v>
      </c>
      <c r="AB315" s="1" t="s">
        <v>1391</v>
      </c>
      <c r="AC315" s="1" t="s">
        <v>708</v>
      </c>
      <c r="AD315" s="1" t="s">
        <v>1392</v>
      </c>
      <c r="AE315" s="1" t="s">
        <v>1280</v>
      </c>
      <c r="AF315" s="4">
        <v>46165</v>
      </c>
      <c r="AG315" s="5">
        <v>3.8194444444444448E-2</v>
      </c>
      <c r="AH315" s="1" t="s">
        <v>1292</v>
      </c>
      <c r="AI315" s="1" t="s">
        <v>1280</v>
      </c>
      <c r="AJ315" s="4">
        <v>46173</v>
      </c>
      <c r="AK315" s="5">
        <v>2.7777777777777776E-2</v>
      </c>
      <c r="AL315" s="1" t="s">
        <v>215</v>
      </c>
      <c r="AM315" s="1"/>
    </row>
    <row r="316" spans="1:39" x14ac:dyDescent="0.3">
      <c r="A316" s="1">
        <v>552590</v>
      </c>
      <c r="B316" s="1">
        <v>436980</v>
      </c>
      <c r="C316" s="1" t="s">
        <v>1189</v>
      </c>
      <c r="D316" s="38" t="s">
        <v>1833</v>
      </c>
      <c r="E316" s="4">
        <v>27753</v>
      </c>
      <c r="F316" s="1">
        <v>50</v>
      </c>
      <c r="G316" s="1" t="s">
        <v>212</v>
      </c>
      <c r="H316" s="1" t="s">
        <v>1501</v>
      </c>
      <c r="I316" s="1" t="s">
        <v>1501</v>
      </c>
      <c r="J316" s="1">
        <v>8711</v>
      </c>
      <c r="K316" s="1" t="s">
        <v>99</v>
      </c>
      <c r="L316" s="1" t="s">
        <v>8</v>
      </c>
      <c r="M316" s="1" t="s">
        <v>4</v>
      </c>
      <c r="N316" s="1" t="s">
        <v>15</v>
      </c>
      <c r="O316" s="1" t="s">
        <v>216</v>
      </c>
      <c r="P316" s="1" t="s">
        <v>53</v>
      </c>
      <c r="Q316" s="1" t="s">
        <v>8</v>
      </c>
      <c r="R316" s="1" t="s">
        <v>16</v>
      </c>
      <c r="S316" s="1" t="s">
        <v>5</v>
      </c>
      <c r="T316" s="1" t="s">
        <v>53</v>
      </c>
      <c r="U316" s="1" t="s">
        <v>6</v>
      </c>
      <c r="V316" s="1" t="str">
        <f>IF(pilgrims[[#This Row],[packages.second_hotel_name]]="",pilgrims[[#This Row],[packages.first_hotel_name]],pilgrims[[#This Row],[packages.second_hotel_name]])</f>
        <v>Movenpick Anwar Almadinah Hotel</v>
      </c>
      <c r="W316" s="1" t="str">
        <f>IF(pilgrims[[#This Row],[packages.second_hotel_name]]="",pilgrims[[#This Row],[packages.first_hotel_check_in]],pilgrims[[#This Row],[packages.second_hotel_check_in]])</f>
        <v>2026-05-30</v>
      </c>
      <c r="X316" s="1" t="str">
        <f>IF(pilgrims[[#This Row],[packages.second_hotel_name]]="",pilgrims[[#This Row],[packages.first_hotel_check_out]],pilgrims[[#This Row],[packages.second_hotel_check_out]])</f>
        <v>2026-06-02</v>
      </c>
      <c r="Y316" s="1" t="s">
        <v>4</v>
      </c>
      <c r="Z316" s="1" t="s">
        <v>214</v>
      </c>
      <c r="AA316" s="1" t="s">
        <v>1191</v>
      </c>
      <c r="AB316" s="1" t="s">
        <v>1191</v>
      </c>
      <c r="AC316" s="1" t="s">
        <v>212</v>
      </c>
      <c r="AD316" s="1" t="s">
        <v>57</v>
      </c>
      <c r="AE316" s="1" t="s">
        <v>1280</v>
      </c>
      <c r="AF316" s="4">
        <v>46163</v>
      </c>
      <c r="AG316" s="5">
        <v>0.2361111111111111</v>
      </c>
      <c r="AH316" s="1" t="s">
        <v>76</v>
      </c>
      <c r="AI316" s="1" t="s">
        <v>1281</v>
      </c>
      <c r="AJ316" s="4">
        <v>46175</v>
      </c>
      <c r="AK316" s="5">
        <v>0.93055555555555558</v>
      </c>
      <c r="AL316" s="1" t="s">
        <v>215</v>
      </c>
      <c r="AM316" s="1"/>
    </row>
    <row r="317" spans="1:39" x14ac:dyDescent="0.3">
      <c r="A317" s="1">
        <v>714083</v>
      </c>
      <c r="B317" s="1">
        <v>574542</v>
      </c>
      <c r="C317" s="1" t="s">
        <v>1188</v>
      </c>
      <c r="D317" s="38" t="s">
        <v>1834</v>
      </c>
      <c r="E317" s="4">
        <v>31597</v>
      </c>
      <c r="F317" s="1">
        <v>39</v>
      </c>
      <c r="G317" s="1" t="s">
        <v>212</v>
      </c>
      <c r="H317" s="1" t="s">
        <v>1501</v>
      </c>
      <c r="I317" s="1" t="s">
        <v>1501</v>
      </c>
      <c r="J317" s="1">
        <v>8540</v>
      </c>
      <c r="K317" s="1" t="s">
        <v>78</v>
      </c>
      <c r="L317" s="1" t="s">
        <v>8</v>
      </c>
      <c r="M317" s="1" t="s">
        <v>13</v>
      </c>
      <c r="N317" s="1" t="s">
        <v>5</v>
      </c>
      <c r="O317" s="1" t="s">
        <v>216</v>
      </c>
      <c r="P317" s="1" t="s">
        <v>53</v>
      </c>
      <c r="Q317" s="1" t="s">
        <v>8</v>
      </c>
      <c r="R317" s="1" t="s">
        <v>11</v>
      </c>
      <c r="S317" s="1"/>
      <c r="T317" s="1"/>
      <c r="U317" s="1"/>
      <c r="V317" s="1" t="str">
        <f>IF(pilgrims[[#This Row],[packages.second_hotel_name]]="",pilgrims[[#This Row],[packages.first_hotel_name]],pilgrims[[#This Row],[packages.second_hotel_name]])</f>
        <v>Movenpick Anwar Almadinah Hotel</v>
      </c>
      <c r="W317" s="1" t="str">
        <f>IF(pilgrims[[#This Row],[packages.second_hotel_name]]="",pilgrims[[#This Row],[packages.first_hotel_check_in]],pilgrims[[#This Row],[packages.second_hotel_check_in]])</f>
        <v>2026-05-21</v>
      </c>
      <c r="X317" s="1" t="str">
        <f>IF(pilgrims[[#This Row],[packages.second_hotel_name]]="",pilgrims[[#This Row],[packages.first_hotel_check_out]],pilgrims[[#This Row],[packages.second_hotel_check_out]])</f>
        <v>2026-05-24</v>
      </c>
      <c r="Y317" s="1"/>
      <c r="Z317" s="1" t="s">
        <v>261</v>
      </c>
      <c r="AA317" s="1" t="s">
        <v>707</v>
      </c>
      <c r="AB317" s="1" t="s">
        <v>1391</v>
      </c>
      <c r="AC317" s="1" t="s">
        <v>708</v>
      </c>
      <c r="AD317" s="1" t="s">
        <v>1392</v>
      </c>
      <c r="AE317" s="1" t="s">
        <v>1280</v>
      </c>
      <c r="AF317" s="4">
        <v>46165</v>
      </c>
      <c r="AG317" s="5">
        <v>3.8194444444444448E-2</v>
      </c>
      <c r="AH317" s="1" t="s">
        <v>1292</v>
      </c>
      <c r="AI317" s="1" t="s">
        <v>1280</v>
      </c>
      <c r="AJ317" s="4">
        <v>46173</v>
      </c>
      <c r="AK317" s="5">
        <v>2.7777777777777776E-2</v>
      </c>
      <c r="AL317" s="1" t="s">
        <v>215</v>
      </c>
      <c r="AM317" s="1"/>
    </row>
    <row r="318" spans="1:39" x14ac:dyDescent="0.3">
      <c r="A318" s="1">
        <v>845787</v>
      </c>
      <c r="B318" s="1">
        <v>683752</v>
      </c>
      <c r="C318" s="1" t="s">
        <v>1189</v>
      </c>
      <c r="D318" s="38" t="s">
        <v>1835</v>
      </c>
      <c r="E318" s="4">
        <v>21593</v>
      </c>
      <c r="F318" s="1">
        <v>67</v>
      </c>
      <c r="G318" s="1" t="s">
        <v>212</v>
      </c>
      <c r="H318" s="1" t="s">
        <v>1501</v>
      </c>
      <c r="I318" s="1" t="s">
        <v>1516</v>
      </c>
      <c r="J318" s="1">
        <v>8531</v>
      </c>
      <c r="K318" s="1" t="s">
        <v>84</v>
      </c>
      <c r="L318" s="1" t="s">
        <v>8</v>
      </c>
      <c r="M318" s="1" t="s">
        <v>9</v>
      </c>
      <c r="N318" s="1" t="s">
        <v>20</v>
      </c>
      <c r="O318" s="1" t="s">
        <v>216</v>
      </c>
      <c r="P318" s="1" t="s">
        <v>53</v>
      </c>
      <c r="Q318" s="1" t="s">
        <v>8</v>
      </c>
      <c r="R318" s="1" t="s">
        <v>11</v>
      </c>
      <c r="S318" s="1" t="s">
        <v>12</v>
      </c>
      <c r="T318" s="1" t="s">
        <v>53</v>
      </c>
      <c r="U318" s="1" t="s">
        <v>13</v>
      </c>
      <c r="V318" s="1" t="str">
        <f>IF(pilgrims[[#This Row],[packages.second_hotel_name]]="",pilgrims[[#This Row],[packages.first_hotel_name]],pilgrims[[#This Row],[packages.second_hotel_name]])</f>
        <v>Makkah Clock Royal Tower A Fairmont Hotel</v>
      </c>
      <c r="W318" s="1" t="str">
        <f>IF(pilgrims[[#This Row],[packages.second_hotel_name]]="",pilgrims[[#This Row],[packages.first_hotel_check_in]],pilgrims[[#This Row],[packages.second_hotel_check_in]])</f>
        <v>2026-05-31</v>
      </c>
      <c r="X318" s="1" t="str">
        <f>IF(pilgrims[[#This Row],[packages.second_hotel_name]]="",pilgrims[[#This Row],[packages.first_hotel_check_out]],pilgrims[[#This Row],[packages.second_hotel_check_out]])</f>
        <v>2026-06-06</v>
      </c>
      <c r="Y318" s="1" t="s">
        <v>9</v>
      </c>
      <c r="Z318" s="1" t="s">
        <v>214</v>
      </c>
      <c r="AA318" s="1" t="s">
        <v>1200</v>
      </c>
      <c r="AB318" s="1" t="s">
        <v>1200</v>
      </c>
      <c r="AC318" s="1" t="s">
        <v>212</v>
      </c>
      <c r="AD318" s="1" t="s">
        <v>69</v>
      </c>
      <c r="AE318" s="1" t="s">
        <v>1280</v>
      </c>
      <c r="AF318" s="4">
        <v>46164</v>
      </c>
      <c r="AG318" s="5">
        <v>0.93055555555555558</v>
      </c>
      <c r="AH318" s="1" t="s">
        <v>72</v>
      </c>
      <c r="AI318" s="1" t="s">
        <v>1281</v>
      </c>
      <c r="AJ318" s="4">
        <v>46177</v>
      </c>
      <c r="AK318" s="5">
        <v>0.25347222222222221</v>
      </c>
      <c r="AL318" s="1" t="s">
        <v>215</v>
      </c>
      <c r="AM318" s="1"/>
    </row>
    <row r="319" spans="1:39" x14ac:dyDescent="0.3">
      <c r="A319" s="1">
        <v>714668</v>
      </c>
      <c r="B319" s="1">
        <v>574542</v>
      </c>
      <c r="C319" s="1" t="s">
        <v>1189</v>
      </c>
      <c r="D319" s="38" t="s">
        <v>1836</v>
      </c>
      <c r="E319" s="4">
        <v>30538</v>
      </c>
      <c r="F319" s="1">
        <v>42</v>
      </c>
      <c r="G319" s="1" t="s">
        <v>212</v>
      </c>
      <c r="H319" s="1" t="s">
        <v>1501</v>
      </c>
      <c r="I319" s="1" t="s">
        <v>1501</v>
      </c>
      <c r="J319" s="1">
        <v>8540</v>
      </c>
      <c r="K319" s="1" t="s">
        <v>78</v>
      </c>
      <c r="L319" s="1" t="s">
        <v>8</v>
      </c>
      <c r="M319" s="1" t="s">
        <v>13</v>
      </c>
      <c r="N319" s="1" t="s">
        <v>5</v>
      </c>
      <c r="O319" s="1" t="s">
        <v>216</v>
      </c>
      <c r="P319" s="1" t="s">
        <v>53</v>
      </c>
      <c r="Q319" s="1" t="s">
        <v>8</v>
      </c>
      <c r="R319" s="1" t="s">
        <v>11</v>
      </c>
      <c r="S319" s="1"/>
      <c r="T319" s="1"/>
      <c r="U319" s="1"/>
      <c r="V319" s="1" t="str">
        <f>IF(pilgrims[[#This Row],[packages.second_hotel_name]]="",pilgrims[[#This Row],[packages.first_hotel_name]],pilgrims[[#This Row],[packages.second_hotel_name]])</f>
        <v>Movenpick Anwar Almadinah Hotel</v>
      </c>
      <c r="W319" s="1" t="str">
        <f>IF(pilgrims[[#This Row],[packages.second_hotel_name]]="",pilgrims[[#This Row],[packages.first_hotel_check_in]],pilgrims[[#This Row],[packages.second_hotel_check_in]])</f>
        <v>2026-05-21</v>
      </c>
      <c r="X319" s="1" t="str">
        <f>IF(pilgrims[[#This Row],[packages.second_hotel_name]]="",pilgrims[[#This Row],[packages.first_hotel_check_out]],pilgrims[[#This Row],[packages.second_hotel_check_out]])</f>
        <v>2026-05-24</v>
      </c>
      <c r="Y319" s="1"/>
      <c r="Z319" s="1" t="s">
        <v>261</v>
      </c>
      <c r="AA319" s="1" t="s">
        <v>707</v>
      </c>
      <c r="AB319" s="1" t="s">
        <v>1391</v>
      </c>
      <c r="AC319" s="1" t="s">
        <v>708</v>
      </c>
      <c r="AD319" s="1" t="s">
        <v>1392</v>
      </c>
      <c r="AE319" s="1" t="s">
        <v>1280</v>
      </c>
      <c r="AF319" s="4">
        <v>46165</v>
      </c>
      <c r="AG319" s="5">
        <v>3.8194444444444448E-2</v>
      </c>
      <c r="AH319" s="1" t="s">
        <v>1292</v>
      </c>
      <c r="AI319" s="1" t="s">
        <v>1280</v>
      </c>
      <c r="AJ319" s="4">
        <v>46173</v>
      </c>
      <c r="AK319" s="5">
        <v>2.7777777777777776E-2</v>
      </c>
      <c r="AL319" s="1" t="s">
        <v>215</v>
      </c>
      <c r="AM319" s="1"/>
    </row>
    <row r="320" spans="1:39" x14ac:dyDescent="0.3">
      <c r="A320" s="1">
        <v>862688</v>
      </c>
      <c r="B320" s="1">
        <v>697214</v>
      </c>
      <c r="C320" s="1" t="s">
        <v>1188</v>
      </c>
      <c r="D320" s="38" t="s">
        <v>1837</v>
      </c>
      <c r="E320" s="4">
        <v>28496</v>
      </c>
      <c r="F320" s="1">
        <v>48</v>
      </c>
      <c r="G320" s="1" t="s">
        <v>212</v>
      </c>
      <c r="H320" s="1" t="s">
        <v>1501</v>
      </c>
      <c r="I320" s="1" t="s">
        <v>1501</v>
      </c>
      <c r="J320" s="1">
        <v>8528</v>
      </c>
      <c r="K320" s="1" t="s">
        <v>81</v>
      </c>
      <c r="L320" s="1" t="s">
        <v>19</v>
      </c>
      <c r="M320" s="1" t="s">
        <v>6</v>
      </c>
      <c r="N320" s="1" t="s">
        <v>10</v>
      </c>
      <c r="O320" s="1" t="s">
        <v>216</v>
      </c>
      <c r="P320" s="1" t="s">
        <v>52</v>
      </c>
      <c r="Q320" s="1" t="s">
        <v>19</v>
      </c>
      <c r="R320" s="1" t="s">
        <v>8</v>
      </c>
      <c r="S320" s="1" t="s">
        <v>12</v>
      </c>
      <c r="T320" s="1" t="s">
        <v>53</v>
      </c>
      <c r="U320" s="1" t="s">
        <v>8</v>
      </c>
      <c r="V320" s="1" t="str">
        <f>IF(pilgrims[[#This Row],[packages.second_hotel_name]]="",pilgrims[[#This Row],[packages.first_hotel_name]],pilgrims[[#This Row],[packages.second_hotel_name]])</f>
        <v>Makkah Clock Royal Tower A Fairmont Hotel</v>
      </c>
      <c r="W320" s="1" t="str">
        <f>IF(pilgrims[[#This Row],[packages.second_hotel_name]]="",pilgrims[[#This Row],[packages.first_hotel_check_in]],pilgrims[[#This Row],[packages.second_hotel_check_in]])</f>
        <v>2026-05-21</v>
      </c>
      <c r="X320" s="1" t="str">
        <f>IF(pilgrims[[#This Row],[packages.second_hotel_name]]="",pilgrims[[#This Row],[packages.first_hotel_check_out]],pilgrims[[#This Row],[packages.second_hotel_check_out]])</f>
        <v>2026-05-25</v>
      </c>
      <c r="Y320" s="1" t="s">
        <v>16</v>
      </c>
      <c r="Z320" s="1" t="s">
        <v>214</v>
      </c>
      <c r="AA320" s="1" t="s">
        <v>1193</v>
      </c>
      <c r="AB320" s="1" t="s">
        <v>1193</v>
      </c>
      <c r="AC320" s="1" t="s">
        <v>212</v>
      </c>
      <c r="AD320" s="1" t="s">
        <v>134</v>
      </c>
      <c r="AE320" s="1" t="s">
        <v>1281</v>
      </c>
      <c r="AF320" s="4">
        <v>46160</v>
      </c>
      <c r="AG320" s="5">
        <v>0.73958333333333337</v>
      </c>
      <c r="AH320" s="1" t="s">
        <v>63</v>
      </c>
      <c r="AI320" s="1" t="s">
        <v>1280</v>
      </c>
      <c r="AJ320" s="4">
        <v>46172</v>
      </c>
      <c r="AK320" s="5">
        <v>0.35069444444444442</v>
      </c>
      <c r="AL320" s="1" t="s">
        <v>215</v>
      </c>
      <c r="AM320" s="1"/>
    </row>
    <row r="321" spans="1:39" x14ac:dyDescent="0.3">
      <c r="A321" s="1">
        <v>862702</v>
      </c>
      <c r="B321" s="1">
        <v>697214</v>
      </c>
      <c r="C321" s="1" t="s">
        <v>1189</v>
      </c>
      <c r="D321" s="38" t="s">
        <v>1838</v>
      </c>
      <c r="E321" s="4">
        <v>31287</v>
      </c>
      <c r="F321" s="1">
        <v>40</v>
      </c>
      <c r="G321" s="1" t="s">
        <v>212</v>
      </c>
      <c r="H321" s="1" t="s">
        <v>1501</v>
      </c>
      <c r="I321" s="1" t="s">
        <v>1501</v>
      </c>
      <c r="J321" s="1">
        <v>8528</v>
      </c>
      <c r="K321" s="1" t="s">
        <v>81</v>
      </c>
      <c r="L321" s="1" t="s">
        <v>19</v>
      </c>
      <c r="M321" s="1" t="s">
        <v>6</v>
      </c>
      <c r="N321" s="1" t="s">
        <v>10</v>
      </c>
      <c r="O321" s="1" t="s">
        <v>216</v>
      </c>
      <c r="P321" s="1" t="s">
        <v>52</v>
      </c>
      <c r="Q321" s="1" t="s">
        <v>19</v>
      </c>
      <c r="R321" s="1" t="s">
        <v>8</v>
      </c>
      <c r="S321" s="1" t="s">
        <v>12</v>
      </c>
      <c r="T321" s="1" t="s">
        <v>53</v>
      </c>
      <c r="U321" s="1" t="s">
        <v>8</v>
      </c>
      <c r="V321" s="1" t="str">
        <f>IF(pilgrims[[#This Row],[packages.second_hotel_name]]="",pilgrims[[#This Row],[packages.first_hotel_name]],pilgrims[[#This Row],[packages.second_hotel_name]])</f>
        <v>Makkah Clock Royal Tower A Fairmont Hotel</v>
      </c>
      <c r="W321" s="1" t="str">
        <f>IF(pilgrims[[#This Row],[packages.second_hotel_name]]="",pilgrims[[#This Row],[packages.first_hotel_check_in]],pilgrims[[#This Row],[packages.second_hotel_check_in]])</f>
        <v>2026-05-21</v>
      </c>
      <c r="X321" s="1" t="str">
        <f>IF(pilgrims[[#This Row],[packages.second_hotel_name]]="",pilgrims[[#This Row],[packages.first_hotel_check_out]],pilgrims[[#This Row],[packages.second_hotel_check_out]])</f>
        <v>2026-05-25</v>
      </c>
      <c r="Y321" s="1" t="s">
        <v>16</v>
      </c>
      <c r="Z321" s="1" t="s">
        <v>214</v>
      </c>
      <c r="AA321" s="1" t="s">
        <v>1193</v>
      </c>
      <c r="AB321" s="1" t="s">
        <v>1193</v>
      </c>
      <c r="AC321" s="1" t="s">
        <v>212</v>
      </c>
      <c r="AD321" s="1" t="s">
        <v>134</v>
      </c>
      <c r="AE321" s="1" t="s">
        <v>1281</v>
      </c>
      <c r="AF321" s="4">
        <v>46160</v>
      </c>
      <c r="AG321" s="5">
        <v>0.73958333333333337</v>
      </c>
      <c r="AH321" s="1" t="s">
        <v>63</v>
      </c>
      <c r="AI321" s="1" t="s">
        <v>1280</v>
      </c>
      <c r="AJ321" s="4">
        <v>46172</v>
      </c>
      <c r="AK321" s="5">
        <v>0.35069444444444442</v>
      </c>
      <c r="AL321" s="1" t="s">
        <v>215</v>
      </c>
      <c r="AM321" s="1"/>
    </row>
    <row r="322" spans="1:39" x14ac:dyDescent="0.3">
      <c r="A322" s="1">
        <v>847922</v>
      </c>
      <c r="B322" s="1">
        <v>685481</v>
      </c>
      <c r="C322" s="1" t="s">
        <v>1189</v>
      </c>
      <c r="D322" s="38" t="s">
        <v>1839</v>
      </c>
      <c r="E322" s="4">
        <v>21564</v>
      </c>
      <c r="F322" s="1">
        <v>67</v>
      </c>
      <c r="G322" s="1" t="s">
        <v>212</v>
      </c>
      <c r="H322" s="1" t="s">
        <v>1501</v>
      </c>
      <c r="I322" s="1" t="s">
        <v>1501</v>
      </c>
      <c r="J322" s="1">
        <v>8565</v>
      </c>
      <c r="K322" s="1" t="s">
        <v>80</v>
      </c>
      <c r="L322" s="1" t="s">
        <v>8</v>
      </c>
      <c r="M322" s="1" t="s">
        <v>9</v>
      </c>
      <c r="N322" s="1" t="s">
        <v>10</v>
      </c>
      <c r="O322" s="1" t="s">
        <v>216</v>
      </c>
      <c r="P322" s="1" t="s">
        <v>52</v>
      </c>
      <c r="Q322" s="1" t="s">
        <v>8</v>
      </c>
      <c r="R322" s="1" t="s">
        <v>11</v>
      </c>
      <c r="S322" s="1" t="s">
        <v>12</v>
      </c>
      <c r="T322" s="1" t="s">
        <v>53</v>
      </c>
      <c r="U322" s="1" t="s">
        <v>13</v>
      </c>
      <c r="V322" s="1" t="str">
        <f>IF(pilgrims[[#This Row],[packages.second_hotel_name]]="",pilgrims[[#This Row],[packages.first_hotel_name]],pilgrims[[#This Row],[packages.second_hotel_name]])</f>
        <v>Makkah Clock Royal Tower A Fairmont Hotel</v>
      </c>
      <c r="W322" s="1" t="str">
        <f>IF(pilgrims[[#This Row],[packages.second_hotel_name]]="",pilgrims[[#This Row],[packages.first_hotel_check_in]],pilgrims[[#This Row],[packages.second_hotel_check_in]])</f>
        <v>2026-05-31</v>
      </c>
      <c r="X322" s="1" t="str">
        <f>IF(pilgrims[[#This Row],[packages.second_hotel_name]]="",pilgrims[[#This Row],[packages.first_hotel_check_out]],pilgrims[[#This Row],[packages.second_hotel_check_out]])</f>
        <v>2026-06-06</v>
      </c>
      <c r="Y322" s="1" t="s">
        <v>9</v>
      </c>
      <c r="Z322" s="1" t="s">
        <v>214</v>
      </c>
      <c r="AA322" s="1" t="s">
        <v>1212</v>
      </c>
      <c r="AB322" s="1" t="s">
        <v>1212</v>
      </c>
      <c r="AC322" s="1" t="s">
        <v>212</v>
      </c>
      <c r="AD322" s="1" t="s">
        <v>66</v>
      </c>
      <c r="AE322" s="1" t="s">
        <v>1280</v>
      </c>
      <c r="AF322" s="4">
        <v>46164</v>
      </c>
      <c r="AG322" s="5">
        <v>0.57986111111111116</v>
      </c>
      <c r="AH322" s="1" t="s">
        <v>73</v>
      </c>
      <c r="AI322" s="1" t="s">
        <v>1281</v>
      </c>
      <c r="AJ322" s="4">
        <v>46177</v>
      </c>
      <c r="AK322" s="5">
        <v>0.14930555555555555</v>
      </c>
      <c r="AL322" s="1" t="s">
        <v>215</v>
      </c>
      <c r="AM322" s="1"/>
    </row>
    <row r="323" spans="1:39" x14ac:dyDescent="0.3">
      <c r="A323" s="1">
        <v>544594</v>
      </c>
      <c r="B323" s="1">
        <v>431894</v>
      </c>
      <c r="C323" s="1" t="s">
        <v>1188</v>
      </c>
      <c r="D323" s="38" t="s">
        <v>1840</v>
      </c>
      <c r="E323" s="4">
        <v>25839</v>
      </c>
      <c r="F323" s="1">
        <v>55</v>
      </c>
      <c r="G323" s="1" t="s">
        <v>212</v>
      </c>
      <c r="H323" s="1" t="s">
        <v>1505</v>
      </c>
      <c r="I323" s="1" t="s">
        <v>1505</v>
      </c>
      <c r="J323" s="1">
        <v>8529</v>
      </c>
      <c r="K323" s="1" t="s">
        <v>82</v>
      </c>
      <c r="L323" s="1" t="s">
        <v>19</v>
      </c>
      <c r="M323" s="1" t="s">
        <v>13</v>
      </c>
      <c r="N323" s="1" t="s">
        <v>20</v>
      </c>
      <c r="O323" s="1" t="s">
        <v>216</v>
      </c>
      <c r="P323" s="1" t="s">
        <v>53</v>
      </c>
      <c r="Q323" s="1" t="s">
        <v>19</v>
      </c>
      <c r="R323" s="1" t="s">
        <v>8</v>
      </c>
      <c r="S323" s="1" t="s">
        <v>21</v>
      </c>
      <c r="T323" s="1" t="s">
        <v>53</v>
      </c>
      <c r="U323" s="1" t="s">
        <v>8</v>
      </c>
      <c r="V323" s="1" t="str">
        <f>IF(pilgrims[[#This Row],[packages.second_hotel_name]]="",pilgrims[[#This Row],[packages.first_hotel_name]],pilgrims[[#This Row],[packages.second_hotel_name]])</f>
        <v>Swissotel Makkah Hotel</v>
      </c>
      <c r="W323" s="1" t="str">
        <f>IF(pilgrims[[#This Row],[packages.second_hotel_name]]="",pilgrims[[#This Row],[packages.first_hotel_check_in]],pilgrims[[#This Row],[packages.second_hotel_check_in]])</f>
        <v>2026-05-21</v>
      </c>
      <c r="X323" s="1" t="str">
        <f>IF(pilgrims[[#This Row],[packages.second_hotel_name]]="",pilgrims[[#This Row],[packages.first_hotel_check_out]],pilgrims[[#This Row],[packages.second_hotel_check_out]])</f>
        <v>2026-05-25</v>
      </c>
      <c r="Y323" s="1" t="s">
        <v>16</v>
      </c>
      <c r="Z323" s="1" t="s">
        <v>261</v>
      </c>
      <c r="AA323" s="1" t="s">
        <v>722</v>
      </c>
      <c r="AB323" s="1" t="s">
        <v>1378</v>
      </c>
      <c r="AC323" s="1" t="s">
        <v>723</v>
      </c>
      <c r="AD323" s="1" t="s">
        <v>1379</v>
      </c>
      <c r="AE323" s="1" t="s">
        <v>1280</v>
      </c>
      <c r="AF323" s="4">
        <v>46160</v>
      </c>
      <c r="AG323" s="5">
        <v>0.79166666666666663</v>
      </c>
      <c r="AH323" s="1" t="s">
        <v>1380</v>
      </c>
      <c r="AI323" s="1" t="s">
        <v>1280</v>
      </c>
      <c r="AJ323" s="4">
        <v>46173</v>
      </c>
      <c r="AK323" s="5">
        <v>7.9861111111111105E-2</v>
      </c>
      <c r="AL323" s="1" t="s">
        <v>215</v>
      </c>
      <c r="AM323" s="1"/>
    </row>
    <row r="324" spans="1:39" x14ac:dyDescent="0.3">
      <c r="A324" s="1">
        <v>847977</v>
      </c>
      <c r="B324" s="1">
        <v>685481</v>
      </c>
      <c r="C324" s="1" t="s">
        <v>1188</v>
      </c>
      <c r="D324" s="38" t="s">
        <v>1841</v>
      </c>
      <c r="E324" s="4">
        <v>19262</v>
      </c>
      <c r="F324" s="1">
        <v>73</v>
      </c>
      <c r="G324" s="1" t="s">
        <v>212</v>
      </c>
      <c r="H324" s="1" t="s">
        <v>1501</v>
      </c>
      <c r="I324" s="1" t="s">
        <v>1501</v>
      </c>
      <c r="J324" s="1">
        <v>8565</v>
      </c>
      <c r="K324" s="1" t="s">
        <v>80</v>
      </c>
      <c r="L324" s="1" t="s">
        <v>8</v>
      </c>
      <c r="M324" s="1" t="s">
        <v>9</v>
      </c>
      <c r="N324" s="1" t="s">
        <v>10</v>
      </c>
      <c r="O324" s="1" t="s">
        <v>216</v>
      </c>
      <c r="P324" s="1" t="s">
        <v>52</v>
      </c>
      <c r="Q324" s="1" t="s">
        <v>8</v>
      </c>
      <c r="R324" s="1" t="s">
        <v>11</v>
      </c>
      <c r="S324" s="1" t="s">
        <v>12</v>
      </c>
      <c r="T324" s="1" t="s">
        <v>53</v>
      </c>
      <c r="U324" s="1" t="s">
        <v>13</v>
      </c>
      <c r="V324" s="1" t="str">
        <f>IF(pilgrims[[#This Row],[packages.second_hotel_name]]="",pilgrims[[#This Row],[packages.first_hotel_name]],pilgrims[[#This Row],[packages.second_hotel_name]])</f>
        <v>Makkah Clock Royal Tower A Fairmont Hotel</v>
      </c>
      <c r="W324" s="1" t="str">
        <f>IF(pilgrims[[#This Row],[packages.second_hotel_name]]="",pilgrims[[#This Row],[packages.first_hotel_check_in]],pilgrims[[#This Row],[packages.second_hotel_check_in]])</f>
        <v>2026-05-31</v>
      </c>
      <c r="X324" s="1" t="str">
        <f>IF(pilgrims[[#This Row],[packages.second_hotel_name]]="",pilgrims[[#This Row],[packages.first_hotel_check_out]],pilgrims[[#This Row],[packages.second_hotel_check_out]])</f>
        <v>2026-06-06</v>
      </c>
      <c r="Y324" s="1" t="s">
        <v>9</v>
      </c>
      <c r="Z324" s="1" t="s">
        <v>214</v>
      </c>
      <c r="AA324" s="1" t="s">
        <v>1212</v>
      </c>
      <c r="AB324" s="1" t="s">
        <v>1212</v>
      </c>
      <c r="AC324" s="1" t="s">
        <v>212</v>
      </c>
      <c r="AD324" s="1" t="s">
        <v>66</v>
      </c>
      <c r="AE324" s="1" t="s">
        <v>1280</v>
      </c>
      <c r="AF324" s="4">
        <v>46164</v>
      </c>
      <c r="AG324" s="5">
        <v>0.57986111111111116</v>
      </c>
      <c r="AH324" s="1" t="s">
        <v>73</v>
      </c>
      <c r="AI324" s="1" t="s">
        <v>1281</v>
      </c>
      <c r="AJ324" s="4">
        <v>46177</v>
      </c>
      <c r="AK324" s="5">
        <v>0.14930555555555555</v>
      </c>
      <c r="AL324" s="1" t="s">
        <v>215</v>
      </c>
      <c r="AM324" s="1"/>
    </row>
    <row r="325" spans="1:39" x14ac:dyDescent="0.3">
      <c r="A325" s="1">
        <v>544832</v>
      </c>
      <c r="B325" s="1">
        <v>431894</v>
      </c>
      <c r="C325" s="1" t="s">
        <v>1189</v>
      </c>
      <c r="D325" s="38" t="s">
        <v>1842</v>
      </c>
      <c r="E325" s="4">
        <v>27036</v>
      </c>
      <c r="F325" s="1">
        <v>52</v>
      </c>
      <c r="G325" s="1" t="s">
        <v>212</v>
      </c>
      <c r="H325" s="1" t="s">
        <v>1505</v>
      </c>
      <c r="I325" s="1" t="s">
        <v>1505</v>
      </c>
      <c r="J325" s="1">
        <v>8529</v>
      </c>
      <c r="K325" s="1" t="s">
        <v>82</v>
      </c>
      <c r="L325" s="1" t="s">
        <v>19</v>
      </c>
      <c r="M325" s="1" t="s">
        <v>13</v>
      </c>
      <c r="N325" s="1" t="s">
        <v>20</v>
      </c>
      <c r="O325" s="1" t="s">
        <v>216</v>
      </c>
      <c r="P325" s="1" t="s">
        <v>53</v>
      </c>
      <c r="Q325" s="1" t="s">
        <v>19</v>
      </c>
      <c r="R325" s="1" t="s">
        <v>8</v>
      </c>
      <c r="S325" s="1" t="s">
        <v>21</v>
      </c>
      <c r="T325" s="1" t="s">
        <v>53</v>
      </c>
      <c r="U325" s="1" t="s">
        <v>8</v>
      </c>
      <c r="V325" s="1" t="str">
        <f>IF(pilgrims[[#This Row],[packages.second_hotel_name]]="",pilgrims[[#This Row],[packages.first_hotel_name]],pilgrims[[#This Row],[packages.second_hotel_name]])</f>
        <v>Swissotel Makkah Hotel</v>
      </c>
      <c r="W325" s="1" t="str">
        <f>IF(pilgrims[[#This Row],[packages.second_hotel_name]]="",pilgrims[[#This Row],[packages.first_hotel_check_in]],pilgrims[[#This Row],[packages.second_hotel_check_in]])</f>
        <v>2026-05-21</v>
      </c>
      <c r="X325" s="1" t="str">
        <f>IF(pilgrims[[#This Row],[packages.second_hotel_name]]="",pilgrims[[#This Row],[packages.first_hotel_check_out]],pilgrims[[#This Row],[packages.second_hotel_check_out]])</f>
        <v>2026-05-25</v>
      </c>
      <c r="Y325" s="1" t="s">
        <v>16</v>
      </c>
      <c r="Z325" s="1" t="s">
        <v>261</v>
      </c>
      <c r="AA325" s="1" t="s">
        <v>722</v>
      </c>
      <c r="AB325" s="1" t="s">
        <v>1378</v>
      </c>
      <c r="AC325" s="1" t="s">
        <v>723</v>
      </c>
      <c r="AD325" s="1" t="s">
        <v>1379</v>
      </c>
      <c r="AE325" s="1" t="s">
        <v>1280</v>
      </c>
      <c r="AF325" s="4">
        <v>46160</v>
      </c>
      <c r="AG325" s="5">
        <v>0.79166666666666663</v>
      </c>
      <c r="AH325" s="1" t="s">
        <v>1380</v>
      </c>
      <c r="AI325" s="1" t="s">
        <v>1280</v>
      </c>
      <c r="AJ325" s="4">
        <v>46173</v>
      </c>
      <c r="AK325" s="5">
        <v>7.9861111111111105E-2</v>
      </c>
      <c r="AL325" s="1" t="s">
        <v>215</v>
      </c>
      <c r="AM325" s="1"/>
    </row>
    <row r="326" spans="1:39" x14ac:dyDescent="0.3">
      <c r="A326" s="1">
        <v>727727</v>
      </c>
      <c r="B326" s="1">
        <v>589574</v>
      </c>
      <c r="C326" s="1" t="s">
        <v>1189</v>
      </c>
      <c r="D326" s="38" t="s">
        <v>1843</v>
      </c>
      <c r="E326" s="4">
        <v>33970</v>
      </c>
      <c r="F326" s="1">
        <v>33</v>
      </c>
      <c r="G326" s="1" t="s">
        <v>212</v>
      </c>
      <c r="H326" s="1" t="s">
        <v>1501</v>
      </c>
      <c r="I326" s="1" t="s">
        <v>1501</v>
      </c>
      <c r="J326" s="1">
        <v>8535</v>
      </c>
      <c r="K326" s="1" t="s">
        <v>86</v>
      </c>
      <c r="L326" s="1" t="s">
        <v>8</v>
      </c>
      <c r="M326" s="1" t="s">
        <v>4</v>
      </c>
      <c r="N326" s="1" t="s">
        <v>12</v>
      </c>
      <c r="O326" s="1" t="s">
        <v>216</v>
      </c>
      <c r="P326" s="1" t="s">
        <v>53</v>
      </c>
      <c r="Q326" s="1" t="s">
        <v>8</v>
      </c>
      <c r="R326" s="1" t="s">
        <v>11</v>
      </c>
      <c r="S326" s="1" t="s">
        <v>20</v>
      </c>
      <c r="T326" s="1" t="s">
        <v>53</v>
      </c>
      <c r="U326" s="1" t="s">
        <v>6</v>
      </c>
      <c r="V326" s="1" t="str">
        <f>IF(pilgrims[[#This Row],[packages.second_hotel_name]]="",pilgrims[[#This Row],[packages.first_hotel_name]],pilgrims[[#This Row],[packages.second_hotel_name]])</f>
        <v>Daral Taqwa Hotel</v>
      </c>
      <c r="W326" s="1" t="str">
        <f>IF(pilgrims[[#This Row],[packages.second_hotel_name]]="",pilgrims[[#This Row],[packages.first_hotel_check_in]],pilgrims[[#This Row],[packages.second_hotel_check_in]])</f>
        <v>2026-05-30</v>
      </c>
      <c r="X326" s="1" t="str">
        <f>IF(pilgrims[[#This Row],[packages.second_hotel_name]]="",pilgrims[[#This Row],[packages.first_hotel_check_out]],pilgrims[[#This Row],[packages.second_hotel_check_out]])</f>
        <v>2026-06-02</v>
      </c>
      <c r="Y326" s="1" t="s">
        <v>4</v>
      </c>
      <c r="Z326" s="1" t="s">
        <v>214</v>
      </c>
      <c r="AA326" s="1" t="s">
        <v>1191</v>
      </c>
      <c r="AB326" s="1" t="s">
        <v>1191</v>
      </c>
      <c r="AC326" s="1" t="s">
        <v>212</v>
      </c>
      <c r="AD326" s="1" t="s">
        <v>57</v>
      </c>
      <c r="AE326" s="1" t="s">
        <v>1280</v>
      </c>
      <c r="AF326" s="4">
        <v>46163</v>
      </c>
      <c r="AG326" s="5">
        <v>0.2361111111111111</v>
      </c>
      <c r="AH326" s="1" t="s">
        <v>76</v>
      </c>
      <c r="AI326" s="1" t="s">
        <v>1281</v>
      </c>
      <c r="AJ326" s="4">
        <v>46175</v>
      </c>
      <c r="AK326" s="5">
        <v>0.93055555555555558</v>
      </c>
      <c r="AL326" s="1" t="s">
        <v>215</v>
      </c>
      <c r="AM326" s="1"/>
    </row>
    <row r="327" spans="1:39" x14ac:dyDescent="0.3">
      <c r="A327" s="1">
        <v>549239</v>
      </c>
      <c r="B327" s="1">
        <v>436151</v>
      </c>
      <c r="C327" s="1" t="s">
        <v>1189</v>
      </c>
      <c r="D327" s="38" t="s">
        <v>1844</v>
      </c>
      <c r="E327" s="4">
        <v>29131</v>
      </c>
      <c r="F327" s="1">
        <v>46</v>
      </c>
      <c r="G327" s="1" t="s">
        <v>212</v>
      </c>
      <c r="H327" s="1" t="s">
        <v>1501</v>
      </c>
      <c r="I327" s="1" t="s">
        <v>1501</v>
      </c>
      <c r="J327" s="1">
        <v>8524</v>
      </c>
      <c r="K327" s="1" t="s">
        <v>85</v>
      </c>
      <c r="L327" s="1" t="s">
        <v>8</v>
      </c>
      <c r="M327" s="1" t="s">
        <v>9</v>
      </c>
      <c r="N327" s="1" t="s">
        <v>5</v>
      </c>
      <c r="O327" s="1" t="s">
        <v>216</v>
      </c>
      <c r="P327" s="1" t="s">
        <v>53</v>
      </c>
      <c r="Q327" s="1" t="s">
        <v>8</v>
      </c>
      <c r="R327" s="1" t="s">
        <v>11</v>
      </c>
      <c r="S327" s="1" t="s">
        <v>15</v>
      </c>
      <c r="T327" s="1" t="s">
        <v>53</v>
      </c>
      <c r="U327" s="1" t="s">
        <v>13</v>
      </c>
      <c r="V327" s="1" t="str">
        <f>IF(pilgrims[[#This Row],[packages.second_hotel_name]]="",pilgrims[[#This Row],[packages.first_hotel_name]],pilgrims[[#This Row],[packages.second_hotel_name]])</f>
        <v>Swissotel Al Maqam Makkah</v>
      </c>
      <c r="W327" s="1" t="str">
        <f>IF(pilgrims[[#This Row],[packages.second_hotel_name]]="",pilgrims[[#This Row],[packages.first_hotel_check_in]],pilgrims[[#This Row],[packages.second_hotel_check_in]])</f>
        <v>2026-05-31</v>
      </c>
      <c r="X327" s="1" t="str">
        <f>IF(pilgrims[[#This Row],[packages.second_hotel_name]]="",pilgrims[[#This Row],[packages.first_hotel_check_out]],pilgrims[[#This Row],[packages.second_hotel_check_out]])</f>
        <v>2026-06-06</v>
      </c>
      <c r="Y327" s="1" t="s">
        <v>9</v>
      </c>
      <c r="Z327" s="1" t="s">
        <v>261</v>
      </c>
      <c r="AA327" s="1" t="s">
        <v>727</v>
      </c>
      <c r="AB327" s="1" t="s">
        <v>1404</v>
      </c>
      <c r="AC327" s="1" t="s">
        <v>728</v>
      </c>
      <c r="AD327" s="1" t="s">
        <v>1340</v>
      </c>
      <c r="AE327" s="1" t="s">
        <v>1281</v>
      </c>
      <c r="AF327" s="4">
        <v>46163</v>
      </c>
      <c r="AG327" s="5">
        <v>0.13541666666666666</v>
      </c>
      <c r="AH327" s="1" t="s">
        <v>1341</v>
      </c>
      <c r="AI327" s="1" t="s">
        <v>1280</v>
      </c>
      <c r="AJ327" s="4">
        <v>46179</v>
      </c>
      <c r="AK327" s="5">
        <v>0.2013888888888889</v>
      </c>
      <c r="AL327" s="1" t="s">
        <v>215</v>
      </c>
      <c r="AM327" s="1"/>
    </row>
    <row r="328" spans="1:39" x14ac:dyDescent="0.3">
      <c r="A328" s="1">
        <v>34512</v>
      </c>
      <c r="B328" s="1">
        <v>30252</v>
      </c>
      <c r="C328" s="1" t="s">
        <v>1188</v>
      </c>
      <c r="D328" s="38" t="s">
        <v>1845</v>
      </c>
      <c r="E328" s="4">
        <v>32142</v>
      </c>
      <c r="F328" s="1">
        <v>38</v>
      </c>
      <c r="G328" s="1" t="s">
        <v>212</v>
      </c>
      <c r="H328" s="1" t="s">
        <v>1501</v>
      </c>
      <c r="I328" s="1" t="s">
        <v>1501</v>
      </c>
      <c r="J328" s="1">
        <v>8537</v>
      </c>
      <c r="K328" s="1" t="s">
        <v>87</v>
      </c>
      <c r="L328" s="1" t="s">
        <v>8</v>
      </c>
      <c r="M328" s="1" t="s">
        <v>4</v>
      </c>
      <c r="N328" s="1" t="s">
        <v>21</v>
      </c>
      <c r="O328" s="1" t="s">
        <v>216</v>
      </c>
      <c r="P328" s="1" t="s">
        <v>53</v>
      </c>
      <c r="Q328" s="1" t="s">
        <v>8</v>
      </c>
      <c r="R328" s="1" t="s">
        <v>16</v>
      </c>
      <c r="S328" s="1" t="s">
        <v>5</v>
      </c>
      <c r="T328" s="1" t="s">
        <v>53</v>
      </c>
      <c r="U328" s="1" t="s">
        <v>6</v>
      </c>
      <c r="V328" s="1" t="str">
        <f>IF(pilgrims[[#This Row],[packages.second_hotel_name]]="",pilgrims[[#This Row],[packages.first_hotel_name]],pilgrims[[#This Row],[packages.second_hotel_name]])</f>
        <v>Movenpick Anwar Almadinah Hotel</v>
      </c>
      <c r="W328" s="1" t="str">
        <f>IF(pilgrims[[#This Row],[packages.second_hotel_name]]="",pilgrims[[#This Row],[packages.first_hotel_check_in]],pilgrims[[#This Row],[packages.second_hotel_check_in]])</f>
        <v>2026-05-30</v>
      </c>
      <c r="X328" s="1" t="str">
        <f>IF(pilgrims[[#This Row],[packages.second_hotel_name]]="",pilgrims[[#This Row],[packages.first_hotel_check_out]],pilgrims[[#This Row],[packages.second_hotel_check_out]])</f>
        <v>2026-06-02</v>
      </c>
      <c r="Y328" s="1" t="s">
        <v>4</v>
      </c>
      <c r="Z328" s="1" t="s">
        <v>214</v>
      </c>
      <c r="AA328" s="1" t="s">
        <v>1191</v>
      </c>
      <c r="AB328" s="1" t="s">
        <v>1191</v>
      </c>
      <c r="AC328" s="1" t="s">
        <v>212</v>
      </c>
      <c r="AD328" s="1" t="s">
        <v>57</v>
      </c>
      <c r="AE328" s="1" t="s">
        <v>1280</v>
      </c>
      <c r="AF328" s="4">
        <v>46163</v>
      </c>
      <c r="AG328" s="5">
        <v>0.2361111111111111</v>
      </c>
      <c r="AH328" s="1" t="s">
        <v>76</v>
      </c>
      <c r="AI328" s="1" t="s">
        <v>1281</v>
      </c>
      <c r="AJ328" s="4">
        <v>46175</v>
      </c>
      <c r="AK328" s="5">
        <v>0.93055555555555558</v>
      </c>
      <c r="AL328" s="1" t="s">
        <v>215</v>
      </c>
      <c r="AM328" s="1"/>
    </row>
    <row r="329" spans="1:39" x14ac:dyDescent="0.3">
      <c r="A329" s="1">
        <v>825224</v>
      </c>
      <c r="B329" s="1">
        <v>667176</v>
      </c>
      <c r="C329" s="1" t="s">
        <v>1188</v>
      </c>
      <c r="D329" s="38" t="s">
        <v>1846</v>
      </c>
      <c r="E329" s="4">
        <v>18239</v>
      </c>
      <c r="F329" s="1">
        <v>76</v>
      </c>
      <c r="G329" s="1" t="s">
        <v>212</v>
      </c>
      <c r="H329" s="1" t="s">
        <v>1503</v>
      </c>
      <c r="I329" s="1" t="s">
        <v>1503</v>
      </c>
      <c r="J329" s="1">
        <v>8540</v>
      </c>
      <c r="K329" s="1" t="s">
        <v>78</v>
      </c>
      <c r="L329" s="1" t="s">
        <v>8</v>
      </c>
      <c r="M329" s="1" t="s">
        <v>13</v>
      </c>
      <c r="N329" s="1" t="s">
        <v>5</v>
      </c>
      <c r="O329" s="1" t="s">
        <v>216</v>
      </c>
      <c r="P329" s="1" t="s">
        <v>53</v>
      </c>
      <c r="Q329" s="1" t="s">
        <v>8</v>
      </c>
      <c r="R329" s="1" t="s">
        <v>11</v>
      </c>
      <c r="S329" s="1"/>
      <c r="T329" s="1"/>
      <c r="U329" s="1"/>
      <c r="V329" s="1" t="str">
        <f>IF(pilgrims[[#This Row],[packages.second_hotel_name]]="",pilgrims[[#This Row],[packages.first_hotel_name]],pilgrims[[#This Row],[packages.second_hotel_name]])</f>
        <v>Movenpick Anwar Almadinah Hotel</v>
      </c>
      <c r="W329" s="1" t="str">
        <f>IF(pilgrims[[#This Row],[packages.second_hotel_name]]="",pilgrims[[#This Row],[packages.first_hotel_check_in]],pilgrims[[#This Row],[packages.second_hotel_check_in]])</f>
        <v>2026-05-21</v>
      </c>
      <c r="X329" s="1" t="str">
        <f>IF(pilgrims[[#This Row],[packages.second_hotel_name]]="",pilgrims[[#This Row],[packages.first_hotel_check_out]],pilgrims[[#This Row],[packages.second_hotel_check_out]])</f>
        <v>2026-05-24</v>
      </c>
      <c r="Y329" s="1"/>
      <c r="Z329" s="1" t="s">
        <v>214</v>
      </c>
      <c r="AA329" s="1" t="s">
        <v>1205</v>
      </c>
      <c r="AB329" s="1" t="s">
        <v>1205</v>
      </c>
      <c r="AC329" s="1" t="s">
        <v>212</v>
      </c>
      <c r="AD329" s="1" t="s">
        <v>136</v>
      </c>
      <c r="AE329" s="1" t="s">
        <v>1281</v>
      </c>
      <c r="AF329" s="4">
        <v>46163</v>
      </c>
      <c r="AG329" s="5">
        <v>0.1076388888888889</v>
      </c>
      <c r="AH329" s="1" t="s">
        <v>1221</v>
      </c>
      <c r="AI329" s="1" t="s">
        <v>1280</v>
      </c>
      <c r="AJ329" s="4">
        <v>46172</v>
      </c>
      <c r="AK329" s="5">
        <v>0.34027777777777779</v>
      </c>
      <c r="AL329" s="1" t="s">
        <v>215</v>
      </c>
      <c r="AM329" s="1"/>
    </row>
    <row r="330" spans="1:39" x14ac:dyDescent="0.3">
      <c r="A330" s="1">
        <v>825393</v>
      </c>
      <c r="B330" s="1">
        <v>667176</v>
      </c>
      <c r="C330" s="1" t="s">
        <v>1188</v>
      </c>
      <c r="D330" s="38" t="s">
        <v>1847</v>
      </c>
      <c r="E330" s="4">
        <v>28955</v>
      </c>
      <c r="F330" s="1">
        <v>46</v>
      </c>
      <c r="G330" s="1" t="s">
        <v>212</v>
      </c>
      <c r="H330" s="1" t="s">
        <v>1503</v>
      </c>
      <c r="I330" s="1" t="s">
        <v>1503</v>
      </c>
      <c r="J330" s="1">
        <v>8540</v>
      </c>
      <c r="K330" s="1" t="s">
        <v>78</v>
      </c>
      <c r="L330" s="1" t="s">
        <v>8</v>
      </c>
      <c r="M330" s="1" t="s">
        <v>13</v>
      </c>
      <c r="N330" s="1" t="s">
        <v>5</v>
      </c>
      <c r="O330" s="1" t="s">
        <v>216</v>
      </c>
      <c r="P330" s="1" t="s">
        <v>53</v>
      </c>
      <c r="Q330" s="1" t="s">
        <v>8</v>
      </c>
      <c r="R330" s="1" t="s">
        <v>11</v>
      </c>
      <c r="S330" s="1"/>
      <c r="T330" s="1"/>
      <c r="U330" s="1"/>
      <c r="V330" s="1" t="str">
        <f>IF(pilgrims[[#This Row],[packages.second_hotel_name]]="",pilgrims[[#This Row],[packages.first_hotel_name]],pilgrims[[#This Row],[packages.second_hotel_name]])</f>
        <v>Movenpick Anwar Almadinah Hotel</v>
      </c>
      <c r="W330" s="1" t="str">
        <f>IF(pilgrims[[#This Row],[packages.second_hotel_name]]="",pilgrims[[#This Row],[packages.first_hotel_check_in]],pilgrims[[#This Row],[packages.second_hotel_check_in]])</f>
        <v>2026-05-21</v>
      </c>
      <c r="X330" s="1" t="str">
        <f>IF(pilgrims[[#This Row],[packages.second_hotel_name]]="",pilgrims[[#This Row],[packages.first_hotel_check_out]],pilgrims[[#This Row],[packages.second_hotel_check_out]])</f>
        <v>2026-05-24</v>
      </c>
      <c r="Y330" s="1"/>
      <c r="Z330" s="1" t="s">
        <v>214</v>
      </c>
      <c r="AA330" s="1" t="s">
        <v>1205</v>
      </c>
      <c r="AB330" s="1" t="s">
        <v>1205</v>
      </c>
      <c r="AC330" s="1" t="s">
        <v>212</v>
      </c>
      <c r="AD330" s="1" t="s">
        <v>136</v>
      </c>
      <c r="AE330" s="1" t="s">
        <v>1281</v>
      </c>
      <c r="AF330" s="4">
        <v>46163</v>
      </c>
      <c r="AG330" s="5">
        <v>0.1076388888888889</v>
      </c>
      <c r="AH330" s="1" t="s">
        <v>1221</v>
      </c>
      <c r="AI330" s="1" t="s">
        <v>1280</v>
      </c>
      <c r="AJ330" s="4">
        <v>46172</v>
      </c>
      <c r="AK330" s="5">
        <v>0.34027777777777779</v>
      </c>
      <c r="AL330" s="1" t="s">
        <v>215</v>
      </c>
      <c r="AM330" s="1"/>
    </row>
    <row r="331" spans="1:39" x14ac:dyDescent="0.3">
      <c r="A331" s="1">
        <v>825437</v>
      </c>
      <c r="B331" s="1">
        <v>667176</v>
      </c>
      <c r="C331" s="1" t="s">
        <v>1189</v>
      </c>
      <c r="D331" s="38" t="s">
        <v>1848</v>
      </c>
      <c r="E331" s="4">
        <v>31494</v>
      </c>
      <c r="F331" s="1">
        <v>39</v>
      </c>
      <c r="G331" s="1" t="s">
        <v>212</v>
      </c>
      <c r="H331" s="1" t="s">
        <v>1503</v>
      </c>
      <c r="I331" s="1" t="s">
        <v>1503</v>
      </c>
      <c r="J331" s="1">
        <v>8540</v>
      </c>
      <c r="K331" s="1" t="s">
        <v>78</v>
      </c>
      <c r="L331" s="1" t="s">
        <v>8</v>
      </c>
      <c r="M331" s="1" t="s">
        <v>13</v>
      </c>
      <c r="N331" s="1" t="s">
        <v>5</v>
      </c>
      <c r="O331" s="1" t="s">
        <v>216</v>
      </c>
      <c r="P331" s="1" t="s">
        <v>53</v>
      </c>
      <c r="Q331" s="1" t="s">
        <v>8</v>
      </c>
      <c r="R331" s="1" t="s">
        <v>11</v>
      </c>
      <c r="S331" s="1"/>
      <c r="T331" s="1"/>
      <c r="U331" s="1"/>
      <c r="V331" s="1" t="str">
        <f>IF(pilgrims[[#This Row],[packages.second_hotel_name]]="",pilgrims[[#This Row],[packages.first_hotel_name]],pilgrims[[#This Row],[packages.second_hotel_name]])</f>
        <v>Movenpick Anwar Almadinah Hotel</v>
      </c>
      <c r="W331" s="1" t="str">
        <f>IF(pilgrims[[#This Row],[packages.second_hotel_name]]="",pilgrims[[#This Row],[packages.first_hotel_check_in]],pilgrims[[#This Row],[packages.second_hotel_check_in]])</f>
        <v>2026-05-21</v>
      </c>
      <c r="X331" s="1" t="str">
        <f>IF(pilgrims[[#This Row],[packages.second_hotel_name]]="",pilgrims[[#This Row],[packages.first_hotel_check_out]],pilgrims[[#This Row],[packages.second_hotel_check_out]])</f>
        <v>2026-05-24</v>
      </c>
      <c r="Y331" s="1"/>
      <c r="Z331" s="1" t="s">
        <v>214</v>
      </c>
      <c r="AA331" s="1" t="s">
        <v>1205</v>
      </c>
      <c r="AB331" s="1" t="s">
        <v>1205</v>
      </c>
      <c r="AC331" s="1" t="s">
        <v>212</v>
      </c>
      <c r="AD331" s="1" t="s">
        <v>136</v>
      </c>
      <c r="AE331" s="1" t="s">
        <v>1281</v>
      </c>
      <c r="AF331" s="4">
        <v>46163</v>
      </c>
      <c r="AG331" s="5">
        <v>0.1076388888888889</v>
      </c>
      <c r="AH331" s="1" t="s">
        <v>1221</v>
      </c>
      <c r="AI331" s="1" t="s">
        <v>1280</v>
      </c>
      <c r="AJ331" s="4">
        <v>46172</v>
      </c>
      <c r="AK331" s="5">
        <v>0.34027777777777779</v>
      </c>
      <c r="AL331" s="1" t="s">
        <v>215</v>
      </c>
      <c r="AM331" s="1"/>
    </row>
    <row r="332" spans="1:39" x14ac:dyDescent="0.3">
      <c r="A332" s="1">
        <v>825461</v>
      </c>
      <c r="B332" s="1">
        <v>667176</v>
      </c>
      <c r="C332" s="1" t="s">
        <v>1189</v>
      </c>
      <c r="D332" s="38" t="s">
        <v>1849</v>
      </c>
      <c r="E332" s="4">
        <v>20392</v>
      </c>
      <c r="F332" s="1">
        <v>70</v>
      </c>
      <c r="G332" s="1" t="s">
        <v>212</v>
      </c>
      <c r="H332" s="1" t="s">
        <v>1503</v>
      </c>
      <c r="I332" s="1" t="s">
        <v>1503</v>
      </c>
      <c r="J332" s="1">
        <v>8540</v>
      </c>
      <c r="K332" s="1" t="s">
        <v>78</v>
      </c>
      <c r="L332" s="1" t="s">
        <v>8</v>
      </c>
      <c r="M332" s="1" t="s">
        <v>13</v>
      </c>
      <c r="N332" s="1" t="s">
        <v>5</v>
      </c>
      <c r="O332" s="1" t="s">
        <v>216</v>
      </c>
      <c r="P332" s="1" t="s">
        <v>53</v>
      </c>
      <c r="Q332" s="1" t="s">
        <v>8</v>
      </c>
      <c r="R332" s="1" t="s">
        <v>11</v>
      </c>
      <c r="S332" s="1"/>
      <c r="T332" s="1"/>
      <c r="U332" s="1"/>
      <c r="V332" s="1" t="str">
        <f>IF(pilgrims[[#This Row],[packages.second_hotel_name]]="",pilgrims[[#This Row],[packages.first_hotel_name]],pilgrims[[#This Row],[packages.second_hotel_name]])</f>
        <v>Movenpick Anwar Almadinah Hotel</v>
      </c>
      <c r="W332" s="1" t="str">
        <f>IF(pilgrims[[#This Row],[packages.second_hotel_name]]="",pilgrims[[#This Row],[packages.first_hotel_check_in]],pilgrims[[#This Row],[packages.second_hotel_check_in]])</f>
        <v>2026-05-21</v>
      </c>
      <c r="X332" s="1" t="str">
        <f>IF(pilgrims[[#This Row],[packages.second_hotel_name]]="",pilgrims[[#This Row],[packages.first_hotel_check_out]],pilgrims[[#This Row],[packages.second_hotel_check_out]])</f>
        <v>2026-05-24</v>
      </c>
      <c r="Y332" s="1"/>
      <c r="Z332" s="1" t="s">
        <v>214</v>
      </c>
      <c r="AA332" s="1" t="s">
        <v>1205</v>
      </c>
      <c r="AB332" s="1" t="s">
        <v>1205</v>
      </c>
      <c r="AC332" s="1" t="s">
        <v>212</v>
      </c>
      <c r="AD332" s="1" t="s">
        <v>136</v>
      </c>
      <c r="AE332" s="1" t="s">
        <v>1281</v>
      </c>
      <c r="AF332" s="4">
        <v>46163</v>
      </c>
      <c r="AG332" s="5">
        <v>0.1076388888888889</v>
      </c>
      <c r="AH332" s="1" t="s">
        <v>1221</v>
      </c>
      <c r="AI332" s="1" t="s">
        <v>1280</v>
      </c>
      <c r="AJ332" s="4">
        <v>46172</v>
      </c>
      <c r="AK332" s="5">
        <v>0.34027777777777779</v>
      </c>
      <c r="AL332" s="1" t="s">
        <v>215</v>
      </c>
      <c r="AM332" s="1"/>
    </row>
    <row r="333" spans="1:39" x14ac:dyDescent="0.3">
      <c r="A333" s="1">
        <v>512957</v>
      </c>
      <c r="B333" s="1">
        <v>405610</v>
      </c>
      <c r="C333" s="1" t="s">
        <v>1188</v>
      </c>
      <c r="D333" s="38" t="s">
        <v>1850</v>
      </c>
      <c r="E333" s="4">
        <v>34620</v>
      </c>
      <c r="F333" s="1">
        <v>31</v>
      </c>
      <c r="G333" s="1" t="s">
        <v>212</v>
      </c>
      <c r="H333" s="1" t="s">
        <v>1501</v>
      </c>
      <c r="I333" s="1" t="s">
        <v>1501</v>
      </c>
      <c r="J333" s="1">
        <v>8524</v>
      </c>
      <c r="K333" s="1" t="s">
        <v>85</v>
      </c>
      <c r="L333" s="1" t="s">
        <v>8</v>
      </c>
      <c r="M333" s="1" t="s">
        <v>9</v>
      </c>
      <c r="N333" s="1" t="s">
        <v>5</v>
      </c>
      <c r="O333" s="1" t="s">
        <v>216</v>
      </c>
      <c r="P333" s="1" t="s">
        <v>53</v>
      </c>
      <c r="Q333" s="1" t="s">
        <v>8</v>
      </c>
      <c r="R333" s="1" t="s">
        <v>11</v>
      </c>
      <c r="S333" s="1" t="s">
        <v>15</v>
      </c>
      <c r="T333" s="1" t="s">
        <v>53</v>
      </c>
      <c r="U333" s="1" t="s">
        <v>13</v>
      </c>
      <c r="V333" s="1" t="str">
        <f>IF(pilgrims[[#This Row],[packages.second_hotel_name]]="",pilgrims[[#This Row],[packages.first_hotel_name]],pilgrims[[#This Row],[packages.second_hotel_name]])</f>
        <v>Swissotel Al Maqam Makkah</v>
      </c>
      <c r="W333" s="1" t="str">
        <f>IF(pilgrims[[#This Row],[packages.second_hotel_name]]="",pilgrims[[#This Row],[packages.first_hotel_check_in]],pilgrims[[#This Row],[packages.second_hotel_check_in]])</f>
        <v>2026-05-31</v>
      </c>
      <c r="X333" s="1" t="str">
        <f>IF(pilgrims[[#This Row],[packages.second_hotel_name]]="",pilgrims[[#This Row],[packages.first_hotel_check_out]],pilgrims[[#This Row],[packages.second_hotel_check_out]])</f>
        <v>2026-06-06</v>
      </c>
      <c r="Y333" s="1" t="s">
        <v>9</v>
      </c>
      <c r="Z333" s="1" t="s">
        <v>214</v>
      </c>
      <c r="AA333" s="1" t="s">
        <v>1200</v>
      </c>
      <c r="AB333" s="1" t="s">
        <v>1200</v>
      </c>
      <c r="AC333" s="1" t="s">
        <v>212</v>
      </c>
      <c r="AD333" s="1" t="s">
        <v>69</v>
      </c>
      <c r="AE333" s="1" t="s">
        <v>1280</v>
      </c>
      <c r="AF333" s="4">
        <v>46164</v>
      </c>
      <c r="AG333" s="5">
        <v>0.93055555555555558</v>
      </c>
      <c r="AH333" s="1" t="s">
        <v>72</v>
      </c>
      <c r="AI333" s="1" t="s">
        <v>1281</v>
      </c>
      <c r="AJ333" s="4">
        <v>46177</v>
      </c>
      <c r="AK333" s="5">
        <v>0.25347222222222221</v>
      </c>
      <c r="AL333" s="1" t="s">
        <v>215</v>
      </c>
      <c r="AM333" s="1"/>
    </row>
    <row r="334" spans="1:39" x14ac:dyDescent="0.3">
      <c r="A334" s="1">
        <v>120872</v>
      </c>
      <c r="B334" s="1">
        <v>93302</v>
      </c>
      <c r="C334" s="1" t="s">
        <v>1188</v>
      </c>
      <c r="D334" s="38" t="s">
        <v>1851</v>
      </c>
      <c r="E334" s="4">
        <v>27226</v>
      </c>
      <c r="F334" s="1">
        <v>51</v>
      </c>
      <c r="G334" s="1" t="s">
        <v>212</v>
      </c>
      <c r="H334" s="1" t="s">
        <v>1502</v>
      </c>
      <c r="I334" s="1" t="s">
        <v>1502</v>
      </c>
      <c r="J334" s="1">
        <v>8728</v>
      </c>
      <c r="K334" s="1" t="s">
        <v>97</v>
      </c>
      <c r="L334" s="1" t="s">
        <v>8</v>
      </c>
      <c r="M334" s="1" t="s">
        <v>4</v>
      </c>
      <c r="N334" s="1" t="s">
        <v>12</v>
      </c>
      <c r="O334" s="1" t="s">
        <v>216</v>
      </c>
      <c r="P334" s="1" t="s">
        <v>53</v>
      </c>
      <c r="Q334" s="1" t="s">
        <v>8</v>
      </c>
      <c r="R334" s="1" t="s">
        <v>16</v>
      </c>
      <c r="S334" s="1" t="s">
        <v>28</v>
      </c>
      <c r="T334" s="1" t="s">
        <v>52</v>
      </c>
      <c r="U334" s="1" t="s">
        <v>6</v>
      </c>
      <c r="V334" s="1" t="str">
        <f>IF(pilgrims[[#This Row],[packages.second_hotel_name]]="",pilgrims[[#This Row],[packages.first_hotel_name]],pilgrims[[#This Row],[packages.second_hotel_name]])</f>
        <v>Madinah Hilton Hotel</v>
      </c>
      <c r="W334" s="1" t="str">
        <f>IF(pilgrims[[#This Row],[packages.second_hotel_name]]="",pilgrims[[#This Row],[packages.first_hotel_check_in]],pilgrims[[#This Row],[packages.second_hotel_check_in]])</f>
        <v>2026-05-30</v>
      </c>
      <c r="X334" s="1" t="str">
        <f>IF(pilgrims[[#This Row],[packages.second_hotel_name]]="",pilgrims[[#This Row],[packages.first_hotel_check_out]],pilgrims[[#This Row],[packages.second_hotel_check_out]])</f>
        <v>2026-06-02</v>
      </c>
      <c r="Y334" s="1" t="s">
        <v>4</v>
      </c>
      <c r="Z334" s="1" t="s">
        <v>261</v>
      </c>
      <c r="AA334" s="1" t="s">
        <v>739</v>
      </c>
      <c r="AB334" s="1" t="s">
        <v>1409</v>
      </c>
      <c r="AC334" s="1" t="s">
        <v>740</v>
      </c>
      <c r="AD334" s="1" t="s">
        <v>1400</v>
      </c>
      <c r="AE334" s="1" t="s">
        <v>1280</v>
      </c>
      <c r="AF334" s="4">
        <v>46163</v>
      </c>
      <c r="AG334" s="5">
        <v>0.95486111111111116</v>
      </c>
      <c r="AH334" s="1" t="s">
        <v>1359</v>
      </c>
      <c r="AI334" s="1" t="s">
        <v>1280</v>
      </c>
      <c r="AJ334" s="4">
        <v>46175</v>
      </c>
      <c r="AK334" s="5">
        <v>0.41666666666666669</v>
      </c>
      <c r="AL334" s="1" t="s">
        <v>215</v>
      </c>
      <c r="AM334" s="1" t="b">
        <v>1</v>
      </c>
    </row>
    <row r="335" spans="1:39" x14ac:dyDescent="0.3">
      <c r="A335" s="1">
        <v>337818</v>
      </c>
      <c r="B335" s="1">
        <v>266372</v>
      </c>
      <c r="C335" s="1" t="s">
        <v>1189</v>
      </c>
      <c r="D335" s="38" t="s">
        <v>1852</v>
      </c>
      <c r="E335" s="4">
        <v>31876</v>
      </c>
      <c r="F335" s="1">
        <v>38</v>
      </c>
      <c r="G335" s="1" t="s">
        <v>212</v>
      </c>
      <c r="H335" s="1" t="s">
        <v>1501</v>
      </c>
      <c r="I335" s="1" t="s">
        <v>1501</v>
      </c>
      <c r="J335" s="1">
        <v>8524</v>
      </c>
      <c r="K335" s="1" t="s">
        <v>85</v>
      </c>
      <c r="L335" s="1" t="s">
        <v>8</v>
      </c>
      <c r="M335" s="1" t="s">
        <v>9</v>
      </c>
      <c r="N335" s="1" t="s">
        <v>5</v>
      </c>
      <c r="O335" s="1" t="s">
        <v>216</v>
      </c>
      <c r="P335" s="1" t="s">
        <v>53</v>
      </c>
      <c r="Q335" s="1" t="s">
        <v>8</v>
      </c>
      <c r="R335" s="1" t="s">
        <v>11</v>
      </c>
      <c r="S335" s="1" t="s">
        <v>15</v>
      </c>
      <c r="T335" s="1" t="s">
        <v>53</v>
      </c>
      <c r="U335" s="1" t="s">
        <v>13</v>
      </c>
      <c r="V335" s="1" t="str">
        <f>IF(pilgrims[[#This Row],[packages.second_hotel_name]]="",pilgrims[[#This Row],[packages.first_hotel_name]],pilgrims[[#This Row],[packages.second_hotel_name]])</f>
        <v>Swissotel Al Maqam Makkah</v>
      </c>
      <c r="W335" s="1" t="str">
        <f>IF(pilgrims[[#This Row],[packages.second_hotel_name]]="",pilgrims[[#This Row],[packages.first_hotel_check_in]],pilgrims[[#This Row],[packages.second_hotel_check_in]])</f>
        <v>2026-05-31</v>
      </c>
      <c r="X335" s="1" t="str">
        <f>IF(pilgrims[[#This Row],[packages.second_hotel_name]]="",pilgrims[[#This Row],[packages.first_hotel_check_out]],pilgrims[[#This Row],[packages.second_hotel_check_out]])</f>
        <v>2026-06-06</v>
      </c>
      <c r="Y335" s="1" t="s">
        <v>9</v>
      </c>
      <c r="Z335" s="1" t="s">
        <v>214</v>
      </c>
      <c r="AA335" s="1" t="s">
        <v>1212</v>
      </c>
      <c r="AB335" s="1" t="s">
        <v>1212</v>
      </c>
      <c r="AC335" s="1" t="s">
        <v>212</v>
      </c>
      <c r="AD335" s="1" t="s">
        <v>66</v>
      </c>
      <c r="AE335" s="1" t="s">
        <v>1280</v>
      </c>
      <c r="AF335" s="4">
        <v>46164</v>
      </c>
      <c r="AG335" s="5">
        <v>0.57986111111111116</v>
      </c>
      <c r="AH335" s="1" t="s">
        <v>73</v>
      </c>
      <c r="AI335" s="1" t="s">
        <v>1281</v>
      </c>
      <c r="AJ335" s="4">
        <v>46177</v>
      </c>
      <c r="AK335" s="5">
        <v>0.14930555555555555</v>
      </c>
      <c r="AL335" s="1" t="s">
        <v>215</v>
      </c>
      <c r="AM335" s="1"/>
    </row>
    <row r="336" spans="1:39" x14ac:dyDescent="0.3">
      <c r="A336" s="1">
        <v>337825</v>
      </c>
      <c r="B336" s="1">
        <v>266372</v>
      </c>
      <c r="C336" s="1" t="s">
        <v>1188</v>
      </c>
      <c r="D336" s="38" t="s">
        <v>1853</v>
      </c>
      <c r="E336" s="4">
        <v>31895</v>
      </c>
      <c r="F336" s="1">
        <v>38</v>
      </c>
      <c r="G336" s="1" t="s">
        <v>212</v>
      </c>
      <c r="H336" s="1" t="s">
        <v>1501</v>
      </c>
      <c r="I336" s="1" t="s">
        <v>1501</v>
      </c>
      <c r="J336" s="1">
        <v>8524</v>
      </c>
      <c r="K336" s="1" t="s">
        <v>85</v>
      </c>
      <c r="L336" s="1" t="s">
        <v>8</v>
      </c>
      <c r="M336" s="1" t="s">
        <v>9</v>
      </c>
      <c r="N336" s="1" t="s">
        <v>5</v>
      </c>
      <c r="O336" s="1" t="s">
        <v>216</v>
      </c>
      <c r="P336" s="1" t="s">
        <v>53</v>
      </c>
      <c r="Q336" s="1" t="s">
        <v>8</v>
      </c>
      <c r="R336" s="1" t="s">
        <v>11</v>
      </c>
      <c r="S336" s="1" t="s">
        <v>15</v>
      </c>
      <c r="T336" s="1" t="s">
        <v>53</v>
      </c>
      <c r="U336" s="1" t="s">
        <v>13</v>
      </c>
      <c r="V336" s="1" t="str">
        <f>IF(pilgrims[[#This Row],[packages.second_hotel_name]]="",pilgrims[[#This Row],[packages.first_hotel_name]],pilgrims[[#This Row],[packages.second_hotel_name]])</f>
        <v>Swissotel Al Maqam Makkah</v>
      </c>
      <c r="W336" s="1" t="str">
        <f>IF(pilgrims[[#This Row],[packages.second_hotel_name]]="",pilgrims[[#This Row],[packages.first_hotel_check_in]],pilgrims[[#This Row],[packages.second_hotel_check_in]])</f>
        <v>2026-05-31</v>
      </c>
      <c r="X336" s="1" t="str">
        <f>IF(pilgrims[[#This Row],[packages.second_hotel_name]]="",pilgrims[[#This Row],[packages.first_hotel_check_out]],pilgrims[[#This Row],[packages.second_hotel_check_out]])</f>
        <v>2026-06-06</v>
      </c>
      <c r="Y336" s="1" t="s">
        <v>9</v>
      </c>
      <c r="Z336" s="1" t="s">
        <v>214</v>
      </c>
      <c r="AA336" s="1" t="s">
        <v>1212</v>
      </c>
      <c r="AB336" s="1" t="s">
        <v>1212</v>
      </c>
      <c r="AC336" s="1" t="s">
        <v>212</v>
      </c>
      <c r="AD336" s="1" t="s">
        <v>66</v>
      </c>
      <c r="AE336" s="1" t="s">
        <v>1280</v>
      </c>
      <c r="AF336" s="4">
        <v>46164</v>
      </c>
      <c r="AG336" s="5">
        <v>0.57986111111111116</v>
      </c>
      <c r="AH336" s="1" t="s">
        <v>73</v>
      </c>
      <c r="AI336" s="1" t="s">
        <v>1281</v>
      </c>
      <c r="AJ336" s="4">
        <v>46177</v>
      </c>
      <c r="AK336" s="5">
        <v>0.14930555555555555</v>
      </c>
      <c r="AL336" s="1" t="s">
        <v>215</v>
      </c>
      <c r="AM336" s="1"/>
    </row>
    <row r="337" spans="1:39" x14ac:dyDescent="0.3">
      <c r="A337" s="1">
        <v>801042</v>
      </c>
      <c r="B337" s="1">
        <v>656173</v>
      </c>
      <c r="C337" s="1" t="s">
        <v>1189</v>
      </c>
      <c r="D337" s="38" t="s">
        <v>1854</v>
      </c>
      <c r="E337" s="4">
        <v>33211</v>
      </c>
      <c r="F337" s="1">
        <v>35</v>
      </c>
      <c r="G337" s="1" t="s">
        <v>212</v>
      </c>
      <c r="H337" s="1" t="s">
        <v>1501</v>
      </c>
      <c r="I337" s="1" t="s">
        <v>1501</v>
      </c>
      <c r="J337" s="1">
        <v>8531</v>
      </c>
      <c r="K337" s="1" t="s">
        <v>84</v>
      </c>
      <c r="L337" s="1" t="s">
        <v>8</v>
      </c>
      <c r="M337" s="1" t="s">
        <v>9</v>
      </c>
      <c r="N337" s="1" t="s">
        <v>20</v>
      </c>
      <c r="O337" s="1" t="s">
        <v>216</v>
      </c>
      <c r="P337" s="1" t="s">
        <v>53</v>
      </c>
      <c r="Q337" s="1" t="s">
        <v>8</v>
      </c>
      <c r="R337" s="1" t="s">
        <v>11</v>
      </c>
      <c r="S337" s="1" t="s">
        <v>12</v>
      </c>
      <c r="T337" s="1" t="s">
        <v>53</v>
      </c>
      <c r="U337" s="1" t="s">
        <v>13</v>
      </c>
      <c r="V337" s="1" t="str">
        <f>IF(pilgrims[[#This Row],[packages.second_hotel_name]]="",pilgrims[[#This Row],[packages.first_hotel_name]],pilgrims[[#This Row],[packages.second_hotel_name]])</f>
        <v>Makkah Clock Royal Tower A Fairmont Hotel</v>
      </c>
      <c r="W337" s="1" t="str">
        <f>IF(pilgrims[[#This Row],[packages.second_hotel_name]]="",pilgrims[[#This Row],[packages.first_hotel_check_in]],pilgrims[[#This Row],[packages.second_hotel_check_in]])</f>
        <v>2026-05-31</v>
      </c>
      <c r="X337" s="1" t="str">
        <f>IF(pilgrims[[#This Row],[packages.second_hotel_name]]="",pilgrims[[#This Row],[packages.first_hotel_check_out]],pilgrims[[#This Row],[packages.second_hotel_check_out]])</f>
        <v>2026-06-06</v>
      </c>
      <c r="Y337" s="1" t="s">
        <v>9</v>
      </c>
      <c r="Z337" s="1" t="s">
        <v>214</v>
      </c>
      <c r="AA337" s="1" t="s">
        <v>1212</v>
      </c>
      <c r="AB337" s="1" t="s">
        <v>1212</v>
      </c>
      <c r="AC337" s="1" t="s">
        <v>212</v>
      </c>
      <c r="AD337" s="1" t="s">
        <v>66</v>
      </c>
      <c r="AE337" s="1" t="s">
        <v>1280</v>
      </c>
      <c r="AF337" s="4">
        <v>46164</v>
      </c>
      <c r="AG337" s="5">
        <v>0.57986111111111116</v>
      </c>
      <c r="AH337" s="1" t="s">
        <v>73</v>
      </c>
      <c r="AI337" s="1" t="s">
        <v>1281</v>
      </c>
      <c r="AJ337" s="4">
        <v>46177</v>
      </c>
      <c r="AK337" s="5">
        <v>0.14930555555555555</v>
      </c>
      <c r="AL337" s="1" t="s">
        <v>215</v>
      </c>
      <c r="AM337" s="1"/>
    </row>
    <row r="338" spans="1:39" x14ac:dyDescent="0.3">
      <c r="A338" s="1">
        <v>811317</v>
      </c>
      <c r="B338" s="1">
        <v>656173</v>
      </c>
      <c r="C338" s="1" t="s">
        <v>1188</v>
      </c>
      <c r="D338" s="38" t="s">
        <v>1855</v>
      </c>
      <c r="E338" s="4">
        <v>32476</v>
      </c>
      <c r="F338" s="1">
        <v>37</v>
      </c>
      <c r="G338" s="1" t="s">
        <v>212</v>
      </c>
      <c r="H338" s="1" t="s">
        <v>1501</v>
      </c>
      <c r="I338" s="1" t="s">
        <v>1501</v>
      </c>
      <c r="J338" s="1">
        <v>8531</v>
      </c>
      <c r="K338" s="1" t="s">
        <v>84</v>
      </c>
      <c r="L338" s="1" t="s">
        <v>8</v>
      </c>
      <c r="M338" s="1" t="s">
        <v>9</v>
      </c>
      <c r="N338" s="1" t="s">
        <v>20</v>
      </c>
      <c r="O338" s="1" t="s">
        <v>216</v>
      </c>
      <c r="P338" s="1" t="s">
        <v>53</v>
      </c>
      <c r="Q338" s="1" t="s">
        <v>8</v>
      </c>
      <c r="R338" s="1" t="s">
        <v>11</v>
      </c>
      <c r="S338" s="1" t="s">
        <v>12</v>
      </c>
      <c r="T338" s="1" t="s">
        <v>53</v>
      </c>
      <c r="U338" s="1" t="s">
        <v>13</v>
      </c>
      <c r="V338" s="1" t="str">
        <f>IF(pilgrims[[#This Row],[packages.second_hotel_name]]="",pilgrims[[#This Row],[packages.first_hotel_name]],pilgrims[[#This Row],[packages.second_hotel_name]])</f>
        <v>Makkah Clock Royal Tower A Fairmont Hotel</v>
      </c>
      <c r="W338" s="1" t="str">
        <f>IF(pilgrims[[#This Row],[packages.second_hotel_name]]="",pilgrims[[#This Row],[packages.first_hotel_check_in]],pilgrims[[#This Row],[packages.second_hotel_check_in]])</f>
        <v>2026-05-31</v>
      </c>
      <c r="X338" s="1" t="str">
        <f>IF(pilgrims[[#This Row],[packages.second_hotel_name]]="",pilgrims[[#This Row],[packages.first_hotel_check_out]],pilgrims[[#This Row],[packages.second_hotel_check_out]])</f>
        <v>2026-06-06</v>
      </c>
      <c r="Y338" s="1" t="s">
        <v>9</v>
      </c>
      <c r="Z338" s="1" t="s">
        <v>214</v>
      </c>
      <c r="AA338" s="1" t="s">
        <v>1212</v>
      </c>
      <c r="AB338" s="1" t="s">
        <v>1212</v>
      </c>
      <c r="AC338" s="1" t="s">
        <v>212</v>
      </c>
      <c r="AD338" s="1" t="s">
        <v>66</v>
      </c>
      <c r="AE338" s="1" t="s">
        <v>1280</v>
      </c>
      <c r="AF338" s="4">
        <v>46164</v>
      </c>
      <c r="AG338" s="5">
        <v>0.57986111111111116</v>
      </c>
      <c r="AH338" s="1" t="s">
        <v>73</v>
      </c>
      <c r="AI338" s="1" t="s">
        <v>1281</v>
      </c>
      <c r="AJ338" s="4">
        <v>46177</v>
      </c>
      <c r="AK338" s="5">
        <v>0.14930555555555555</v>
      </c>
      <c r="AL338" s="1" t="s">
        <v>215</v>
      </c>
      <c r="AM338" s="1"/>
    </row>
    <row r="339" spans="1:39" x14ac:dyDescent="0.3">
      <c r="A339" s="1">
        <v>334673</v>
      </c>
      <c r="B339" s="1">
        <v>263946</v>
      </c>
      <c r="C339" s="1" t="s">
        <v>1189</v>
      </c>
      <c r="D339" s="38" t="s">
        <v>1856</v>
      </c>
      <c r="E339" s="4">
        <v>31790</v>
      </c>
      <c r="F339" s="1">
        <v>39</v>
      </c>
      <c r="G339" s="1" t="s">
        <v>212</v>
      </c>
      <c r="H339" s="1" t="s">
        <v>1501</v>
      </c>
      <c r="I339" s="1" t="s">
        <v>1501</v>
      </c>
      <c r="J339" s="1">
        <v>8525</v>
      </c>
      <c r="K339" s="1" t="s">
        <v>77</v>
      </c>
      <c r="L339" s="1" t="s">
        <v>19</v>
      </c>
      <c r="M339" s="1" t="s">
        <v>13</v>
      </c>
      <c r="N339" s="1" t="s">
        <v>10</v>
      </c>
      <c r="O339" s="1" t="s">
        <v>216</v>
      </c>
      <c r="P339" s="1" t="s">
        <v>52</v>
      </c>
      <c r="Q339" s="1" t="s">
        <v>19</v>
      </c>
      <c r="R339" s="1" t="s">
        <v>8</v>
      </c>
      <c r="S339" s="1" t="s">
        <v>12</v>
      </c>
      <c r="T339" s="1" t="s">
        <v>53</v>
      </c>
      <c r="U339" s="1" t="s">
        <v>8</v>
      </c>
      <c r="V339" s="1" t="str">
        <f>IF(pilgrims[[#This Row],[packages.second_hotel_name]]="",pilgrims[[#This Row],[packages.first_hotel_name]],pilgrims[[#This Row],[packages.second_hotel_name]])</f>
        <v>Makkah Clock Royal Tower A Fairmont Hotel</v>
      </c>
      <c r="W339" s="1" t="str">
        <f>IF(pilgrims[[#This Row],[packages.second_hotel_name]]="",pilgrims[[#This Row],[packages.first_hotel_check_in]],pilgrims[[#This Row],[packages.second_hotel_check_in]])</f>
        <v>2026-05-21</v>
      </c>
      <c r="X339" s="1" t="str">
        <f>IF(pilgrims[[#This Row],[packages.second_hotel_name]]="",pilgrims[[#This Row],[packages.first_hotel_check_out]],pilgrims[[#This Row],[packages.second_hotel_check_out]])</f>
        <v>2026-05-24</v>
      </c>
      <c r="Y339" s="1" t="s">
        <v>11</v>
      </c>
      <c r="Z339" s="1" t="s">
        <v>214</v>
      </c>
      <c r="AA339" s="1" t="s">
        <v>1190</v>
      </c>
      <c r="AB339" s="1" t="s">
        <v>1190</v>
      </c>
      <c r="AC339" s="1" t="s">
        <v>212</v>
      </c>
      <c r="AD339" s="1" t="s">
        <v>133</v>
      </c>
      <c r="AE339" s="1" t="s">
        <v>1281</v>
      </c>
      <c r="AF339" s="4">
        <v>46160</v>
      </c>
      <c r="AG339" s="5">
        <v>0.3923611111111111</v>
      </c>
      <c r="AH339" s="1" t="s">
        <v>60</v>
      </c>
      <c r="AI339" s="1" t="s">
        <v>1280</v>
      </c>
      <c r="AJ339" s="4">
        <v>46173</v>
      </c>
      <c r="AK339" s="5">
        <v>0.12847222222222221</v>
      </c>
      <c r="AL339" s="1" t="s">
        <v>215</v>
      </c>
      <c r="AM339" s="1"/>
    </row>
    <row r="340" spans="1:39" x14ac:dyDescent="0.3">
      <c r="A340" s="1">
        <v>343966</v>
      </c>
      <c r="B340" s="1">
        <v>263946</v>
      </c>
      <c r="C340" s="1" t="s">
        <v>1189</v>
      </c>
      <c r="D340" s="38" t="s">
        <v>1857</v>
      </c>
      <c r="E340" s="4">
        <v>20900</v>
      </c>
      <c r="F340" s="1">
        <v>68</v>
      </c>
      <c r="G340" s="1" t="s">
        <v>212</v>
      </c>
      <c r="H340" s="1" t="s">
        <v>1501</v>
      </c>
      <c r="I340" s="1" t="s">
        <v>1501</v>
      </c>
      <c r="J340" s="1">
        <v>8525</v>
      </c>
      <c r="K340" s="1" t="s">
        <v>77</v>
      </c>
      <c r="L340" s="1" t="s">
        <v>19</v>
      </c>
      <c r="M340" s="1" t="s">
        <v>13</v>
      </c>
      <c r="N340" s="1" t="s">
        <v>10</v>
      </c>
      <c r="O340" s="1" t="s">
        <v>216</v>
      </c>
      <c r="P340" s="1" t="s">
        <v>52</v>
      </c>
      <c r="Q340" s="1" t="s">
        <v>19</v>
      </c>
      <c r="R340" s="1" t="s">
        <v>8</v>
      </c>
      <c r="S340" s="1" t="s">
        <v>12</v>
      </c>
      <c r="T340" s="1" t="s">
        <v>53</v>
      </c>
      <c r="U340" s="1" t="s">
        <v>8</v>
      </c>
      <c r="V340" s="1" t="str">
        <f>IF(pilgrims[[#This Row],[packages.second_hotel_name]]="",pilgrims[[#This Row],[packages.first_hotel_name]],pilgrims[[#This Row],[packages.second_hotel_name]])</f>
        <v>Makkah Clock Royal Tower A Fairmont Hotel</v>
      </c>
      <c r="W340" s="1" t="str">
        <f>IF(pilgrims[[#This Row],[packages.second_hotel_name]]="",pilgrims[[#This Row],[packages.first_hotel_check_in]],pilgrims[[#This Row],[packages.second_hotel_check_in]])</f>
        <v>2026-05-21</v>
      </c>
      <c r="X340" s="1" t="str">
        <f>IF(pilgrims[[#This Row],[packages.second_hotel_name]]="",pilgrims[[#This Row],[packages.first_hotel_check_out]],pilgrims[[#This Row],[packages.second_hotel_check_out]])</f>
        <v>2026-05-24</v>
      </c>
      <c r="Y340" s="1" t="s">
        <v>11</v>
      </c>
      <c r="Z340" s="1" t="s">
        <v>214</v>
      </c>
      <c r="AA340" s="1" t="s">
        <v>1190</v>
      </c>
      <c r="AB340" s="1" t="s">
        <v>1190</v>
      </c>
      <c r="AC340" s="1" t="s">
        <v>212</v>
      </c>
      <c r="AD340" s="1" t="s">
        <v>133</v>
      </c>
      <c r="AE340" s="1" t="s">
        <v>1281</v>
      </c>
      <c r="AF340" s="4">
        <v>46160</v>
      </c>
      <c r="AG340" s="5">
        <v>0.3923611111111111</v>
      </c>
      <c r="AH340" s="1" t="s">
        <v>60</v>
      </c>
      <c r="AI340" s="1" t="s">
        <v>1280</v>
      </c>
      <c r="AJ340" s="4">
        <v>46173</v>
      </c>
      <c r="AK340" s="5">
        <v>0.12847222222222221</v>
      </c>
      <c r="AL340" s="1" t="s">
        <v>215</v>
      </c>
      <c r="AM340" s="1"/>
    </row>
    <row r="341" spans="1:39" x14ac:dyDescent="0.3">
      <c r="A341" s="1">
        <v>623871</v>
      </c>
      <c r="B341" s="1">
        <v>263946</v>
      </c>
      <c r="C341" s="1" t="s">
        <v>1189</v>
      </c>
      <c r="D341" s="38" t="s">
        <v>1858</v>
      </c>
      <c r="E341" s="4">
        <v>30636</v>
      </c>
      <c r="F341" s="1">
        <v>42</v>
      </c>
      <c r="G341" s="1" t="s">
        <v>212</v>
      </c>
      <c r="H341" s="1" t="s">
        <v>1501</v>
      </c>
      <c r="I341" s="1" t="s">
        <v>1501</v>
      </c>
      <c r="J341" s="1">
        <v>8525</v>
      </c>
      <c r="K341" s="1" t="s">
        <v>77</v>
      </c>
      <c r="L341" s="1" t="s">
        <v>19</v>
      </c>
      <c r="M341" s="1" t="s">
        <v>13</v>
      </c>
      <c r="N341" s="1" t="s">
        <v>10</v>
      </c>
      <c r="O341" s="1" t="s">
        <v>216</v>
      </c>
      <c r="P341" s="1" t="s">
        <v>52</v>
      </c>
      <c r="Q341" s="1" t="s">
        <v>19</v>
      </c>
      <c r="R341" s="1" t="s">
        <v>8</v>
      </c>
      <c r="S341" s="1" t="s">
        <v>12</v>
      </c>
      <c r="T341" s="1" t="s">
        <v>53</v>
      </c>
      <c r="U341" s="1" t="s">
        <v>8</v>
      </c>
      <c r="V341" s="1" t="str">
        <f>IF(pilgrims[[#This Row],[packages.second_hotel_name]]="",pilgrims[[#This Row],[packages.first_hotel_name]],pilgrims[[#This Row],[packages.second_hotel_name]])</f>
        <v>Makkah Clock Royal Tower A Fairmont Hotel</v>
      </c>
      <c r="W341" s="1" t="str">
        <f>IF(pilgrims[[#This Row],[packages.second_hotel_name]]="",pilgrims[[#This Row],[packages.first_hotel_check_in]],pilgrims[[#This Row],[packages.second_hotel_check_in]])</f>
        <v>2026-05-21</v>
      </c>
      <c r="X341" s="1" t="str">
        <f>IF(pilgrims[[#This Row],[packages.second_hotel_name]]="",pilgrims[[#This Row],[packages.first_hotel_check_out]],pilgrims[[#This Row],[packages.second_hotel_check_out]])</f>
        <v>2026-05-24</v>
      </c>
      <c r="Y341" s="1" t="s">
        <v>11</v>
      </c>
      <c r="Z341" s="1" t="s">
        <v>214</v>
      </c>
      <c r="AA341" s="1" t="s">
        <v>1190</v>
      </c>
      <c r="AB341" s="1" t="s">
        <v>1190</v>
      </c>
      <c r="AC341" s="1" t="s">
        <v>212</v>
      </c>
      <c r="AD341" s="1" t="s">
        <v>133</v>
      </c>
      <c r="AE341" s="1" t="s">
        <v>1281</v>
      </c>
      <c r="AF341" s="4">
        <v>46160</v>
      </c>
      <c r="AG341" s="5">
        <v>0.3923611111111111</v>
      </c>
      <c r="AH341" s="1" t="s">
        <v>60</v>
      </c>
      <c r="AI341" s="1" t="s">
        <v>1280</v>
      </c>
      <c r="AJ341" s="4">
        <v>46173</v>
      </c>
      <c r="AK341" s="5">
        <v>0.12847222222222221</v>
      </c>
      <c r="AL341" s="1" t="s">
        <v>215</v>
      </c>
      <c r="AM341" s="1"/>
    </row>
    <row r="342" spans="1:39" x14ac:dyDescent="0.3">
      <c r="A342" s="1">
        <v>886283</v>
      </c>
      <c r="B342" s="1">
        <v>716717</v>
      </c>
      <c r="C342" s="1" t="s">
        <v>1188</v>
      </c>
      <c r="D342" s="38" t="s">
        <v>1859</v>
      </c>
      <c r="E342" s="4">
        <v>33905</v>
      </c>
      <c r="F342" s="1">
        <v>33</v>
      </c>
      <c r="G342" s="1" t="s">
        <v>212</v>
      </c>
      <c r="H342" s="1" t="s">
        <v>1501</v>
      </c>
      <c r="I342" s="1" t="s">
        <v>1501</v>
      </c>
      <c r="J342" s="1">
        <v>8530</v>
      </c>
      <c r="K342" s="1" t="s">
        <v>83</v>
      </c>
      <c r="L342" s="1" t="s">
        <v>19</v>
      </c>
      <c r="M342" s="1" t="s">
        <v>13</v>
      </c>
      <c r="N342" s="1" t="s">
        <v>5</v>
      </c>
      <c r="O342" s="1" t="s">
        <v>216</v>
      </c>
      <c r="P342" s="1" t="s">
        <v>53</v>
      </c>
      <c r="Q342" s="1" t="s">
        <v>19</v>
      </c>
      <c r="R342" s="1" t="s">
        <v>8</v>
      </c>
      <c r="S342" s="1" t="s">
        <v>15</v>
      </c>
      <c r="T342" s="1" t="s">
        <v>53</v>
      </c>
      <c r="U342" s="1" t="s">
        <v>8</v>
      </c>
      <c r="V342" s="1" t="str">
        <f>IF(pilgrims[[#This Row],[packages.second_hotel_name]]="",pilgrims[[#This Row],[packages.first_hotel_name]],pilgrims[[#This Row],[packages.second_hotel_name]])</f>
        <v>Swissotel Al Maqam Makkah</v>
      </c>
      <c r="W342" s="1" t="str">
        <f>IF(pilgrims[[#This Row],[packages.second_hotel_name]]="",pilgrims[[#This Row],[packages.first_hotel_check_in]],pilgrims[[#This Row],[packages.second_hotel_check_in]])</f>
        <v>2026-05-21</v>
      </c>
      <c r="X342" s="1" t="str">
        <f>IF(pilgrims[[#This Row],[packages.second_hotel_name]]="",pilgrims[[#This Row],[packages.first_hotel_check_out]],pilgrims[[#This Row],[packages.second_hotel_check_out]])</f>
        <v>2026-05-25</v>
      </c>
      <c r="Y342" s="1" t="s">
        <v>16</v>
      </c>
      <c r="Z342" s="1" t="s">
        <v>214</v>
      </c>
      <c r="AA342" s="1" t="s">
        <v>1193</v>
      </c>
      <c r="AB342" s="1" t="s">
        <v>1193</v>
      </c>
      <c r="AC342" s="1" t="s">
        <v>212</v>
      </c>
      <c r="AD342" s="1" t="s">
        <v>134</v>
      </c>
      <c r="AE342" s="1" t="s">
        <v>1281</v>
      </c>
      <c r="AF342" s="4">
        <v>46160</v>
      </c>
      <c r="AG342" s="5">
        <v>0.73958333333333337</v>
      </c>
      <c r="AH342" s="1" t="s">
        <v>63</v>
      </c>
      <c r="AI342" s="1" t="s">
        <v>1280</v>
      </c>
      <c r="AJ342" s="4">
        <v>46172</v>
      </c>
      <c r="AK342" s="5">
        <v>0.35069444444444442</v>
      </c>
      <c r="AL342" s="1" t="s">
        <v>215</v>
      </c>
      <c r="AM342" s="1"/>
    </row>
    <row r="343" spans="1:39" x14ac:dyDescent="0.3">
      <c r="A343" s="1">
        <v>867417</v>
      </c>
      <c r="B343" s="1">
        <v>701095</v>
      </c>
      <c r="C343" s="1" t="s">
        <v>1188</v>
      </c>
      <c r="D343" s="38" t="s">
        <v>1860</v>
      </c>
      <c r="E343" s="4">
        <v>33448</v>
      </c>
      <c r="F343" s="1">
        <v>34</v>
      </c>
      <c r="G343" s="1" t="s">
        <v>212</v>
      </c>
      <c r="H343" s="1" t="s">
        <v>1501</v>
      </c>
      <c r="I343" s="1" t="s">
        <v>1501</v>
      </c>
      <c r="J343" s="1">
        <v>8535</v>
      </c>
      <c r="K343" s="1" t="s">
        <v>86</v>
      </c>
      <c r="L343" s="1" t="s">
        <v>8</v>
      </c>
      <c r="M343" s="1" t="s">
        <v>4</v>
      </c>
      <c r="N343" s="1" t="s">
        <v>12</v>
      </c>
      <c r="O343" s="1" t="s">
        <v>216</v>
      </c>
      <c r="P343" s="1" t="s">
        <v>53</v>
      </c>
      <c r="Q343" s="1" t="s">
        <v>8</v>
      </c>
      <c r="R343" s="1" t="s">
        <v>11</v>
      </c>
      <c r="S343" s="1" t="s">
        <v>20</v>
      </c>
      <c r="T343" s="1" t="s">
        <v>53</v>
      </c>
      <c r="U343" s="1" t="s">
        <v>6</v>
      </c>
      <c r="V343" s="1" t="str">
        <f>IF(pilgrims[[#This Row],[packages.second_hotel_name]]="",pilgrims[[#This Row],[packages.first_hotel_name]],pilgrims[[#This Row],[packages.second_hotel_name]])</f>
        <v>Daral Taqwa Hotel</v>
      </c>
      <c r="W343" s="1" t="str">
        <f>IF(pilgrims[[#This Row],[packages.second_hotel_name]]="",pilgrims[[#This Row],[packages.first_hotel_check_in]],pilgrims[[#This Row],[packages.second_hotel_check_in]])</f>
        <v>2026-05-30</v>
      </c>
      <c r="X343" s="1" t="str">
        <f>IF(pilgrims[[#This Row],[packages.second_hotel_name]]="",pilgrims[[#This Row],[packages.first_hotel_check_out]],pilgrims[[#This Row],[packages.second_hotel_check_out]])</f>
        <v>2026-06-02</v>
      </c>
      <c r="Y343" s="1" t="s">
        <v>4</v>
      </c>
      <c r="Z343" s="1" t="s">
        <v>214</v>
      </c>
      <c r="AA343" s="1" t="s">
        <v>1191</v>
      </c>
      <c r="AB343" s="1" t="s">
        <v>1191</v>
      </c>
      <c r="AC343" s="1" t="s">
        <v>212</v>
      </c>
      <c r="AD343" s="1" t="s">
        <v>57</v>
      </c>
      <c r="AE343" s="1" t="s">
        <v>1280</v>
      </c>
      <c r="AF343" s="4">
        <v>46163</v>
      </c>
      <c r="AG343" s="5">
        <v>0.2361111111111111</v>
      </c>
      <c r="AH343" s="1" t="s">
        <v>76</v>
      </c>
      <c r="AI343" s="1" t="s">
        <v>1281</v>
      </c>
      <c r="AJ343" s="4">
        <v>46175</v>
      </c>
      <c r="AK343" s="5">
        <v>0.93055555555555558</v>
      </c>
      <c r="AL343" s="1" t="s">
        <v>215</v>
      </c>
      <c r="AM343" s="1"/>
    </row>
    <row r="344" spans="1:39" x14ac:dyDescent="0.3">
      <c r="A344" s="1">
        <v>877091</v>
      </c>
      <c r="B344" s="1">
        <v>701095</v>
      </c>
      <c r="C344" s="1" t="s">
        <v>1189</v>
      </c>
      <c r="D344" s="38" t="s">
        <v>1861</v>
      </c>
      <c r="E344" s="4">
        <v>33241</v>
      </c>
      <c r="F344" s="1">
        <v>35</v>
      </c>
      <c r="G344" s="1" t="s">
        <v>212</v>
      </c>
      <c r="H344" s="1" t="s">
        <v>1501</v>
      </c>
      <c r="I344" s="1" t="s">
        <v>1501</v>
      </c>
      <c r="J344" s="1">
        <v>8535</v>
      </c>
      <c r="K344" s="1" t="s">
        <v>86</v>
      </c>
      <c r="L344" s="1" t="s">
        <v>8</v>
      </c>
      <c r="M344" s="1" t="s">
        <v>4</v>
      </c>
      <c r="N344" s="1" t="s">
        <v>12</v>
      </c>
      <c r="O344" s="1" t="s">
        <v>216</v>
      </c>
      <c r="P344" s="1" t="s">
        <v>53</v>
      </c>
      <c r="Q344" s="1" t="s">
        <v>8</v>
      </c>
      <c r="R344" s="1" t="s">
        <v>11</v>
      </c>
      <c r="S344" s="1" t="s">
        <v>20</v>
      </c>
      <c r="T344" s="1" t="s">
        <v>53</v>
      </c>
      <c r="U344" s="1" t="s">
        <v>6</v>
      </c>
      <c r="V344" s="1" t="str">
        <f>IF(pilgrims[[#This Row],[packages.second_hotel_name]]="",pilgrims[[#This Row],[packages.first_hotel_name]],pilgrims[[#This Row],[packages.second_hotel_name]])</f>
        <v>Daral Taqwa Hotel</v>
      </c>
      <c r="W344" s="1" t="str">
        <f>IF(pilgrims[[#This Row],[packages.second_hotel_name]]="",pilgrims[[#This Row],[packages.first_hotel_check_in]],pilgrims[[#This Row],[packages.second_hotel_check_in]])</f>
        <v>2026-05-30</v>
      </c>
      <c r="X344" s="1" t="str">
        <f>IF(pilgrims[[#This Row],[packages.second_hotel_name]]="",pilgrims[[#This Row],[packages.first_hotel_check_out]],pilgrims[[#This Row],[packages.second_hotel_check_out]])</f>
        <v>2026-06-02</v>
      </c>
      <c r="Y344" s="1" t="s">
        <v>4</v>
      </c>
      <c r="Z344" s="1" t="s">
        <v>214</v>
      </c>
      <c r="AA344" s="1" t="s">
        <v>1191</v>
      </c>
      <c r="AB344" s="1" t="s">
        <v>1191</v>
      </c>
      <c r="AC344" s="1" t="s">
        <v>212</v>
      </c>
      <c r="AD344" s="1" t="s">
        <v>57</v>
      </c>
      <c r="AE344" s="1" t="s">
        <v>1280</v>
      </c>
      <c r="AF344" s="4">
        <v>46163</v>
      </c>
      <c r="AG344" s="5">
        <v>0.2361111111111111</v>
      </c>
      <c r="AH344" s="1" t="s">
        <v>76</v>
      </c>
      <c r="AI344" s="1" t="s">
        <v>1281</v>
      </c>
      <c r="AJ344" s="4">
        <v>46175</v>
      </c>
      <c r="AK344" s="5">
        <v>0.93055555555555558</v>
      </c>
      <c r="AL344" s="1" t="s">
        <v>215</v>
      </c>
      <c r="AM344" s="1"/>
    </row>
    <row r="345" spans="1:39" x14ac:dyDescent="0.3">
      <c r="A345" s="1">
        <v>369335</v>
      </c>
      <c r="B345" s="1">
        <v>577480</v>
      </c>
      <c r="C345" s="1" t="s">
        <v>1189</v>
      </c>
      <c r="D345" s="38" t="s">
        <v>1862</v>
      </c>
      <c r="E345" s="4">
        <v>27255</v>
      </c>
      <c r="F345" s="1">
        <v>51</v>
      </c>
      <c r="G345" s="1" t="s">
        <v>212</v>
      </c>
      <c r="H345" s="1" t="s">
        <v>1501</v>
      </c>
      <c r="I345" s="1" t="s">
        <v>1501</v>
      </c>
      <c r="J345" s="1">
        <v>8535</v>
      </c>
      <c r="K345" s="1" t="s">
        <v>86</v>
      </c>
      <c r="L345" s="1" t="s">
        <v>8</v>
      </c>
      <c r="M345" s="1" t="s">
        <v>4</v>
      </c>
      <c r="N345" s="1" t="s">
        <v>12</v>
      </c>
      <c r="O345" s="1" t="s">
        <v>216</v>
      </c>
      <c r="P345" s="1" t="s">
        <v>53</v>
      </c>
      <c r="Q345" s="1" t="s">
        <v>8</v>
      </c>
      <c r="R345" s="1" t="s">
        <v>11</v>
      </c>
      <c r="S345" s="1" t="s">
        <v>20</v>
      </c>
      <c r="T345" s="1" t="s">
        <v>53</v>
      </c>
      <c r="U345" s="1" t="s">
        <v>6</v>
      </c>
      <c r="V345" s="1" t="str">
        <f>IF(pilgrims[[#This Row],[packages.second_hotel_name]]="",pilgrims[[#This Row],[packages.first_hotel_name]],pilgrims[[#This Row],[packages.second_hotel_name]])</f>
        <v>Daral Taqwa Hotel</v>
      </c>
      <c r="W345" s="1" t="str">
        <f>IF(pilgrims[[#This Row],[packages.second_hotel_name]]="",pilgrims[[#This Row],[packages.first_hotel_check_in]],pilgrims[[#This Row],[packages.second_hotel_check_in]])</f>
        <v>2026-05-30</v>
      </c>
      <c r="X345" s="1" t="str">
        <f>IF(pilgrims[[#This Row],[packages.second_hotel_name]]="",pilgrims[[#This Row],[packages.first_hotel_check_out]],pilgrims[[#This Row],[packages.second_hotel_check_out]])</f>
        <v>2026-06-02</v>
      </c>
      <c r="Y345" s="1" t="s">
        <v>4</v>
      </c>
      <c r="Z345" s="1" t="s">
        <v>214</v>
      </c>
      <c r="AA345" s="1" t="s">
        <v>1191</v>
      </c>
      <c r="AB345" s="1" t="s">
        <v>1191</v>
      </c>
      <c r="AC345" s="1" t="s">
        <v>212</v>
      </c>
      <c r="AD345" s="1" t="s">
        <v>57</v>
      </c>
      <c r="AE345" s="1" t="s">
        <v>1280</v>
      </c>
      <c r="AF345" s="4">
        <v>46163</v>
      </c>
      <c r="AG345" s="5">
        <v>0.2361111111111111</v>
      </c>
      <c r="AH345" s="1" t="s">
        <v>76</v>
      </c>
      <c r="AI345" s="1" t="s">
        <v>1281</v>
      </c>
      <c r="AJ345" s="4">
        <v>46175</v>
      </c>
      <c r="AK345" s="5">
        <v>0.93055555555555558</v>
      </c>
      <c r="AL345" s="1" t="s">
        <v>215</v>
      </c>
      <c r="AM345" s="1"/>
    </row>
    <row r="346" spans="1:39" x14ac:dyDescent="0.3">
      <c r="A346" s="1">
        <v>375321</v>
      </c>
      <c r="B346" s="1">
        <v>577480</v>
      </c>
      <c r="C346" s="1" t="s">
        <v>1189</v>
      </c>
      <c r="D346" s="38" t="s">
        <v>1863</v>
      </c>
      <c r="E346" s="4">
        <v>39938</v>
      </c>
      <c r="F346" s="1">
        <v>16</v>
      </c>
      <c r="G346" s="1" t="s">
        <v>212</v>
      </c>
      <c r="H346" s="1" t="s">
        <v>1501</v>
      </c>
      <c r="I346" s="1" t="s">
        <v>1501</v>
      </c>
      <c r="J346" s="1">
        <v>8535</v>
      </c>
      <c r="K346" s="1" t="s">
        <v>86</v>
      </c>
      <c r="L346" s="1" t="s">
        <v>8</v>
      </c>
      <c r="M346" s="1" t="s">
        <v>4</v>
      </c>
      <c r="N346" s="1" t="s">
        <v>12</v>
      </c>
      <c r="O346" s="1" t="s">
        <v>216</v>
      </c>
      <c r="P346" s="1" t="s">
        <v>53</v>
      </c>
      <c r="Q346" s="1" t="s">
        <v>8</v>
      </c>
      <c r="R346" s="1" t="s">
        <v>11</v>
      </c>
      <c r="S346" s="1" t="s">
        <v>20</v>
      </c>
      <c r="T346" s="1" t="s">
        <v>53</v>
      </c>
      <c r="U346" s="1" t="s">
        <v>6</v>
      </c>
      <c r="V346" s="1" t="str">
        <f>IF(pilgrims[[#This Row],[packages.second_hotel_name]]="",pilgrims[[#This Row],[packages.first_hotel_name]],pilgrims[[#This Row],[packages.second_hotel_name]])</f>
        <v>Daral Taqwa Hotel</v>
      </c>
      <c r="W346" s="1" t="str">
        <f>IF(pilgrims[[#This Row],[packages.second_hotel_name]]="",pilgrims[[#This Row],[packages.first_hotel_check_in]],pilgrims[[#This Row],[packages.second_hotel_check_in]])</f>
        <v>2026-05-30</v>
      </c>
      <c r="X346" s="1" t="str">
        <f>IF(pilgrims[[#This Row],[packages.second_hotel_name]]="",pilgrims[[#This Row],[packages.first_hotel_check_out]],pilgrims[[#This Row],[packages.second_hotel_check_out]])</f>
        <v>2026-06-02</v>
      </c>
      <c r="Y346" s="1" t="s">
        <v>4</v>
      </c>
      <c r="Z346" s="1" t="s">
        <v>214</v>
      </c>
      <c r="AA346" s="1" t="s">
        <v>1191</v>
      </c>
      <c r="AB346" s="1" t="s">
        <v>1191</v>
      </c>
      <c r="AC346" s="1" t="s">
        <v>212</v>
      </c>
      <c r="AD346" s="1" t="s">
        <v>57</v>
      </c>
      <c r="AE346" s="1" t="s">
        <v>1280</v>
      </c>
      <c r="AF346" s="4">
        <v>46163</v>
      </c>
      <c r="AG346" s="5">
        <v>0.2361111111111111</v>
      </c>
      <c r="AH346" s="1" t="s">
        <v>76</v>
      </c>
      <c r="AI346" s="1" t="s">
        <v>1281</v>
      </c>
      <c r="AJ346" s="4">
        <v>46175</v>
      </c>
      <c r="AK346" s="5">
        <v>0.93055555555555558</v>
      </c>
      <c r="AL346" s="1" t="s">
        <v>215</v>
      </c>
      <c r="AM346" s="1"/>
    </row>
    <row r="347" spans="1:39" x14ac:dyDescent="0.3">
      <c r="A347" s="1">
        <v>717283</v>
      </c>
      <c r="B347" s="1">
        <v>581956</v>
      </c>
      <c r="C347" s="1" t="s">
        <v>1188</v>
      </c>
      <c r="D347" s="38" t="s">
        <v>1864</v>
      </c>
      <c r="E347" s="4">
        <v>32245</v>
      </c>
      <c r="F347" s="1">
        <v>37</v>
      </c>
      <c r="G347" s="1" t="s">
        <v>212</v>
      </c>
      <c r="H347" s="1" t="s">
        <v>1501</v>
      </c>
      <c r="I347" s="1" t="s">
        <v>1501</v>
      </c>
      <c r="J347" s="1">
        <v>8537</v>
      </c>
      <c r="K347" s="1" t="s">
        <v>87</v>
      </c>
      <c r="L347" s="1" t="s">
        <v>8</v>
      </c>
      <c r="M347" s="1" t="s">
        <v>4</v>
      </c>
      <c r="N347" s="1" t="s">
        <v>21</v>
      </c>
      <c r="O347" s="1" t="s">
        <v>216</v>
      </c>
      <c r="P347" s="1" t="s">
        <v>53</v>
      </c>
      <c r="Q347" s="1" t="s">
        <v>8</v>
      </c>
      <c r="R347" s="1" t="s">
        <v>16</v>
      </c>
      <c r="S347" s="1" t="s">
        <v>5</v>
      </c>
      <c r="T347" s="1" t="s">
        <v>53</v>
      </c>
      <c r="U347" s="1" t="s">
        <v>6</v>
      </c>
      <c r="V347" s="1" t="str">
        <f>IF(pilgrims[[#This Row],[packages.second_hotel_name]]="",pilgrims[[#This Row],[packages.first_hotel_name]],pilgrims[[#This Row],[packages.second_hotel_name]])</f>
        <v>Movenpick Anwar Almadinah Hotel</v>
      </c>
      <c r="W347" s="1" t="str">
        <f>IF(pilgrims[[#This Row],[packages.second_hotel_name]]="",pilgrims[[#This Row],[packages.first_hotel_check_in]],pilgrims[[#This Row],[packages.second_hotel_check_in]])</f>
        <v>2026-05-30</v>
      </c>
      <c r="X347" s="1" t="str">
        <f>IF(pilgrims[[#This Row],[packages.second_hotel_name]]="",pilgrims[[#This Row],[packages.first_hotel_check_out]],pilgrims[[#This Row],[packages.second_hotel_check_out]])</f>
        <v>2026-06-02</v>
      </c>
      <c r="Y347" s="1" t="s">
        <v>4</v>
      </c>
      <c r="Z347" s="1" t="s">
        <v>261</v>
      </c>
      <c r="AA347" s="1" t="s">
        <v>762</v>
      </c>
      <c r="AB347" s="1" t="s">
        <v>1407</v>
      </c>
      <c r="AC347" s="1" t="s">
        <v>763</v>
      </c>
      <c r="AD347" s="1" t="s">
        <v>1400</v>
      </c>
      <c r="AE347" s="1" t="s">
        <v>1280</v>
      </c>
      <c r="AF347" s="4">
        <v>46163</v>
      </c>
      <c r="AG347" s="5">
        <v>0.95486111111111116</v>
      </c>
      <c r="AH347" s="1" t="s">
        <v>1359</v>
      </c>
      <c r="AI347" s="1" t="s">
        <v>1280</v>
      </c>
      <c r="AJ347" s="4">
        <v>46175</v>
      </c>
      <c r="AK347" s="5">
        <v>0.41666666666666669</v>
      </c>
      <c r="AL347" s="1" t="s">
        <v>215</v>
      </c>
      <c r="AM347" s="1"/>
    </row>
    <row r="348" spans="1:39" x14ac:dyDescent="0.3">
      <c r="A348" s="1">
        <v>50920</v>
      </c>
      <c r="B348" s="1">
        <v>43060</v>
      </c>
      <c r="C348" s="1" t="s">
        <v>1189</v>
      </c>
      <c r="D348" s="38" t="s">
        <v>1865</v>
      </c>
      <c r="E348" s="4">
        <v>25952</v>
      </c>
      <c r="F348" s="1">
        <v>55</v>
      </c>
      <c r="G348" s="1" t="s">
        <v>212</v>
      </c>
      <c r="H348" s="1" t="s">
        <v>1501</v>
      </c>
      <c r="I348" s="1" t="s">
        <v>1501</v>
      </c>
      <c r="J348" s="1">
        <v>8529</v>
      </c>
      <c r="K348" s="1" t="s">
        <v>82</v>
      </c>
      <c r="L348" s="1" t="s">
        <v>19</v>
      </c>
      <c r="M348" s="1" t="s">
        <v>13</v>
      </c>
      <c r="N348" s="1" t="s">
        <v>20</v>
      </c>
      <c r="O348" s="1" t="s">
        <v>216</v>
      </c>
      <c r="P348" s="1" t="s">
        <v>53</v>
      </c>
      <c r="Q348" s="1" t="s">
        <v>19</v>
      </c>
      <c r="R348" s="1" t="s">
        <v>8</v>
      </c>
      <c r="S348" s="1" t="s">
        <v>21</v>
      </c>
      <c r="T348" s="1" t="s">
        <v>53</v>
      </c>
      <c r="U348" s="1" t="s">
        <v>8</v>
      </c>
      <c r="V348" s="1" t="str">
        <f>IF(pilgrims[[#This Row],[packages.second_hotel_name]]="",pilgrims[[#This Row],[packages.first_hotel_name]],pilgrims[[#This Row],[packages.second_hotel_name]])</f>
        <v>Swissotel Makkah Hotel</v>
      </c>
      <c r="W348" s="1" t="str">
        <f>IF(pilgrims[[#This Row],[packages.second_hotel_name]]="",pilgrims[[#This Row],[packages.first_hotel_check_in]],pilgrims[[#This Row],[packages.second_hotel_check_in]])</f>
        <v>2026-05-21</v>
      </c>
      <c r="X348" s="1" t="str">
        <f>IF(pilgrims[[#This Row],[packages.second_hotel_name]]="",pilgrims[[#This Row],[packages.first_hotel_check_out]],pilgrims[[#This Row],[packages.second_hotel_check_out]])</f>
        <v>2026-05-25</v>
      </c>
      <c r="Y348" s="1" t="s">
        <v>16</v>
      </c>
      <c r="Z348" s="1" t="s">
        <v>214</v>
      </c>
      <c r="AA348" s="1" t="s">
        <v>1190</v>
      </c>
      <c r="AB348" s="1" t="s">
        <v>1190</v>
      </c>
      <c r="AC348" s="1" t="s">
        <v>212</v>
      </c>
      <c r="AD348" s="1" t="s">
        <v>133</v>
      </c>
      <c r="AE348" s="1" t="s">
        <v>1281</v>
      </c>
      <c r="AF348" s="4">
        <v>46160</v>
      </c>
      <c r="AG348" s="5">
        <v>0.3923611111111111</v>
      </c>
      <c r="AH348" s="1" t="s">
        <v>60</v>
      </c>
      <c r="AI348" s="1" t="s">
        <v>1280</v>
      </c>
      <c r="AJ348" s="4">
        <v>46173</v>
      </c>
      <c r="AK348" s="5">
        <v>0.12847222222222221</v>
      </c>
      <c r="AL348" s="1" t="s">
        <v>215</v>
      </c>
      <c r="AM348" s="1"/>
    </row>
    <row r="349" spans="1:39" x14ac:dyDescent="0.3">
      <c r="A349" s="1">
        <v>718689</v>
      </c>
      <c r="B349" s="1">
        <v>581956</v>
      </c>
      <c r="C349" s="1" t="s">
        <v>1189</v>
      </c>
      <c r="D349" s="38" t="s">
        <v>1866</v>
      </c>
      <c r="E349" s="4">
        <v>33758</v>
      </c>
      <c r="F349" s="1">
        <v>33</v>
      </c>
      <c r="G349" s="1" t="s">
        <v>212</v>
      </c>
      <c r="H349" s="1" t="s">
        <v>1501</v>
      </c>
      <c r="I349" s="1" t="s">
        <v>1501</v>
      </c>
      <c r="J349" s="1">
        <v>8537</v>
      </c>
      <c r="K349" s="1" t="s">
        <v>87</v>
      </c>
      <c r="L349" s="1" t="s">
        <v>8</v>
      </c>
      <c r="M349" s="1" t="s">
        <v>4</v>
      </c>
      <c r="N349" s="1" t="s">
        <v>21</v>
      </c>
      <c r="O349" s="1" t="s">
        <v>216</v>
      </c>
      <c r="P349" s="1" t="s">
        <v>53</v>
      </c>
      <c r="Q349" s="1" t="s">
        <v>8</v>
      </c>
      <c r="R349" s="1" t="s">
        <v>16</v>
      </c>
      <c r="S349" s="1" t="s">
        <v>5</v>
      </c>
      <c r="T349" s="1" t="s">
        <v>53</v>
      </c>
      <c r="U349" s="1" t="s">
        <v>6</v>
      </c>
      <c r="V349" s="1" t="str">
        <f>IF(pilgrims[[#This Row],[packages.second_hotel_name]]="",pilgrims[[#This Row],[packages.first_hotel_name]],pilgrims[[#This Row],[packages.second_hotel_name]])</f>
        <v>Movenpick Anwar Almadinah Hotel</v>
      </c>
      <c r="W349" s="1" t="str">
        <f>IF(pilgrims[[#This Row],[packages.second_hotel_name]]="",pilgrims[[#This Row],[packages.first_hotel_check_in]],pilgrims[[#This Row],[packages.second_hotel_check_in]])</f>
        <v>2026-05-30</v>
      </c>
      <c r="X349" s="1" t="str">
        <f>IF(pilgrims[[#This Row],[packages.second_hotel_name]]="",pilgrims[[#This Row],[packages.first_hotel_check_out]],pilgrims[[#This Row],[packages.second_hotel_check_out]])</f>
        <v>2026-06-02</v>
      </c>
      <c r="Y349" s="1" t="s">
        <v>4</v>
      </c>
      <c r="Z349" s="1" t="s">
        <v>261</v>
      </c>
      <c r="AA349" s="1" t="s">
        <v>762</v>
      </c>
      <c r="AB349" s="1" t="s">
        <v>1407</v>
      </c>
      <c r="AC349" s="1" t="s">
        <v>763</v>
      </c>
      <c r="AD349" s="1" t="s">
        <v>1400</v>
      </c>
      <c r="AE349" s="1" t="s">
        <v>1280</v>
      </c>
      <c r="AF349" s="4">
        <v>46163</v>
      </c>
      <c r="AG349" s="5">
        <v>0.95486111111111116</v>
      </c>
      <c r="AH349" s="1" t="s">
        <v>1359</v>
      </c>
      <c r="AI349" s="1" t="s">
        <v>1280</v>
      </c>
      <c r="AJ349" s="4">
        <v>46175</v>
      </c>
      <c r="AK349" s="5">
        <v>0.41666666666666669</v>
      </c>
      <c r="AL349" s="1" t="s">
        <v>215</v>
      </c>
      <c r="AM349" s="1"/>
    </row>
    <row r="350" spans="1:39" x14ac:dyDescent="0.3">
      <c r="A350" s="1">
        <v>847443</v>
      </c>
      <c r="B350" s="1">
        <v>43060</v>
      </c>
      <c r="C350" s="1" t="s">
        <v>1188</v>
      </c>
      <c r="D350" s="38" t="s">
        <v>1867</v>
      </c>
      <c r="E350" s="4">
        <v>38852</v>
      </c>
      <c r="F350" s="1">
        <v>19</v>
      </c>
      <c r="G350" s="1" t="s">
        <v>212</v>
      </c>
      <c r="H350" s="1" t="s">
        <v>1501</v>
      </c>
      <c r="I350" s="1" t="s">
        <v>1501</v>
      </c>
      <c r="J350" s="1">
        <v>8529</v>
      </c>
      <c r="K350" s="1" t="s">
        <v>82</v>
      </c>
      <c r="L350" s="1" t="s">
        <v>19</v>
      </c>
      <c r="M350" s="1" t="s">
        <v>13</v>
      </c>
      <c r="N350" s="1" t="s">
        <v>20</v>
      </c>
      <c r="O350" s="1" t="s">
        <v>216</v>
      </c>
      <c r="P350" s="1" t="s">
        <v>53</v>
      </c>
      <c r="Q350" s="1" t="s">
        <v>19</v>
      </c>
      <c r="R350" s="1" t="s">
        <v>8</v>
      </c>
      <c r="S350" s="1" t="s">
        <v>21</v>
      </c>
      <c r="T350" s="1" t="s">
        <v>53</v>
      </c>
      <c r="U350" s="1" t="s">
        <v>8</v>
      </c>
      <c r="V350" s="1" t="str">
        <f>IF(pilgrims[[#This Row],[packages.second_hotel_name]]="",pilgrims[[#This Row],[packages.first_hotel_name]],pilgrims[[#This Row],[packages.second_hotel_name]])</f>
        <v>Swissotel Makkah Hotel</v>
      </c>
      <c r="W350" s="1" t="str">
        <f>IF(pilgrims[[#This Row],[packages.second_hotel_name]]="",pilgrims[[#This Row],[packages.first_hotel_check_in]],pilgrims[[#This Row],[packages.second_hotel_check_in]])</f>
        <v>2026-05-21</v>
      </c>
      <c r="X350" s="1" t="str">
        <f>IF(pilgrims[[#This Row],[packages.second_hotel_name]]="",pilgrims[[#This Row],[packages.first_hotel_check_out]],pilgrims[[#This Row],[packages.second_hotel_check_out]])</f>
        <v>2026-05-25</v>
      </c>
      <c r="Y350" s="1" t="s">
        <v>16</v>
      </c>
      <c r="Z350" s="1" t="s">
        <v>214</v>
      </c>
      <c r="AA350" s="1" t="s">
        <v>1190</v>
      </c>
      <c r="AB350" s="1" t="s">
        <v>1190</v>
      </c>
      <c r="AC350" s="1" t="s">
        <v>212</v>
      </c>
      <c r="AD350" s="1" t="s">
        <v>133</v>
      </c>
      <c r="AE350" s="1" t="s">
        <v>1281</v>
      </c>
      <c r="AF350" s="4">
        <v>46160</v>
      </c>
      <c r="AG350" s="5">
        <v>0.3923611111111111</v>
      </c>
      <c r="AH350" s="1" t="s">
        <v>60</v>
      </c>
      <c r="AI350" s="1" t="s">
        <v>1280</v>
      </c>
      <c r="AJ350" s="4">
        <v>46173</v>
      </c>
      <c r="AK350" s="5">
        <v>0.12847222222222221</v>
      </c>
      <c r="AL350" s="1" t="s">
        <v>215</v>
      </c>
      <c r="AM350" s="1"/>
    </row>
    <row r="351" spans="1:39" x14ac:dyDescent="0.3">
      <c r="A351" s="1">
        <v>840612</v>
      </c>
      <c r="B351" s="1">
        <v>681116</v>
      </c>
      <c r="C351" s="1" t="s">
        <v>1188</v>
      </c>
      <c r="D351" s="38" t="s">
        <v>1868</v>
      </c>
      <c r="E351" s="4">
        <v>28422</v>
      </c>
      <c r="F351" s="1">
        <v>48</v>
      </c>
      <c r="G351" s="1" t="s">
        <v>212</v>
      </c>
      <c r="H351" s="1" t="s">
        <v>1501</v>
      </c>
      <c r="I351" s="1" t="s">
        <v>1501</v>
      </c>
      <c r="J351" s="1">
        <v>8530</v>
      </c>
      <c r="K351" s="1" t="s">
        <v>83</v>
      </c>
      <c r="L351" s="1" t="s">
        <v>19</v>
      </c>
      <c r="M351" s="1" t="s">
        <v>13</v>
      </c>
      <c r="N351" s="1" t="s">
        <v>5</v>
      </c>
      <c r="O351" s="1" t="s">
        <v>216</v>
      </c>
      <c r="P351" s="1" t="s">
        <v>53</v>
      </c>
      <c r="Q351" s="1" t="s">
        <v>19</v>
      </c>
      <c r="R351" s="1" t="s">
        <v>8</v>
      </c>
      <c r="S351" s="1" t="s">
        <v>15</v>
      </c>
      <c r="T351" s="1" t="s">
        <v>53</v>
      </c>
      <c r="U351" s="1" t="s">
        <v>8</v>
      </c>
      <c r="V351" s="1" t="str">
        <f>IF(pilgrims[[#This Row],[packages.second_hotel_name]]="",pilgrims[[#This Row],[packages.first_hotel_name]],pilgrims[[#This Row],[packages.second_hotel_name]])</f>
        <v>Swissotel Al Maqam Makkah</v>
      </c>
      <c r="W351" s="1" t="str">
        <f>IF(pilgrims[[#This Row],[packages.second_hotel_name]]="",pilgrims[[#This Row],[packages.first_hotel_check_in]],pilgrims[[#This Row],[packages.second_hotel_check_in]])</f>
        <v>2026-05-21</v>
      </c>
      <c r="X351" s="1" t="str">
        <f>IF(pilgrims[[#This Row],[packages.second_hotel_name]]="",pilgrims[[#This Row],[packages.first_hotel_check_out]],pilgrims[[#This Row],[packages.second_hotel_check_out]])</f>
        <v>2026-05-25</v>
      </c>
      <c r="Y351" s="1" t="s">
        <v>16</v>
      </c>
      <c r="Z351" s="1" t="s">
        <v>214</v>
      </c>
      <c r="AA351" s="1" t="s">
        <v>1197</v>
      </c>
      <c r="AB351" s="1" t="s">
        <v>1197</v>
      </c>
      <c r="AC351" s="1" t="s">
        <v>212</v>
      </c>
      <c r="AD351" s="1" t="s">
        <v>61</v>
      </c>
      <c r="AE351" s="1" t="s">
        <v>1280</v>
      </c>
      <c r="AF351" s="4">
        <v>46160</v>
      </c>
      <c r="AG351" s="5">
        <v>0.57986111111111116</v>
      </c>
      <c r="AH351" s="1" t="s">
        <v>63</v>
      </c>
      <c r="AI351" s="1" t="s">
        <v>1280</v>
      </c>
      <c r="AJ351" s="4">
        <v>46172</v>
      </c>
      <c r="AK351" s="5">
        <v>0.3923611111111111</v>
      </c>
      <c r="AL351" s="1" t="s">
        <v>215</v>
      </c>
      <c r="AM351" s="1"/>
    </row>
    <row r="352" spans="1:39" x14ac:dyDescent="0.3">
      <c r="A352" s="1">
        <v>842476</v>
      </c>
      <c r="B352" s="1">
        <v>681116</v>
      </c>
      <c r="C352" s="1" t="s">
        <v>1189</v>
      </c>
      <c r="D352" s="38" t="s">
        <v>1869</v>
      </c>
      <c r="E352" s="4">
        <v>29199</v>
      </c>
      <c r="F352" s="1">
        <v>46</v>
      </c>
      <c r="G352" s="1" t="s">
        <v>212</v>
      </c>
      <c r="H352" s="1" t="s">
        <v>1501</v>
      </c>
      <c r="I352" s="1" t="s">
        <v>1501</v>
      </c>
      <c r="J352" s="1">
        <v>8530</v>
      </c>
      <c r="K352" s="1" t="s">
        <v>83</v>
      </c>
      <c r="L352" s="1" t="s">
        <v>19</v>
      </c>
      <c r="M352" s="1" t="s">
        <v>13</v>
      </c>
      <c r="N352" s="1" t="s">
        <v>5</v>
      </c>
      <c r="O352" s="1" t="s">
        <v>216</v>
      </c>
      <c r="P352" s="1" t="s">
        <v>53</v>
      </c>
      <c r="Q352" s="1" t="s">
        <v>19</v>
      </c>
      <c r="R352" s="1" t="s">
        <v>8</v>
      </c>
      <c r="S352" s="1" t="s">
        <v>15</v>
      </c>
      <c r="T352" s="1" t="s">
        <v>53</v>
      </c>
      <c r="U352" s="1" t="s">
        <v>8</v>
      </c>
      <c r="V352" s="1" t="str">
        <f>IF(pilgrims[[#This Row],[packages.second_hotel_name]]="",pilgrims[[#This Row],[packages.first_hotel_name]],pilgrims[[#This Row],[packages.second_hotel_name]])</f>
        <v>Swissotel Al Maqam Makkah</v>
      </c>
      <c r="W352" s="1" t="str">
        <f>IF(pilgrims[[#This Row],[packages.second_hotel_name]]="",pilgrims[[#This Row],[packages.first_hotel_check_in]],pilgrims[[#This Row],[packages.second_hotel_check_in]])</f>
        <v>2026-05-21</v>
      </c>
      <c r="X352" s="1" t="str">
        <f>IF(pilgrims[[#This Row],[packages.second_hotel_name]]="",pilgrims[[#This Row],[packages.first_hotel_check_out]],pilgrims[[#This Row],[packages.second_hotel_check_out]])</f>
        <v>2026-05-25</v>
      </c>
      <c r="Y352" s="1" t="s">
        <v>16</v>
      </c>
      <c r="Z352" s="1" t="s">
        <v>214</v>
      </c>
      <c r="AA352" s="1" t="s">
        <v>1197</v>
      </c>
      <c r="AB352" s="1" t="s">
        <v>1197</v>
      </c>
      <c r="AC352" s="1" t="s">
        <v>212</v>
      </c>
      <c r="AD352" s="1" t="s">
        <v>61</v>
      </c>
      <c r="AE352" s="1" t="s">
        <v>1280</v>
      </c>
      <c r="AF352" s="4">
        <v>46160</v>
      </c>
      <c r="AG352" s="5">
        <v>0.57986111111111116</v>
      </c>
      <c r="AH352" s="1" t="s">
        <v>63</v>
      </c>
      <c r="AI352" s="1" t="s">
        <v>1280</v>
      </c>
      <c r="AJ352" s="4">
        <v>46172</v>
      </c>
      <c r="AK352" s="5">
        <v>0.3923611111111111</v>
      </c>
      <c r="AL352" s="1" t="s">
        <v>215</v>
      </c>
      <c r="AM352" s="1"/>
    </row>
    <row r="353" spans="1:39" x14ac:dyDescent="0.3">
      <c r="A353" s="1">
        <v>815351</v>
      </c>
      <c r="B353" s="1">
        <v>659409</v>
      </c>
      <c r="C353" s="1" t="s">
        <v>1189</v>
      </c>
      <c r="D353" s="38" t="s">
        <v>1870</v>
      </c>
      <c r="E353" s="4">
        <v>30651</v>
      </c>
      <c r="F353" s="1">
        <v>42</v>
      </c>
      <c r="G353" s="1" t="s">
        <v>212</v>
      </c>
      <c r="H353" s="1" t="s">
        <v>1501</v>
      </c>
      <c r="I353" s="1" t="s">
        <v>1501</v>
      </c>
      <c r="J353" s="1">
        <v>8531</v>
      </c>
      <c r="K353" s="1" t="s">
        <v>84</v>
      </c>
      <c r="L353" s="1" t="s">
        <v>8</v>
      </c>
      <c r="M353" s="1" t="s">
        <v>9</v>
      </c>
      <c r="N353" s="1" t="s">
        <v>20</v>
      </c>
      <c r="O353" s="1" t="s">
        <v>216</v>
      </c>
      <c r="P353" s="1" t="s">
        <v>53</v>
      </c>
      <c r="Q353" s="1" t="s">
        <v>8</v>
      </c>
      <c r="R353" s="1" t="s">
        <v>11</v>
      </c>
      <c r="S353" s="1" t="s">
        <v>12</v>
      </c>
      <c r="T353" s="1" t="s">
        <v>53</v>
      </c>
      <c r="U353" s="1" t="s">
        <v>13</v>
      </c>
      <c r="V353" s="1" t="str">
        <f>IF(pilgrims[[#This Row],[packages.second_hotel_name]]="",pilgrims[[#This Row],[packages.first_hotel_name]],pilgrims[[#This Row],[packages.second_hotel_name]])</f>
        <v>Makkah Clock Royal Tower A Fairmont Hotel</v>
      </c>
      <c r="W353" s="1" t="str">
        <f>IF(pilgrims[[#This Row],[packages.second_hotel_name]]="",pilgrims[[#This Row],[packages.first_hotel_check_in]],pilgrims[[#This Row],[packages.second_hotel_check_in]])</f>
        <v>2026-05-31</v>
      </c>
      <c r="X353" s="1" t="str">
        <f>IF(pilgrims[[#This Row],[packages.second_hotel_name]]="",pilgrims[[#This Row],[packages.first_hotel_check_out]],pilgrims[[#This Row],[packages.second_hotel_check_out]])</f>
        <v>2026-06-06</v>
      </c>
      <c r="Y353" s="1" t="s">
        <v>9</v>
      </c>
      <c r="Z353" s="1" t="s">
        <v>214</v>
      </c>
      <c r="AA353" s="1" t="s">
        <v>1200</v>
      </c>
      <c r="AB353" s="1" t="s">
        <v>1200</v>
      </c>
      <c r="AC353" s="1" t="s">
        <v>212</v>
      </c>
      <c r="AD353" s="1" t="s">
        <v>69</v>
      </c>
      <c r="AE353" s="1" t="s">
        <v>1280</v>
      </c>
      <c r="AF353" s="4">
        <v>46164</v>
      </c>
      <c r="AG353" s="5">
        <v>0.93055555555555558</v>
      </c>
      <c r="AH353" s="1" t="s">
        <v>72</v>
      </c>
      <c r="AI353" s="1" t="s">
        <v>1281</v>
      </c>
      <c r="AJ353" s="4">
        <v>46177</v>
      </c>
      <c r="AK353" s="5">
        <v>0.25347222222222221</v>
      </c>
      <c r="AL353" s="1" t="s">
        <v>215</v>
      </c>
      <c r="AM353" s="1"/>
    </row>
    <row r="354" spans="1:39" x14ac:dyDescent="0.3">
      <c r="A354" s="1">
        <v>815670</v>
      </c>
      <c r="B354" s="1">
        <v>659409</v>
      </c>
      <c r="C354" s="1" t="s">
        <v>1188</v>
      </c>
      <c r="D354" s="38" t="s">
        <v>1871</v>
      </c>
      <c r="E354" s="4">
        <v>29272</v>
      </c>
      <c r="F354" s="1">
        <v>46</v>
      </c>
      <c r="G354" s="1" t="s">
        <v>212</v>
      </c>
      <c r="H354" s="1" t="s">
        <v>1501</v>
      </c>
      <c r="I354" s="1" t="s">
        <v>1501</v>
      </c>
      <c r="J354" s="1">
        <v>8531</v>
      </c>
      <c r="K354" s="1" t="s">
        <v>84</v>
      </c>
      <c r="L354" s="1" t="s">
        <v>8</v>
      </c>
      <c r="M354" s="1" t="s">
        <v>9</v>
      </c>
      <c r="N354" s="1" t="s">
        <v>20</v>
      </c>
      <c r="O354" s="1" t="s">
        <v>216</v>
      </c>
      <c r="P354" s="1" t="s">
        <v>53</v>
      </c>
      <c r="Q354" s="1" t="s">
        <v>8</v>
      </c>
      <c r="R354" s="1" t="s">
        <v>11</v>
      </c>
      <c r="S354" s="1" t="s">
        <v>12</v>
      </c>
      <c r="T354" s="1" t="s">
        <v>53</v>
      </c>
      <c r="U354" s="1" t="s">
        <v>13</v>
      </c>
      <c r="V354" s="1" t="str">
        <f>IF(pilgrims[[#This Row],[packages.second_hotel_name]]="",pilgrims[[#This Row],[packages.first_hotel_name]],pilgrims[[#This Row],[packages.second_hotel_name]])</f>
        <v>Makkah Clock Royal Tower A Fairmont Hotel</v>
      </c>
      <c r="W354" s="1" t="str">
        <f>IF(pilgrims[[#This Row],[packages.second_hotel_name]]="",pilgrims[[#This Row],[packages.first_hotel_check_in]],pilgrims[[#This Row],[packages.second_hotel_check_in]])</f>
        <v>2026-05-31</v>
      </c>
      <c r="X354" s="1" t="str">
        <f>IF(pilgrims[[#This Row],[packages.second_hotel_name]]="",pilgrims[[#This Row],[packages.first_hotel_check_out]],pilgrims[[#This Row],[packages.second_hotel_check_out]])</f>
        <v>2026-06-06</v>
      </c>
      <c r="Y354" s="1" t="s">
        <v>9</v>
      </c>
      <c r="Z354" s="1" t="s">
        <v>214</v>
      </c>
      <c r="AA354" s="1" t="s">
        <v>1200</v>
      </c>
      <c r="AB354" s="1" t="s">
        <v>1200</v>
      </c>
      <c r="AC354" s="1" t="s">
        <v>212</v>
      </c>
      <c r="AD354" s="1" t="s">
        <v>69</v>
      </c>
      <c r="AE354" s="1" t="s">
        <v>1280</v>
      </c>
      <c r="AF354" s="4">
        <v>46164</v>
      </c>
      <c r="AG354" s="5">
        <v>0.93055555555555558</v>
      </c>
      <c r="AH354" s="1" t="s">
        <v>72</v>
      </c>
      <c r="AI354" s="1" t="s">
        <v>1281</v>
      </c>
      <c r="AJ354" s="4">
        <v>46177</v>
      </c>
      <c r="AK354" s="5">
        <v>0.25347222222222221</v>
      </c>
      <c r="AL354" s="1" t="s">
        <v>215</v>
      </c>
      <c r="AM354" s="1"/>
    </row>
    <row r="355" spans="1:39" x14ac:dyDescent="0.3">
      <c r="A355" s="1">
        <v>614915</v>
      </c>
      <c r="B355" s="1">
        <v>496244</v>
      </c>
      <c r="C355" s="1" t="s">
        <v>1189</v>
      </c>
      <c r="D355" s="38" t="s">
        <v>1872</v>
      </c>
      <c r="E355" s="4">
        <v>28744</v>
      </c>
      <c r="F355" s="1">
        <v>47</v>
      </c>
      <c r="G355" s="1" t="s">
        <v>212</v>
      </c>
      <c r="H355" s="1" t="s">
        <v>1501</v>
      </c>
      <c r="I355" s="1" t="s">
        <v>1501</v>
      </c>
      <c r="J355" s="1">
        <v>8530</v>
      </c>
      <c r="K355" s="1" t="s">
        <v>83</v>
      </c>
      <c r="L355" s="1" t="s">
        <v>19</v>
      </c>
      <c r="M355" s="1" t="s">
        <v>13</v>
      </c>
      <c r="N355" s="1" t="s">
        <v>5</v>
      </c>
      <c r="O355" s="1" t="s">
        <v>216</v>
      </c>
      <c r="P355" s="1" t="s">
        <v>53</v>
      </c>
      <c r="Q355" s="1" t="s">
        <v>19</v>
      </c>
      <c r="R355" s="1" t="s">
        <v>8</v>
      </c>
      <c r="S355" s="1" t="s">
        <v>15</v>
      </c>
      <c r="T355" s="1" t="s">
        <v>53</v>
      </c>
      <c r="U355" s="1" t="s">
        <v>8</v>
      </c>
      <c r="V355" s="1" t="str">
        <f>IF(pilgrims[[#This Row],[packages.second_hotel_name]]="",pilgrims[[#This Row],[packages.first_hotel_name]],pilgrims[[#This Row],[packages.second_hotel_name]])</f>
        <v>Swissotel Al Maqam Makkah</v>
      </c>
      <c r="W355" s="1" t="str">
        <f>IF(pilgrims[[#This Row],[packages.second_hotel_name]]="",pilgrims[[#This Row],[packages.first_hotel_check_in]],pilgrims[[#This Row],[packages.second_hotel_check_in]])</f>
        <v>2026-05-21</v>
      </c>
      <c r="X355" s="1" t="str">
        <f>IF(pilgrims[[#This Row],[packages.second_hotel_name]]="",pilgrims[[#This Row],[packages.first_hotel_check_out]],pilgrims[[#This Row],[packages.second_hotel_check_out]])</f>
        <v>2026-05-25</v>
      </c>
      <c r="Y355" s="1" t="s">
        <v>16</v>
      </c>
      <c r="Z355" s="1" t="s">
        <v>214</v>
      </c>
      <c r="AA355" s="1" t="s">
        <v>1190</v>
      </c>
      <c r="AB355" s="1" t="s">
        <v>1190</v>
      </c>
      <c r="AC355" s="1" t="s">
        <v>212</v>
      </c>
      <c r="AD355" s="1" t="s">
        <v>133</v>
      </c>
      <c r="AE355" s="1" t="s">
        <v>1281</v>
      </c>
      <c r="AF355" s="4">
        <v>46160</v>
      </c>
      <c r="AG355" s="5">
        <v>0.3923611111111111</v>
      </c>
      <c r="AH355" s="1" t="s">
        <v>60</v>
      </c>
      <c r="AI355" s="1" t="s">
        <v>1280</v>
      </c>
      <c r="AJ355" s="4">
        <v>46173</v>
      </c>
      <c r="AK355" s="5">
        <v>0.12847222222222221</v>
      </c>
      <c r="AL355" s="1" t="s">
        <v>215</v>
      </c>
      <c r="AM355" s="1"/>
    </row>
    <row r="356" spans="1:39" x14ac:dyDescent="0.3">
      <c r="A356" s="1">
        <v>796717</v>
      </c>
      <c r="B356" s="1">
        <v>644892</v>
      </c>
      <c r="C356" s="1" t="s">
        <v>1188</v>
      </c>
      <c r="D356" s="38" t="s">
        <v>1873</v>
      </c>
      <c r="E356" s="4">
        <v>24670</v>
      </c>
      <c r="F356" s="1">
        <v>58</v>
      </c>
      <c r="G356" s="1" t="s">
        <v>212</v>
      </c>
      <c r="H356" s="1" t="s">
        <v>1501</v>
      </c>
      <c r="I356" s="1" t="s">
        <v>1501</v>
      </c>
      <c r="J356" s="1">
        <v>8729</v>
      </c>
      <c r="K356" s="1" t="s">
        <v>100</v>
      </c>
      <c r="L356" s="1" t="s">
        <v>8</v>
      </c>
      <c r="M356" s="1" t="s">
        <v>9</v>
      </c>
      <c r="N356" s="1" t="s">
        <v>10</v>
      </c>
      <c r="O356" s="1" t="s">
        <v>216</v>
      </c>
      <c r="P356" s="1" t="s">
        <v>52</v>
      </c>
      <c r="Q356" s="1" t="s">
        <v>8</v>
      </c>
      <c r="R356" s="1" t="s">
        <v>11</v>
      </c>
      <c r="S356" s="1" t="s">
        <v>21</v>
      </c>
      <c r="T356" s="1" t="s">
        <v>53</v>
      </c>
      <c r="U356" s="1" t="s">
        <v>13</v>
      </c>
      <c r="V356" s="1" t="str">
        <f>IF(pilgrims[[#This Row],[packages.second_hotel_name]]="",pilgrims[[#This Row],[packages.first_hotel_name]],pilgrims[[#This Row],[packages.second_hotel_name]])</f>
        <v>Swissotel Makkah Hotel</v>
      </c>
      <c r="W356" s="1" t="str">
        <f>IF(pilgrims[[#This Row],[packages.second_hotel_name]]="",pilgrims[[#This Row],[packages.first_hotel_check_in]],pilgrims[[#This Row],[packages.second_hotel_check_in]])</f>
        <v>2026-05-31</v>
      </c>
      <c r="X356" s="1" t="str">
        <f>IF(pilgrims[[#This Row],[packages.second_hotel_name]]="",pilgrims[[#This Row],[packages.first_hotel_check_out]],pilgrims[[#This Row],[packages.second_hotel_check_out]])</f>
        <v>2026-06-06</v>
      </c>
      <c r="Y356" s="1" t="s">
        <v>9</v>
      </c>
      <c r="Z356" s="1" t="s">
        <v>261</v>
      </c>
      <c r="AA356" s="1" t="s">
        <v>775</v>
      </c>
      <c r="AB356" s="1" t="s">
        <v>1381</v>
      </c>
      <c r="AC356" s="1" t="s">
        <v>776</v>
      </c>
      <c r="AD356" s="1" t="s">
        <v>1348</v>
      </c>
      <c r="AE356" s="1" t="s">
        <v>1281</v>
      </c>
      <c r="AF356" s="4">
        <v>46163</v>
      </c>
      <c r="AG356" s="5">
        <v>0.71180555555555558</v>
      </c>
      <c r="AH356" s="1" t="s">
        <v>1382</v>
      </c>
      <c r="AI356" s="1" t="s">
        <v>1280</v>
      </c>
      <c r="AJ356" s="4">
        <v>46179</v>
      </c>
      <c r="AK356" s="5">
        <v>0.64930555555555558</v>
      </c>
      <c r="AL356" s="1" t="s">
        <v>215</v>
      </c>
      <c r="AM356" s="1"/>
    </row>
    <row r="357" spans="1:39" x14ac:dyDescent="0.3">
      <c r="A357" s="1">
        <v>614954</v>
      </c>
      <c r="B357" s="1">
        <v>496244</v>
      </c>
      <c r="C357" s="1" t="s">
        <v>1188</v>
      </c>
      <c r="D357" s="38" t="s">
        <v>1874</v>
      </c>
      <c r="E357" s="4">
        <v>25402</v>
      </c>
      <c r="F357" s="1">
        <v>56</v>
      </c>
      <c r="G357" s="1" t="s">
        <v>212</v>
      </c>
      <c r="H357" s="1" t="s">
        <v>1501</v>
      </c>
      <c r="I357" s="1" t="s">
        <v>1501</v>
      </c>
      <c r="J357" s="1">
        <v>8530</v>
      </c>
      <c r="K357" s="1" t="s">
        <v>83</v>
      </c>
      <c r="L357" s="1" t="s">
        <v>19</v>
      </c>
      <c r="M357" s="1" t="s">
        <v>13</v>
      </c>
      <c r="N357" s="1" t="s">
        <v>5</v>
      </c>
      <c r="O357" s="1" t="s">
        <v>216</v>
      </c>
      <c r="P357" s="1" t="s">
        <v>53</v>
      </c>
      <c r="Q357" s="1" t="s">
        <v>19</v>
      </c>
      <c r="R357" s="1" t="s">
        <v>8</v>
      </c>
      <c r="S357" s="1" t="s">
        <v>15</v>
      </c>
      <c r="T357" s="1" t="s">
        <v>53</v>
      </c>
      <c r="U357" s="1" t="s">
        <v>8</v>
      </c>
      <c r="V357" s="1" t="str">
        <f>IF(pilgrims[[#This Row],[packages.second_hotel_name]]="",pilgrims[[#This Row],[packages.first_hotel_name]],pilgrims[[#This Row],[packages.second_hotel_name]])</f>
        <v>Swissotel Al Maqam Makkah</v>
      </c>
      <c r="W357" s="1" t="str">
        <f>IF(pilgrims[[#This Row],[packages.second_hotel_name]]="",pilgrims[[#This Row],[packages.first_hotel_check_in]],pilgrims[[#This Row],[packages.second_hotel_check_in]])</f>
        <v>2026-05-21</v>
      </c>
      <c r="X357" s="1" t="str">
        <f>IF(pilgrims[[#This Row],[packages.second_hotel_name]]="",pilgrims[[#This Row],[packages.first_hotel_check_out]],pilgrims[[#This Row],[packages.second_hotel_check_out]])</f>
        <v>2026-05-25</v>
      </c>
      <c r="Y357" s="1" t="s">
        <v>16</v>
      </c>
      <c r="Z357" s="1" t="s">
        <v>214</v>
      </c>
      <c r="AA357" s="1" t="s">
        <v>1190</v>
      </c>
      <c r="AB357" s="1" t="s">
        <v>1190</v>
      </c>
      <c r="AC357" s="1" t="s">
        <v>212</v>
      </c>
      <c r="AD357" s="1" t="s">
        <v>133</v>
      </c>
      <c r="AE357" s="1" t="s">
        <v>1281</v>
      </c>
      <c r="AF357" s="4">
        <v>46160</v>
      </c>
      <c r="AG357" s="5">
        <v>0.3923611111111111</v>
      </c>
      <c r="AH357" s="1" t="s">
        <v>60</v>
      </c>
      <c r="AI357" s="1" t="s">
        <v>1280</v>
      </c>
      <c r="AJ357" s="4">
        <v>46173</v>
      </c>
      <c r="AK357" s="5">
        <v>0.12847222222222221</v>
      </c>
      <c r="AL357" s="1" t="s">
        <v>215</v>
      </c>
      <c r="AM357" s="1"/>
    </row>
    <row r="358" spans="1:39" x14ac:dyDescent="0.3">
      <c r="A358" s="1">
        <v>855672</v>
      </c>
      <c r="B358" s="1">
        <v>644892</v>
      </c>
      <c r="C358" s="1" t="s">
        <v>1189</v>
      </c>
      <c r="D358" s="38" t="s">
        <v>1875</v>
      </c>
      <c r="E358" s="4">
        <v>25700</v>
      </c>
      <c r="F358" s="1">
        <v>55</v>
      </c>
      <c r="G358" s="1" t="s">
        <v>212</v>
      </c>
      <c r="H358" s="1" t="s">
        <v>1501</v>
      </c>
      <c r="I358" s="1" t="s">
        <v>1501</v>
      </c>
      <c r="J358" s="1">
        <v>8729</v>
      </c>
      <c r="K358" s="1" t="s">
        <v>100</v>
      </c>
      <c r="L358" s="1" t="s">
        <v>8</v>
      </c>
      <c r="M358" s="1" t="s">
        <v>9</v>
      </c>
      <c r="N358" s="1" t="s">
        <v>10</v>
      </c>
      <c r="O358" s="1" t="s">
        <v>216</v>
      </c>
      <c r="P358" s="1" t="s">
        <v>52</v>
      </c>
      <c r="Q358" s="1" t="s">
        <v>8</v>
      </c>
      <c r="R358" s="1" t="s">
        <v>11</v>
      </c>
      <c r="S358" s="1" t="s">
        <v>21</v>
      </c>
      <c r="T358" s="1" t="s">
        <v>53</v>
      </c>
      <c r="U358" s="1" t="s">
        <v>13</v>
      </c>
      <c r="V358" s="1" t="str">
        <f>IF(pilgrims[[#This Row],[packages.second_hotel_name]]="",pilgrims[[#This Row],[packages.first_hotel_name]],pilgrims[[#This Row],[packages.second_hotel_name]])</f>
        <v>Swissotel Makkah Hotel</v>
      </c>
      <c r="W358" s="1" t="str">
        <f>IF(pilgrims[[#This Row],[packages.second_hotel_name]]="",pilgrims[[#This Row],[packages.first_hotel_check_in]],pilgrims[[#This Row],[packages.second_hotel_check_in]])</f>
        <v>2026-05-31</v>
      </c>
      <c r="X358" s="1" t="str">
        <f>IF(pilgrims[[#This Row],[packages.second_hotel_name]]="",pilgrims[[#This Row],[packages.first_hotel_check_out]],pilgrims[[#This Row],[packages.second_hotel_check_out]])</f>
        <v>2026-06-06</v>
      </c>
      <c r="Y358" s="1" t="s">
        <v>9</v>
      </c>
      <c r="Z358" s="1" t="s">
        <v>261</v>
      </c>
      <c r="AA358" s="1" t="s">
        <v>775</v>
      </c>
      <c r="AB358" s="1" t="s">
        <v>1381</v>
      </c>
      <c r="AC358" s="1" t="s">
        <v>776</v>
      </c>
      <c r="AD358" s="1" t="s">
        <v>1348</v>
      </c>
      <c r="AE358" s="1" t="s">
        <v>1281</v>
      </c>
      <c r="AF358" s="4">
        <v>46163</v>
      </c>
      <c r="AG358" s="5">
        <v>0.71180555555555558</v>
      </c>
      <c r="AH358" s="1" t="s">
        <v>1382</v>
      </c>
      <c r="AI358" s="1" t="s">
        <v>1280</v>
      </c>
      <c r="AJ358" s="4">
        <v>46179</v>
      </c>
      <c r="AK358" s="5">
        <v>0.64930555555555558</v>
      </c>
      <c r="AL358" s="1" t="s">
        <v>215</v>
      </c>
      <c r="AM358" s="1"/>
    </row>
    <row r="359" spans="1:39" x14ac:dyDescent="0.3">
      <c r="A359" s="1">
        <v>368357</v>
      </c>
      <c r="B359" s="1">
        <v>290080</v>
      </c>
      <c r="C359" s="1" t="s">
        <v>1189</v>
      </c>
      <c r="D359" s="38" t="s">
        <v>1876</v>
      </c>
      <c r="E359" s="4">
        <v>29107</v>
      </c>
      <c r="F359" s="1">
        <v>46</v>
      </c>
      <c r="G359" s="1" t="s">
        <v>212</v>
      </c>
      <c r="H359" s="1" t="s">
        <v>1502</v>
      </c>
      <c r="I359" s="1" t="s">
        <v>1502</v>
      </c>
      <c r="J359" s="1">
        <v>8524</v>
      </c>
      <c r="K359" s="1" t="s">
        <v>85</v>
      </c>
      <c r="L359" s="1" t="s">
        <v>8</v>
      </c>
      <c r="M359" s="1" t="s">
        <v>9</v>
      </c>
      <c r="N359" s="1" t="s">
        <v>5</v>
      </c>
      <c r="O359" s="1" t="s">
        <v>216</v>
      </c>
      <c r="P359" s="1" t="s">
        <v>53</v>
      </c>
      <c r="Q359" s="1" t="s">
        <v>8</v>
      </c>
      <c r="R359" s="1" t="s">
        <v>11</v>
      </c>
      <c r="S359" s="1" t="s">
        <v>15</v>
      </c>
      <c r="T359" s="1" t="s">
        <v>53</v>
      </c>
      <c r="U359" s="1" t="s">
        <v>13</v>
      </c>
      <c r="V359" s="1" t="str">
        <f>IF(pilgrims[[#This Row],[packages.second_hotel_name]]="",pilgrims[[#This Row],[packages.first_hotel_name]],pilgrims[[#This Row],[packages.second_hotel_name]])</f>
        <v>Swissotel Al Maqam Makkah</v>
      </c>
      <c r="W359" s="1" t="str">
        <f>IF(pilgrims[[#This Row],[packages.second_hotel_name]]="",pilgrims[[#This Row],[packages.first_hotel_check_in]],pilgrims[[#This Row],[packages.second_hotel_check_in]])</f>
        <v>2026-05-31</v>
      </c>
      <c r="X359" s="1" t="str">
        <f>IF(pilgrims[[#This Row],[packages.second_hotel_name]]="",pilgrims[[#This Row],[packages.first_hotel_check_out]],pilgrims[[#This Row],[packages.second_hotel_check_out]])</f>
        <v>2026-06-06</v>
      </c>
      <c r="Y359" s="1" t="s">
        <v>9</v>
      </c>
      <c r="Z359" s="1" t="s">
        <v>214</v>
      </c>
      <c r="AA359" s="1" t="s">
        <v>1212</v>
      </c>
      <c r="AB359" s="1" t="s">
        <v>1212</v>
      </c>
      <c r="AC359" s="1" t="s">
        <v>212</v>
      </c>
      <c r="AD359" s="1" t="s">
        <v>66</v>
      </c>
      <c r="AE359" s="1" t="s">
        <v>1280</v>
      </c>
      <c r="AF359" s="4">
        <v>46164</v>
      </c>
      <c r="AG359" s="5">
        <v>0.57986111111111116</v>
      </c>
      <c r="AH359" s="1" t="s">
        <v>73</v>
      </c>
      <c r="AI359" s="1" t="s">
        <v>1281</v>
      </c>
      <c r="AJ359" s="4">
        <v>46177</v>
      </c>
      <c r="AK359" s="5">
        <v>0.14930555555555555</v>
      </c>
      <c r="AL359" s="1" t="s">
        <v>215</v>
      </c>
      <c r="AM359" s="1"/>
    </row>
    <row r="360" spans="1:39" x14ac:dyDescent="0.3">
      <c r="A360" s="1">
        <v>614781</v>
      </c>
      <c r="B360" s="1">
        <v>496131</v>
      </c>
      <c r="C360" s="1" t="s">
        <v>1188</v>
      </c>
      <c r="D360" s="38" t="s">
        <v>1877</v>
      </c>
      <c r="E360" s="4">
        <v>28989</v>
      </c>
      <c r="F360" s="1">
        <v>46</v>
      </c>
      <c r="G360" s="1" t="s">
        <v>212</v>
      </c>
      <c r="H360" s="1" t="s">
        <v>1501</v>
      </c>
      <c r="I360" s="1" t="s">
        <v>1501</v>
      </c>
      <c r="J360" s="1">
        <v>8538</v>
      </c>
      <c r="K360" s="1" t="s">
        <v>88</v>
      </c>
      <c r="L360" s="1" t="s">
        <v>8</v>
      </c>
      <c r="M360" s="1" t="s">
        <v>4</v>
      </c>
      <c r="N360" s="1" t="s">
        <v>15</v>
      </c>
      <c r="O360" s="1" t="s">
        <v>216</v>
      </c>
      <c r="P360" s="1" t="s">
        <v>53</v>
      </c>
      <c r="Q360" s="1" t="s">
        <v>8</v>
      </c>
      <c r="R360" s="1" t="s">
        <v>16</v>
      </c>
      <c r="S360" s="1" t="s">
        <v>5</v>
      </c>
      <c r="T360" s="1" t="s">
        <v>53</v>
      </c>
      <c r="U360" s="1" t="s">
        <v>6</v>
      </c>
      <c r="V360" s="1" t="str">
        <f>IF(pilgrims[[#This Row],[packages.second_hotel_name]]="",pilgrims[[#This Row],[packages.first_hotel_name]],pilgrims[[#This Row],[packages.second_hotel_name]])</f>
        <v>Movenpick Anwar Almadinah Hotel</v>
      </c>
      <c r="W360" s="1" t="str">
        <f>IF(pilgrims[[#This Row],[packages.second_hotel_name]]="",pilgrims[[#This Row],[packages.first_hotel_check_in]],pilgrims[[#This Row],[packages.second_hotel_check_in]])</f>
        <v>2026-05-30</v>
      </c>
      <c r="X360" s="1" t="str">
        <f>IF(pilgrims[[#This Row],[packages.second_hotel_name]]="",pilgrims[[#This Row],[packages.first_hotel_check_out]],pilgrims[[#This Row],[packages.second_hotel_check_out]])</f>
        <v>2026-06-02</v>
      </c>
      <c r="Y360" s="1" t="s">
        <v>4</v>
      </c>
      <c r="Z360" s="1" t="s">
        <v>214</v>
      </c>
      <c r="AA360" s="1" t="s">
        <v>1196</v>
      </c>
      <c r="AB360" s="1" t="s">
        <v>1196</v>
      </c>
      <c r="AC360" s="1" t="s">
        <v>212</v>
      </c>
      <c r="AD360" s="1" t="s">
        <v>61</v>
      </c>
      <c r="AE360" s="1" t="s">
        <v>1280</v>
      </c>
      <c r="AF360" s="4">
        <v>46164</v>
      </c>
      <c r="AG360" s="5">
        <v>0.57986111111111116</v>
      </c>
      <c r="AH360" s="1" t="s">
        <v>72</v>
      </c>
      <c r="AI360" s="1" t="s">
        <v>1281</v>
      </c>
      <c r="AJ360" s="4">
        <v>46172</v>
      </c>
      <c r="AK360" s="5">
        <v>0.25347222222222221</v>
      </c>
      <c r="AL360" s="1" t="s">
        <v>215</v>
      </c>
      <c r="AM360" s="1"/>
    </row>
    <row r="361" spans="1:39" x14ac:dyDescent="0.3">
      <c r="A361" s="1">
        <v>619402</v>
      </c>
      <c r="B361" s="1">
        <v>500233</v>
      </c>
      <c r="C361" s="1" t="s">
        <v>1189</v>
      </c>
      <c r="D361" s="38" t="s">
        <v>1878</v>
      </c>
      <c r="E361" s="4">
        <v>37635</v>
      </c>
      <c r="F361" s="1">
        <v>23</v>
      </c>
      <c r="G361" s="1" t="s">
        <v>212</v>
      </c>
      <c r="H361" s="1" t="s">
        <v>1506</v>
      </c>
      <c r="I361" s="1" t="s">
        <v>1506</v>
      </c>
      <c r="J361" s="1">
        <v>8530</v>
      </c>
      <c r="K361" s="1" t="s">
        <v>83</v>
      </c>
      <c r="L361" s="1" t="s">
        <v>19</v>
      </c>
      <c r="M361" s="1" t="s">
        <v>13</v>
      </c>
      <c r="N361" s="1" t="s">
        <v>5</v>
      </c>
      <c r="O361" s="1" t="s">
        <v>216</v>
      </c>
      <c r="P361" s="1" t="s">
        <v>53</v>
      </c>
      <c r="Q361" s="1" t="s">
        <v>19</v>
      </c>
      <c r="R361" s="1" t="s">
        <v>8</v>
      </c>
      <c r="S361" s="1" t="s">
        <v>15</v>
      </c>
      <c r="T361" s="1" t="s">
        <v>53</v>
      </c>
      <c r="U361" s="1" t="s">
        <v>8</v>
      </c>
      <c r="V361" s="1" t="str">
        <f>IF(pilgrims[[#This Row],[packages.second_hotel_name]]="",pilgrims[[#This Row],[packages.first_hotel_name]],pilgrims[[#This Row],[packages.second_hotel_name]])</f>
        <v>Swissotel Al Maqam Makkah</v>
      </c>
      <c r="W361" s="1" t="str">
        <f>IF(pilgrims[[#This Row],[packages.second_hotel_name]]="",pilgrims[[#This Row],[packages.first_hotel_check_in]],pilgrims[[#This Row],[packages.second_hotel_check_in]])</f>
        <v>2026-05-21</v>
      </c>
      <c r="X361" s="1" t="str">
        <f>IF(pilgrims[[#This Row],[packages.second_hotel_name]]="",pilgrims[[#This Row],[packages.first_hotel_check_out]],pilgrims[[#This Row],[packages.second_hotel_check_out]])</f>
        <v>2026-05-25</v>
      </c>
      <c r="Y361" s="1" t="s">
        <v>16</v>
      </c>
      <c r="Z361" s="1" t="s">
        <v>261</v>
      </c>
      <c r="AA361" s="1" t="s">
        <v>781</v>
      </c>
      <c r="AB361" s="1" t="s">
        <v>1383</v>
      </c>
      <c r="AC361" s="1" t="s">
        <v>782</v>
      </c>
      <c r="AD361" s="1" t="s">
        <v>1317</v>
      </c>
      <c r="AE361" s="1" t="s">
        <v>1281</v>
      </c>
      <c r="AF361" s="4">
        <v>46160</v>
      </c>
      <c r="AG361" s="5">
        <v>0.67361111111111116</v>
      </c>
      <c r="AH361" s="1" t="s">
        <v>1292</v>
      </c>
      <c r="AI361" s="1" t="s">
        <v>1280</v>
      </c>
      <c r="AJ361" s="4">
        <v>46173</v>
      </c>
      <c r="AK361" s="5">
        <v>2.7777777777777776E-2</v>
      </c>
      <c r="AL361" s="1" t="s">
        <v>215</v>
      </c>
      <c r="AM361" s="1"/>
    </row>
    <row r="362" spans="1:39" x14ac:dyDescent="0.3">
      <c r="A362" s="1">
        <v>624305</v>
      </c>
      <c r="B362" s="1">
        <v>496131</v>
      </c>
      <c r="C362" s="1" t="s">
        <v>1189</v>
      </c>
      <c r="D362" s="38" t="s">
        <v>1879</v>
      </c>
      <c r="E362" s="4">
        <v>29648</v>
      </c>
      <c r="F362" s="1">
        <v>44</v>
      </c>
      <c r="G362" s="1" t="s">
        <v>212</v>
      </c>
      <c r="H362" s="1" t="s">
        <v>1501</v>
      </c>
      <c r="I362" s="1" t="s">
        <v>1501</v>
      </c>
      <c r="J362" s="1">
        <v>8538</v>
      </c>
      <c r="K362" s="1" t="s">
        <v>88</v>
      </c>
      <c r="L362" s="1" t="s">
        <v>8</v>
      </c>
      <c r="M362" s="1" t="s">
        <v>4</v>
      </c>
      <c r="N362" s="1" t="s">
        <v>15</v>
      </c>
      <c r="O362" s="1" t="s">
        <v>216</v>
      </c>
      <c r="P362" s="1" t="s">
        <v>53</v>
      </c>
      <c r="Q362" s="1" t="s">
        <v>8</v>
      </c>
      <c r="R362" s="1" t="s">
        <v>16</v>
      </c>
      <c r="S362" s="1" t="s">
        <v>5</v>
      </c>
      <c r="T362" s="1" t="s">
        <v>53</v>
      </c>
      <c r="U362" s="1" t="s">
        <v>6</v>
      </c>
      <c r="V362" s="1" t="str">
        <f>IF(pilgrims[[#This Row],[packages.second_hotel_name]]="",pilgrims[[#This Row],[packages.first_hotel_name]],pilgrims[[#This Row],[packages.second_hotel_name]])</f>
        <v>Movenpick Anwar Almadinah Hotel</v>
      </c>
      <c r="W362" s="1" t="str">
        <f>IF(pilgrims[[#This Row],[packages.second_hotel_name]]="",pilgrims[[#This Row],[packages.first_hotel_check_in]],pilgrims[[#This Row],[packages.second_hotel_check_in]])</f>
        <v>2026-05-30</v>
      </c>
      <c r="X362" s="1" t="str">
        <f>IF(pilgrims[[#This Row],[packages.second_hotel_name]]="",pilgrims[[#This Row],[packages.first_hotel_check_out]],pilgrims[[#This Row],[packages.second_hotel_check_out]])</f>
        <v>2026-06-02</v>
      </c>
      <c r="Y362" s="1" t="s">
        <v>4</v>
      </c>
      <c r="Z362" s="1" t="s">
        <v>214</v>
      </c>
      <c r="AA362" s="1" t="s">
        <v>1196</v>
      </c>
      <c r="AB362" s="1" t="s">
        <v>1196</v>
      </c>
      <c r="AC362" s="1" t="s">
        <v>212</v>
      </c>
      <c r="AD362" s="1" t="s">
        <v>61</v>
      </c>
      <c r="AE362" s="1" t="s">
        <v>1280</v>
      </c>
      <c r="AF362" s="4">
        <v>46164</v>
      </c>
      <c r="AG362" s="5">
        <v>0.57986111111111116</v>
      </c>
      <c r="AH362" s="1" t="s">
        <v>72</v>
      </c>
      <c r="AI362" s="1" t="s">
        <v>1281</v>
      </c>
      <c r="AJ362" s="4">
        <v>46172</v>
      </c>
      <c r="AK362" s="5">
        <v>0.25347222222222221</v>
      </c>
      <c r="AL362" s="1" t="s">
        <v>215</v>
      </c>
      <c r="AM362" s="1"/>
    </row>
    <row r="363" spans="1:39" x14ac:dyDescent="0.3">
      <c r="A363" s="1">
        <v>391082</v>
      </c>
      <c r="B363" s="1">
        <v>307379</v>
      </c>
      <c r="C363" s="1" t="s">
        <v>1189</v>
      </c>
      <c r="D363" s="38" t="s">
        <v>1880</v>
      </c>
      <c r="E363" s="4">
        <v>27098</v>
      </c>
      <c r="F363" s="1">
        <v>51</v>
      </c>
      <c r="G363" s="1" t="s">
        <v>212</v>
      </c>
      <c r="H363" s="1" t="s">
        <v>1501</v>
      </c>
      <c r="I363" s="1" t="s">
        <v>1501</v>
      </c>
      <c r="J363" s="1">
        <v>8530</v>
      </c>
      <c r="K363" s="1" t="s">
        <v>83</v>
      </c>
      <c r="L363" s="1" t="s">
        <v>19</v>
      </c>
      <c r="M363" s="1" t="s">
        <v>13</v>
      </c>
      <c r="N363" s="1" t="s">
        <v>5</v>
      </c>
      <c r="O363" s="1" t="s">
        <v>216</v>
      </c>
      <c r="P363" s="1" t="s">
        <v>53</v>
      </c>
      <c r="Q363" s="1" t="s">
        <v>19</v>
      </c>
      <c r="R363" s="1" t="s">
        <v>8</v>
      </c>
      <c r="S363" s="1" t="s">
        <v>15</v>
      </c>
      <c r="T363" s="1" t="s">
        <v>53</v>
      </c>
      <c r="U363" s="1" t="s">
        <v>8</v>
      </c>
      <c r="V363" s="1" t="str">
        <f>IF(pilgrims[[#This Row],[packages.second_hotel_name]]="",pilgrims[[#This Row],[packages.first_hotel_name]],pilgrims[[#This Row],[packages.second_hotel_name]])</f>
        <v>Swissotel Al Maqam Makkah</v>
      </c>
      <c r="W363" s="1" t="str">
        <f>IF(pilgrims[[#This Row],[packages.second_hotel_name]]="",pilgrims[[#This Row],[packages.first_hotel_check_in]],pilgrims[[#This Row],[packages.second_hotel_check_in]])</f>
        <v>2026-05-21</v>
      </c>
      <c r="X363" s="1" t="str">
        <f>IF(pilgrims[[#This Row],[packages.second_hotel_name]]="",pilgrims[[#This Row],[packages.first_hotel_check_out]],pilgrims[[#This Row],[packages.second_hotel_check_out]])</f>
        <v>2026-05-25</v>
      </c>
      <c r="Y363" s="1" t="s">
        <v>16</v>
      </c>
      <c r="Z363" s="1" t="s">
        <v>214</v>
      </c>
      <c r="AA363" s="1" t="s">
        <v>1190</v>
      </c>
      <c r="AB363" s="1" t="s">
        <v>1190</v>
      </c>
      <c r="AC363" s="1" t="s">
        <v>212</v>
      </c>
      <c r="AD363" s="1" t="s">
        <v>133</v>
      </c>
      <c r="AE363" s="1" t="s">
        <v>1281</v>
      </c>
      <c r="AF363" s="4">
        <v>46160</v>
      </c>
      <c r="AG363" s="5">
        <v>0.3923611111111111</v>
      </c>
      <c r="AH363" s="1" t="s">
        <v>60</v>
      </c>
      <c r="AI363" s="1" t="s">
        <v>1280</v>
      </c>
      <c r="AJ363" s="4">
        <v>46173</v>
      </c>
      <c r="AK363" s="5">
        <v>0.12847222222222221</v>
      </c>
      <c r="AL363" s="1" t="s">
        <v>215</v>
      </c>
      <c r="AM363" s="1"/>
    </row>
    <row r="364" spans="1:39" x14ac:dyDescent="0.3">
      <c r="A364" s="1">
        <v>609618</v>
      </c>
      <c r="B364" s="1">
        <v>307379</v>
      </c>
      <c r="C364" s="1" t="s">
        <v>1188</v>
      </c>
      <c r="D364" s="38" t="s">
        <v>1881</v>
      </c>
      <c r="E364" s="4">
        <v>26657</v>
      </c>
      <c r="F364" s="1">
        <v>53</v>
      </c>
      <c r="G364" s="1" t="s">
        <v>212</v>
      </c>
      <c r="H364" s="1" t="s">
        <v>1501</v>
      </c>
      <c r="I364" s="1" t="s">
        <v>1501</v>
      </c>
      <c r="J364" s="1">
        <v>8530</v>
      </c>
      <c r="K364" s="1" t="s">
        <v>83</v>
      </c>
      <c r="L364" s="1" t="s">
        <v>19</v>
      </c>
      <c r="M364" s="1" t="s">
        <v>13</v>
      </c>
      <c r="N364" s="1" t="s">
        <v>5</v>
      </c>
      <c r="O364" s="1" t="s">
        <v>216</v>
      </c>
      <c r="P364" s="1" t="s">
        <v>53</v>
      </c>
      <c r="Q364" s="1" t="s">
        <v>19</v>
      </c>
      <c r="R364" s="1" t="s">
        <v>8</v>
      </c>
      <c r="S364" s="1" t="s">
        <v>15</v>
      </c>
      <c r="T364" s="1" t="s">
        <v>53</v>
      </c>
      <c r="U364" s="1" t="s">
        <v>8</v>
      </c>
      <c r="V364" s="1" t="str">
        <f>IF(pilgrims[[#This Row],[packages.second_hotel_name]]="",pilgrims[[#This Row],[packages.first_hotel_name]],pilgrims[[#This Row],[packages.second_hotel_name]])</f>
        <v>Swissotel Al Maqam Makkah</v>
      </c>
      <c r="W364" s="1" t="str">
        <f>IF(pilgrims[[#This Row],[packages.second_hotel_name]]="",pilgrims[[#This Row],[packages.first_hotel_check_in]],pilgrims[[#This Row],[packages.second_hotel_check_in]])</f>
        <v>2026-05-21</v>
      </c>
      <c r="X364" s="1" t="str">
        <f>IF(pilgrims[[#This Row],[packages.second_hotel_name]]="",pilgrims[[#This Row],[packages.first_hotel_check_out]],pilgrims[[#This Row],[packages.second_hotel_check_out]])</f>
        <v>2026-05-25</v>
      </c>
      <c r="Y364" s="1" t="s">
        <v>16</v>
      </c>
      <c r="Z364" s="1" t="s">
        <v>214</v>
      </c>
      <c r="AA364" s="1" t="s">
        <v>1190</v>
      </c>
      <c r="AB364" s="1" t="s">
        <v>1190</v>
      </c>
      <c r="AC364" s="1" t="s">
        <v>212</v>
      </c>
      <c r="AD364" s="1" t="s">
        <v>133</v>
      </c>
      <c r="AE364" s="1" t="s">
        <v>1281</v>
      </c>
      <c r="AF364" s="4">
        <v>46160</v>
      </c>
      <c r="AG364" s="5">
        <v>0.3923611111111111</v>
      </c>
      <c r="AH364" s="1" t="s">
        <v>60</v>
      </c>
      <c r="AI364" s="1" t="s">
        <v>1280</v>
      </c>
      <c r="AJ364" s="4">
        <v>46173</v>
      </c>
      <c r="AK364" s="5">
        <v>0.12847222222222221</v>
      </c>
      <c r="AL364" s="1" t="s">
        <v>215</v>
      </c>
      <c r="AM364" s="1"/>
    </row>
    <row r="365" spans="1:39" x14ac:dyDescent="0.3">
      <c r="A365" s="1">
        <v>698744</v>
      </c>
      <c r="B365" s="1">
        <v>567676</v>
      </c>
      <c r="C365" s="1" t="s">
        <v>1188</v>
      </c>
      <c r="D365" s="38" t="s">
        <v>1882</v>
      </c>
      <c r="E365" s="4">
        <v>27582</v>
      </c>
      <c r="F365" s="1">
        <v>50</v>
      </c>
      <c r="G365" s="1" t="s">
        <v>212</v>
      </c>
      <c r="H365" s="1" t="s">
        <v>1501</v>
      </c>
      <c r="I365" s="1" t="s">
        <v>1501</v>
      </c>
      <c r="J365" s="1">
        <v>8530</v>
      </c>
      <c r="K365" s="1" t="s">
        <v>83</v>
      </c>
      <c r="L365" s="1" t="s">
        <v>19</v>
      </c>
      <c r="M365" s="1" t="s">
        <v>13</v>
      </c>
      <c r="N365" s="1" t="s">
        <v>5</v>
      </c>
      <c r="O365" s="1" t="s">
        <v>216</v>
      </c>
      <c r="P365" s="1" t="s">
        <v>53</v>
      </c>
      <c r="Q365" s="1" t="s">
        <v>19</v>
      </c>
      <c r="R365" s="1" t="s">
        <v>8</v>
      </c>
      <c r="S365" s="1" t="s">
        <v>15</v>
      </c>
      <c r="T365" s="1" t="s">
        <v>53</v>
      </c>
      <c r="U365" s="1" t="s">
        <v>8</v>
      </c>
      <c r="V365" s="1" t="str">
        <f>IF(pilgrims[[#This Row],[packages.second_hotel_name]]="",pilgrims[[#This Row],[packages.first_hotel_name]],pilgrims[[#This Row],[packages.second_hotel_name]])</f>
        <v>Swissotel Al Maqam Makkah</v>
      </c>
      <c r="W365" s="1" t="str">
        <f>IF(pilgrims[[#This Row],[packages.second_hotel_name]]="",pilgrims[[#This Row],[packages.first_hotel_check_in]],pilgrims[[#This Row],[packages.second_hotel_check_in]])</f>
        <v>2026-05-21</v>
      </c>
      <c r="X365" s="1" t="str">
        <f>IF(pilgrims[[#This Row],[packages.second_hotel_name]]="",pilgrims[[#This Row],[packages.first_hotel_check_out]],pilgrims[[#This Row],[packages.second_hotel_check_out]])</f>
        <v>2026-05-25</v>
      </c>
      <c r="Y365" s="1" t="s">
        <v>16</v>
      </c>
      <c r="Z365" s="1" t="s">
        <v>214</v>
      </c>
      <c r="AA365" s="1" t="s">
        <v>1197</v>
      </c>
      <c r="AB365" s="1" t="s">
        <v>1197</v>
      </c>
      <c r="AC365" s="1" t="s">
        <v>212</v>
      </c>
      <c r="AD365" s="1" t="s">
        <v>61</v>
      </c>
      <c r="AE365" s="1" t="s">
        <v>1280</v>
      </c>
      <c r="AF365" s="4">
        <v>46160</v>
      </c>
      <c r="AG365" s="5">
        <v>0.57986111111111116</v>
      </c>
      <c r="AH365" s="1" t="s">
        <v>63</v>
      </c>
      <c r="AI365" s="1" t="s">
        <v>1280</v>
      </c>
      <c r="AJ365" s="4">
        <v>46172</v>
      </c>
      <c r="AK365" s="5">
        <v>0.3923611111111111</v>
      </c>
      <c r="AL365" s="1" t="s">
        <v>215</v>
      </c>
      <c r="AM365" s="1"/>
    </row>
    <row r="366" spans="1:39" x14ac:dyDescent="0.3">
      <c r="A366" s="1">
        <v>729158</v>
      </c>
      <c r="B366" s="1">
        <v>567676</v>
      </c>
      <c r="C366" s="1" t="s">
        <v>1189</v>
      </c>
      <c r="D366" s="38" t="s">
        <v>1883</v>
      </c>
      <c r="E366" s="4">
        <v>28701</v>
      </c>
      <c r="F366" s="1">
        <v>47</v>
      </c>
      <c r="G366" s="1" t="s">
        <v>212</v>
      </c>
      <c r="H366" s="1" t="s">
        <v>1501</v>
      </c>
      <c r="I366" s="1" t="s">
        <v>1501</v>
      </c>
      <c r="J366" s="1">
        <v>8530</v>
      </c>
      <c r="K366" s="1" t="s">
        <v>83</v>
      </c>
      <c r="L366" s="1" t="s">
        <v>19</v>
      </c>
      <c r="M366" s="1" t="s">
        <v>13</v>
      </c>
      <c r="N366" s="1" t="s">
        <v>5</v>
      </c>
      <c r="O366" s="1" t="s">
        <v>216</v>
      </c>
      <c r="P366" s="1" t="s">
        <v>53</v>
      </c>
      <c r="Q366" s="1" t="s">
        <v>19</v>
      </c>
      <c r="R366" s="1" t="s">
        <v>8</v>
      </c>
      <c r="S366" s="1" t="s">
        <v>15</v>
      </c>
      <c r="T366" s="1" t="s">
        <v>53</v>
      </c>
      <c r="U366" s="1" t="s">
        <v>8</v>
      </c>
      <c r="V366" s="1" t="str">
        <f>IF(pilgrims[[#This Row],[packages.second_hotel_name]]="",pilgrims[[#This Row],[packages.first_hotel_name]],pilgrims[[#This Row],[packages.second_hotel_name]])</f>
        <v>Swissotel Al Maqam Makkah</v>
      </c>
      <c r="W366" s="1" t="str">
        <f>IF(pilgrims[[#This Row],[packages.second_hotel_name]]="",pilgrims[[#This Row],[packages.first_hotel_check_in]],pilgrims[[#This Row],[packages.second_hotel_check_in]])</f>
        <v>2026-05-21</v>
      </c>
      <c r="X366" s="1" t="str">
        <f>IF(pilgrims[[#This Row],[packages.second_hotel_name]]="",pilgrims[[#This Row],[packages.first_hotel_check_out]],pilgrims[[#This Row],[packages.second_hotel_check_out]])</f>
        <v>2026-05-25</v>
      </c>
      <c r="Y366" s="1" t="s">
        <v>16</v>
      </c>
      <c r="Z366" s="1" t="s">
        <v>214</v>
      </c>
      <c r="AA366" s="1" t="s">
        <v>1197</v>
      </c>
      <c r="AB366" s="1" t="s">
        <v>1197</v>
      </c>
      <c r="AC366" s="1" t="s">
        <v>212</v>
      </c>
      <c r="AD366" s="1" t="s">
        <v>61</v>
      </c>
      <c r="AE366" s="1" t="s">
        <v>1280</v>
      </c>
      <c r="AF366" s="4">
        <v>46160</v>
      </c>
      <c r="AG366" s="5">
        <v>0.57986111111111116</v>
      </c>
      <c r="AH366" s="1" t="s">
        <v>63</v>
      </c>
      <c r="AI366" s="1" t="s">
        <v>1280</v>
      </c>
      <c r="AJ366" s="4">
        <v>46172</v>
      </c>
      <c r="AK366" s="5">
        <v>0.3923611111111111</v>
      </c>
      <c r="AL366" s="1" t="s">
        <v>215</v>
      </c>
      <c r="AM366" s="1"/>
    </row>
    <row r="367" spans="1:39" x14ac:dyDescent="0.3">
      <c r="A367" s="1">
        <v>597857</v>
      </c>
      <c r="B367" s="1">
        <v>571687</v>
      </c>
      <c r="C367" s="1" t="s">
        <v>1189</v>
      </c>
      <c r="D367" s="38" t="s">
        <v>1884</v>
      </c>
      <c r="E367" s="4">
        <v>32263</v>
      </c>
      <c r="F367" s="1">
        <v>37</v>
      </c>
      <c r="G367" s="1" t="s">
        <v>212</v>
      </c>
      <c r="H367" s="1" t="s">
        <v>1501</v>
      </c>
      <c r="I367" s="1" t="s">
        <v>1503</v>
      </c>
      <c r="J367" s="1">
        <v>8530</v>
      </c>
      <c r="K367" s="1" t="s">
        <v>83</v>
      </c>
      <c r="L367" s="1" t="s">
        <v>19</v>
      </c>
      <c r="M367" s="1" t="s">
        <v>13</v>
      </c>
      <c r="N367" s="1" t="s">
        <v>5</v>
      </c>
      <c r="O367" s="1" t="s">
        <v>216</v>
      </c>
      <c r="P367" s="1" t="s">
        <v>53</v>
      </c>
      <c r="Q367" s="1" t="s">
        <v>19</v>
      </c>
      <c r="R367" s="1" t="s">
        <v>8</v>
      </c>
      <c r="S367" s="1" t="s">
        <v>15</v>
      </c>
      <c r="T367" s="1" t="s">
        <v>53</v>
      </c>
      <c r="U367" s="1" t="s">
        <v>8</v>
      </c>
      <c r="V367" s="1" t="str">
        <f>IF(pilgrims[[#This Row],[packages.second_hotel_name]]="",pilgrims[[#This Row],[packages.first_hotel_name]],pilgrims[[#This Row],[packages.second_hotel_name]])</f>
        <v>Swissotel Al Maqam Makkah</v>
      </c>
      <c r="W367" s="1" t="str">
        <f>IF(pilgrims[[#This Row],[packages.second_hotel_name]]="",pilgrims[[#This Row],[packages.first_hotel_check_in]],pilgrims[[#This Row],[packages.second_hotel_check_in]])</f>
        <v>2026-05-21</v>
      </c>
      <c r="X367" s="1" t="str">
        <f>IF(pilgrims[[#This Row],[packages.second_hotel_name]]="",pilgrims[[#This Row],[packages.first_hotel_check_out]],pilgrims[[#This Row],[packages.second_hotel_check_out]])</f>
        <v>2026-05-25</v>
      </c>
      <c r="Y367" s="1" t="s">
        <v>16</v>
      </c>
      <c r="Z367" s="1" t="s">
        <v>214</v>
      </c>
      <c r="AA367" s="1" t="s">
        <v>1190</v>
      </c>
      <c r="AB367" s="1" t="s">
        <v>1190</v>
      </c>
      <c r="AC367" s="1" t="s">
        <v>212</v>
      </c>
      <c r="AD367" s="1" t="s">
        <v>133</v>
      </c>
      <c r="AE367" s="1" t="s">
        <v>1281</v>
      </c>
      <c r="AF367" s="4">
        <v>46160</v>
      </c>
      <c r="AG367" s="5">
        <v>0.3923611111111111</v>
      </c>
      <c r="AH367" s="1" t="s">
        <v>60</v>
      </c>
      <c r="AI367" s="1" t="s">
        <v>1280</v>
      </c>
      <c r="AJ367" s="4">
        <v>46173</v>
      </c>
      <c r="AK367" s="5">
        <v>0.12847222222222221</v>
      </c>
      <c r="AL367" s="1" t="s">
        <v>215</v>
      </c>
      <c r="AM367" s="1"/>
    </row>
    <row r="368" spans="1:39" x14ac:dyDescent="0.3">
      <c r="A368" s="1">
        <v>703923</v>
      </c>
      <c r="B368" s="1">
        <v>571687</v>
      </c>
      <c r="C368" s="1" t="s">
        <v>1188</v>
      </c>
      <c r="D368" s="38" t="s">
        <v>1885</v>
      </c>
      <c r="E368" s="4">
        <v>32167</v>
      </c>
      <c r="F368" s="1">
        <v>38</v>
      </c>
      <c r="G368" s="1" t="s">
        <v>212</v>
      </c>
      <c r="H368" s="1" t="s">
        <v>1501</v>
      </c>
      <c r="I368" s="1" t="s">
        <v>1502</v>
      </c>
      <c r="J368" s="1">
        <v>8530</v>
      </c>
      <c r="K368" s="1" t="s">
        <v>83</v>
      </c>
      <c r="L368" s="1" t="s">
        <v>19</v>
      </c>
      <c r="M368" s="1" t="s">
        <v>13</v>
      </c>
      <c r="N368" s="1" t="s">
        <v>5</v>
      </c>
      <c r="O368" s="1" t="s">
        <v>216</v>
      </c>
      <c r="P368" s="1" t="s">
        <v>53</v>
      </c>
      <c r="Q368" s="1" t="s">
        <v>19</v>
      </c>
      <c r="R368" s="1" t="s">
        <v>8</v>
      </c>
      <c r="S368" s="1" t="s">
        <v>15</v>
      </c>
      <c r="T368" s="1" t="s">
        <v>53</v>
      </c>
      <c r="U368" s="1" t="s">
        <v>8</v>
      </c>
      <c r="V368" s="1" t="str">
        <f>IF(pilgrims[[#This Row],[packages.second_hotel_name]]="",pilgrims[[#This Row],[packages.first_hotel_name]],pilgrims[[#This Row],[packages.second_hotel_name]])</f>
        <v>Swissotel Al Maqam Makkah</v>
      </c>
      <c r="W368" s="1" t="str">
        <f>IF(pilgrims[[#This Row],[packages.second_hotel_name]]="",pilgrims[[#This Row],[packages.first_hotel_check_in]],pilgrims[[#This Row],[packages.second_hotel_check_in]])</f>
        <v>2026-05-21</v>
      </c>
      <c r="X368" s="1" t="str">
        <f>IF(pilgrims[[#This Row],[packages.second_hotel_name]]="",pilgrims[[#This Row],[packages.first_hotel_check_out]],pilgrims[[#This Row],[packages.second_hotel_check_out]])</f>
        <v>2026-05-25</v>
      </c>
      <c r="Y368" s="1" t="s">
        <v>16</v>
      </c>
      <c r="Z368" s="1" t="s">
        <v>214</v>
      </c>
      <c r="AA368" s="1" t="s">
        <v>1190</v>
      </c>
      <c r="AB368" s="1" t="s">
        <v>1190</v>
      </c>
      <c r="AC368" s="1" t="s">
        <v>212</v>
      </c>
      <c r="AD368" s="1" t="s">
        <v>133</v>
      </c>
      <c r="AE368" s="1" t="s">
        <v>1281</v>
      </c>
      <c r="AF368" s="4">
        <v>46160</v>
      </c>
      <c r="AG368" s="5">
        <v>0.3923611111111111</v>
      </c>
      <c r="AH368" s="1" t="s">
        <v>60</v>
      </c>
      <c r="AI368" s="1" t="s">
        <v>1280</v>
      </c>
      <c r="AJ368" s="4">
        <v>46173</v>
      </c>
      <c r="AK368" s="5">
        <v>0.12847222222222221</v>
      </c>
      <c r="AL368" s="1" t="s">
        <v>215</v>
      </c>
      <c r="AM368" s="1"/>
    </row>
    <row r="369" spans="1:39" x14ac:dyDescent="0.3">
      <c r="A369" s="1">
        <v>660769</v>
      </c>
      <c r="B369" s="1">
        <v>667703</v>
      </c>
      <c r="C369" s="1" t="s">
        <v>1189</v>
      </c>
      <c r="D369" s="38" t="s">
        <v>1886</v>
      </c>
      <c r="E369" s="4">
        <v>20705</v>
      </c>
      <c r="F369" s="1">
        <v>69</v>
      </c>
      <c r="G369" s="1" t="s">
        <v>212</v>
      </c>
      <c r="H369" s="1" t="s">
        <v>1502</v>
      </c>
      <c r="I369" s="1" t="s">
        <v>1502</v>
      </c>
      <c r="J369" s="1">
        <v>8670</v>
      </c>
      <c r="K369" s="1" t="s">
        <v>79</v>
      </c>
      <c r="L369" s="1" t="s">
        <v>3</v>
      </c>
      <c r="M369" s="1" t="s">
        <v>4</v>
      </c>
      <c r="N369" s="1" t="s">
        <v>5</v>
      </c>
      <c r="O369" s="1" t="s">
        <v>216</v>
      </c>
      <c r="P369" s="1" t="s">
        <v>53</v>
      </c>
      <c r="Q369" s="1" t="s">
        <v>6</v>
      </c>
      <c r="R369" s="1" t="s">
        <v>4</v>
      </c>
      <c r="S369" s="1"/>
      <c r="T369" s="1"/>
      <c r="U369" s="1"/>
      <c r="V369" s="1" t="str">
        <f>IF(pilgrims[[#This Row],[packages.second_hotel_name]]="",pilgrims[[#This Row],[packages.first_hotel_name]],pilgrims[[#This Row],[packages.second_hotel_name]])</f>
        <v>Movenpick Anwar Almadinah Hotel</v>
      </c>
      <c r="W369" s="1" t="str">
        <f>IF(pilgrims[[#This Row],[packages.second_hotel_name]]="",pilgrims[[#This Row],[packages.first_hotel_check_in]],pilgrims[[#This Row],[packages.second_hotel_check_in]])</f>
        <v>2026-05-30</v>
      </c>
      <c r="X369" s="1" t="str">
        <f>IF(pilgrims[[#This Row],[packages.second_hotel_name]]="",pilgrims[[#This Row],[packages.first_hotel_check_out]],pilgrims[[#This Row],[packages.second_hotel_check_out]])</f>
        <v>2026-06-02</v>
      </c>
      <c r="Y369" s="1"/>
      <c r="Z369" s="1" t="s">
        <v>261</v>
      </c>
      <c r="AA369" s="1" t="s">
        <v>796</v>
      </c>
      <c r="AB369" s="1" t="s">
        <v>1384</v>
      </c>
      <c r="AC369" s="1" t="s">
        <v>797</v>
      </c>
      <c r="AD369" s="1" t="s">
        <v>1297</v>
      </c>
      <c r="AE369" s="1" t="s">
        <v>1280</v>
      </c>
      <c r="AF369" s="4">
        <v>46165</v>
      </c>
      <c r="AG369" s="5">
        <v>0.54513888888888884</v>
      </c>
      <c r="AH369" s="1" t="s">
        <v>1298</v>
      </c>
      <c r="AI369" s="1" t="s">
        <v>1281</v>
      </c>
      <c r="AJ369" s="4">
        <v>46175</v>
      </c>
      <c r="AK369" s="5">
        <v>0.21527777777777779</v>
      </c>
      <c r="AL369" s="1" t="s">
        <v>215</v>
      </c>
      <c r="AM369" s="1"/>
    </row>
    <row r="370" spans="1:39" x14ac:dyDescent="0.3">
      <c r="A370" s="1">
        <v>624378</v>
      </c>
      <c r="B370" s="1">
        <v>505099</v>
      </c>
      <c r="C370" s="1" t="s">
        <v>1188</v>
      </c>
      <c r="D370" s="38" t="s">
        <v>1887</v>
      </c>
      <c r="E370" s="4">
        <v>27914</v>
      </c>
      <c r="F370" s="1">
        <v>49</v>
      </c>
      <c r="G370" s="1" t="s">
        <v>212</v>
      </c>
      <c r="H370" s="1" t="s">
        <v>1501</v>
      </c>
      <c r="I370" s="1" t="s">
        <v>1501</v>
      </c>
      <c r="J370" s="1">
        <v>8530</v>
      </c>
      <c r="K370" s="1" t="s">
        <v>83</v>
      </c>
      <c r="L370" s="1" t="s">
        <v>19</v>
      </c>
      <c r="M370" s="1" t="s">
        <v>13</v>
      </c>
      <c r="N370" s="1" t="s">
        <v>5</v>
      </c>
      <c r="O370" s="1" t="s">
        <v>216</v>
      </c>
      <c r="P370" s="1" t="s">
        <v>53</v>
      </c>
      <c r="Q370" s="1" t="s">
        <v>19</v>
      </c>
      <c r="R370" s="1" t="s">
        <v>8</v>
      </c>
      <c r="S370" s="1" t="s">
        <v>15</v>
      </c>
      <c r="T370" s="1" t="s">
        <v>53</v>
      </c>
      <c r="U370" s="1" t="s">
        <v>8</v>
      </c>
      <c r="V370" s="1" t="str">
        <f>IF(pilgrims[[#This Row],[packages.second_hotel_name]]="",pilgrims[[#This Row],[packages.first_hotel_name]],pilgrims[[#This Row],[packages.second_hotel_name]])</f>
        <v>Swissotel Al Maqam Makkah</v>
      </c>
      <c r="W370" s="1" t="str">
        <f>IF(pilgrims[[#This Row],[packages.second_hotel_name]]="",pilgrims[[#This Row],[packages.first_hotel_check_in]],pilgrims[[#This Row],[packages.second_hotel_check_in]])</f>
        <v>2026-05-21</v>
      </c>
      <c r="X370" s="1" t="str">
        <f>IF(pilgrims[[#This Row],[packages.second_hotel_name]]="",pilgrims[[#This Row],[packages.first_hotel_check_out]],pilgrims[[#This Row],[packages.second_hotel_check_out]])</f>
        <v>2026-05-25</v>
      </c>
      <c r="Y370" s="1" t="s">
        <v>16</v>
      </c>
      <c r="Z370" s="1" t="s">
        <v>214</v>
      </c>
      <c r="AA370" s="1" t="s">
        <v>1209</v>
      </c>
      <c r="AB370" s="1" t="s">
        <v>1209</v>
      </c>
      <c r="AC370" s="1" t="s">
        <v>212</v>
      </c>
      <c r="AD370" s="1" t="s">
        <v>134</v>
      </c>
      <c r="AE370" s="1" t="s">
        <v>1281</v>
      </c>
      <c r="AF370" s="4">
        <v>46160</v>
      </c>
      <c r="AG370" s="5">
        <v>0.73958333333333337</v>
      </c>
      <c r="AH370" s="1" t="s">
        <v>68</v>
      </c>
      <c r="AI370" s="1" t="s">
        <v>1280</v>
      </c>
      <c r="AJ370" s="4">
        <v>46172</v>
      </c>
      <c r="AK370" s="5">
        <v>0.38541666666666669</v>
      </c>
      <c r="AL370" s="1" t="s">
        <v>215</v>
      </c>
      <c r="AM370" s="1"/>
    </row>
    <row r="371" spans="1:39" x14ac:dyDescent="0.3">
      <c r="A371" s="1">
        <v>825912</v>
      </c>
      <c r="B371" s="1">
        <v>667703</v>
      </c>
      <c r="C371" s="1" t="s">
        <v>1189</v>
      </c>
      <c r="D371" s="38" t="s">
        <v>1888</v>
      </c>
      <c r="E371" s="4">
        <v>35037</v>
      </c>
      <c r="F371" s="1">
        <v>30</v>
      </c>
      <c r="G371" s="1" t="s">
        <v>212</v>
      </c>
      <c r="H371" s="1" t="s">
        <v>1502</v>
      </c>
      <c r="I371" s="1" t="s">
        <v>1502</v>
      </c>
      <c r="J371" s="1">
        <v>8670</v>
      </c>
      <c r="K371" s="1" t="s">
        <v>79</v>
      </c>
      <c r="L371" s="1" t="s">
        <v>3</v>
      </c>
      <c r="M371" s="1" t="s">
        <v>4</v>
      </c>
      <c r="N371" s="1" t="s">
        <v>5</v>
      </c>
      <c r="O371" s="1" t="s">
        <v>216</v>
      </c>
      <c r="P371" s="1" t="s">
        <v>53</v>
      </c>
      <c r="Q371" s="1" t="s">
        <v>6</v>
      </c>
      <c r="R371" s="1" t="s">
        <v>4</v>
      </c>
      <c r="S371" s="1"/>
      <c r="T371" s="1"/>
      <c r="U371" s="1"/>
      <c r="V371" s="1" t="str">
        <f>IF(pilgrims[[#This Row],[packages.second_hotel_name]]="",pilgrims[[#This Row],[packages.first_hotel_name]],pilgrims[[#This Row],[packages.second_hotel_name]])</f>
        <v>Movenpick Anwar Almadinah Hotel</v>
      </c>
      <c r="W371" s="1" t="str">
        <f>IF(pilgrims[[#This Row],[packages.second_hotel_name]]="",pilgrims[[#This Row],[packages.first_hotel_check_in]],pilgrims[[#This Row],[packages.second_hotel_check_in]])</f>
        <v>2026-05-30</v>
      </c>
      <c r="X371" s="1" t="str">
        <f>IF(pilgrims[[#This Row],[packages.second_hotel_name]]="",pilgrims[[#This Row],[packages.first_hotel_check_out]],pilgrims[[#This Row],[packages.second_hotel_check_out]])</f>
        <v>2026-06-02</v>
      </c>
      <c r="Y371" s="1"/>
      <c r="Z371" s="1" t="s">
        <v>261</v>
      </c>
      <c r="AA371" s="1" t="s">
        <v>796</v>
      </c>
      <c r="AB371" s="1" t="s">
        <v>1384</v>
      </c>
      <c r="AC371" s="1" t="s">
        <v>797</v>
      </c>
      <c r="AD371" s="1" t="s">
        <v>1297</v>
      </c>
      <c r="AE371" s="1" t="s">
        <v>1280</v>
      </c>
      <c r="AF371" s="4">
        <v>46165</v>
      </c>
      <c r="AG371" s="5">
        <v>0.54513888888888884</v>
      </c>
      <c r="AH371" s="1" t="s">
        <v>1298</v>
      </c>
      <c r="AI371" s="1" t="s">
        <v>1281</v>
      </c>
      <c r="AJ371" s="4">
        <v>46175</v>
      </c>
      <c r="AK371" s="5">
        <v>0.21527777777777779</v>
      </c>
      <c r="AL371" s="1" t="s">
        <v>215</v>
      </c>
      <c r="AM371" s="1"/>
    </row>
    <row r="372" spans="1:39" x14ac:dyDescent="0.3">
      <c r="A372" s="1">
        <v>624380</v>
      </c>
      <c r="B372" s="1">
        <v>505099</v>
      </c>
      <c r="C372" s="1" t="s">
        <v>1189</v>
      </c>
      <c r="D372" s="38" t="s">
        <v>1889</v>
      </c>
      <c r="E372" s="4">
        <v>30880</v>
      </c>
      <c r="F372" s="1">
        <v>41</v>
      </c>
      <c r="G372" s="1" t="s">
        <v>212</v>
      </c>
      <c r="H372" s="1" t="s">
        <v>1501</v>
      </c>
      <c r="I372" s="1" t="s">
        <v>1501</v>
      </c>
      <c r="J372" s="1">
        <v>8530</v>
      </c>
      <c r="K372" s="1" t="s">
        <v>83</v>
      </c>
      <c r="L372" s="1" t="s">
        <v>19</v>
      </c>
      <c r="M372" s="1" t="s">
        <v>13</v>
      </c>
      <c r="N372" s="1" t="s">
        <v>5</v>
      </c>
      <c r="O372" s="1" t="s">
        <v>216</v>
      </c>
      <c r="P372" s="1" t="s">
        <v>53</v>
      </c>
      <c r="Q372" s="1" t="s">
        <v>19</v>
      </c>
      <c r="R372" s="1" t="s">
        <v>8</v>
      </c>
      <c r="S372" s="1" t="s">
        <v>15</v>
      </c>
      <c r="T372" s="1" t="s">
        <v>53</v>
      </c>
      <c r="U372" s="1" t="s">
        <v>8</v>
      </c>
      <c r="V372" s="1" t="str">
        <f>IF(pilgrims[[#This Row],[packages.second_hotel_name]]="",pilgrims[[#This Row],[packages.first_hotel_name]],pilgrims[[#This Row],[packages.second_hotel_name]])</f>
        <v>Swissotel Al Maqam Makkah</v>
      </c>
      <c r="W372" s="1" t="str">
        <f>IF(pilgrims[[#This Row],[packages.second_hotel_name]]="",pilgrims[[#This Row],[packages.first_hotel_check_in]],pilgrims[[#This Row],[packages.second_hotel_check_in]])</f>
        <v>2026-05-21</v>
      </c>
      <c r="X372" s="1" t="str">
        <f>IF(pilgrims[[#This Row],[packages.second_hotel_name]]="",pilgrims[[#This Row],[packages.first_hotel_check_out]],pilgrims[[#This Row],[packages.second_hotel_check_out]])</f>
        <v>2026-05-25</v>
      </c>
      <c r="Y372" s="1" t="s">
        <v>16</v>
      </c>
      <c r="Z372" s="1" t="s">
        <v>214</v>
      </c>
      <c r="AA372" s="1" t="s">
        <v>1209</v>
      </c>
      <c r="AB372" s="1" t="s">
        <v>1209</v>
      </c>
      <c r="AC372" s="1" t="s">
        <v>212</v>
      </c>
      <c r="AD372" s="1" t="s">
        <v>134</v>
      </c>
      <c r="AE372" s="1" t="s">
        <v>1281</v>
      </c>
      <c r="AF372" s="4">
        <v>46160</v>
      </c>
      <c r="AG372" s="5">
        <v>0.73958333333333337</v>
      </c>
      <c r="AH372" s="1" t="s">
        <v>68</v>
      </c>
      <c r="AI372" s="1" t="s">
        <v>1280</v>
      </c>
      <c r="AJ372" s="4">
        <v>46172</v>
      </c>
      <c r="AK372" s="5">
        <v>0.38541666666666669</v>
      </c>
      <c r="AL372" s="1" t="s">
        <v>215</v>
      </c>
      <c r="AM372" s="1"/>
    </row>
    <row r="373" spans="1:39" x14ac:dyDescent="0.3">
      <c r="A373" s="1">
        <v>59288</v>
      </c>
      <c r="B373" s="1">
        <v>49547</v>
      </c>
      <c r="C373" s="1" t="s">
        <v>1188</v>
      </c>
      <c r="D373" s="38" t="s">
        <v>1890</v>
      </c>
      <c r="E373" s="4">
        <v>31512</v>
      </c>
      <c r="F373" s="1">
        <v>39</v>
      </c>
      <c r="G373" s="1" t="s">
        <v>212</v>
      </c>
      <c r="H373" s="1" t="s">
        <v>1501</v>
      </c>
      <c r="I373" s="1" t="s">
        <v>1501</v>
      </c>
      <c r="J373" s="1">
        <v>8728</v>
      </c>
      <c r="K373" s="1" t="s">
        <v>97</v>
      </c>
      <c r="L373" s="1" t="s">
        <v>8</v>
      </c>
      <c r="M373" s="1" t="s">
        <v>4</v>
      </c>
      <c r="N373" s="1" t="s">
        <v>12</v>
      </c>
      <c r="O373" s="1" t="s">
        <v>216</v>
      </c>
      <c r="P373" s="1" t="s">
        <v>53</v>
      </c>
      <c r="Q373" s="1" t="s">
        <v>8</v>
      </c>
      <c r="R373" s="1" t="s">
        <v>16</v>
      </c>
      <c r="S373" s="1" t="s">
        <v>28</v>
      </c>
      <c r="T373" s="1" t="s">
        <v>52</v>
      </c>
      <c r="U373" s="1" t="s">
        <v>6</v>
      </c>
      <c r="V373" s="1" t="str">
        <f>IF(pilgrims[[#This Row],[packages.second_hotel_name]]="",pilgrims[[#This Row],[packages.first_hotel_name]],pilgrims[[#This Row],[packages.second_hotel_name]])</f>
        <v>Madinah Hilton Hotel</v>
      </c>
      <c r="W373" s="1" t="str">
        <f>IF(pilgrims[[#This Row],[packages.second_hotel_name]]="",pilgrims[[#This Row],[packages.first_hotel_check_in]],pilgrims[[#This Row],[packages.second_hotel_check_in]])</f>
        <v>2026-05-30</v>
      </c>
      <c r="X373" s="1" t="str">
        <f>IF(pilgrims[[#This Row],[packages.second_hotel_name]]="",pilgrims[[#This Row],[packages.first_hotel_check_out]],pilgrims[[#This Row],[packages.second_hotel_check_out]])</f>
        <v>2026-06-02</v>
      </c>
      <c r="Y373" s="1" t="s">
        <v>4</v>
      </c>
      <c r="Z373" s="1" t="s">
        <v>214</v>
      </c>
      <c r="AA373" s="1" t="s">
        <v>1192</v>
      </c>
      <c r="AB373" s="1" t="s">
        <v>1192</v>
      </c>
      <c r="AC373" s="1" t="s">
        <v>212</v>
      </c>
      <c r="AD373" s="1" t="s">
        <v>57</v>
      </c>
      <c r="AE373" s="1" t="s">
        <v>1280</v>
      </c>
      <c r="AF373" s="4">
        <v>46163</v>
      </c>
      <c r="AG373" s="5">
        <v>0.2361111111111111</v>
      </c>
      <c r="AH373" s="1" t="s">
        <v>76</v>
      </c>
      <c r="AI373" s="1" t="s">
        <v>1281</v>
      </c>
      <c r="AJ373" s="4">
        <v>46175</v>
      </c>
      <c r="AK373" s="5">
        <v>0.93055555555555558</v>
      </c>
      <c r="AL373" s="1" t="s">
        <v>215</v>
      </c>
      <c r="AM373" s="1"/>
    </row>
    <row r="374" spans="1:39" x14ac:dyDescent="0.3">
      <c r="A374" s="1">
        <v>470827</v>
      </c>
      <c r="B374" s="1">
        <v>49547</v>
      </c>
      <c r="C374" s="1" t="s">
        <v>1189</v>
      </c>
      <c r="D374" s="38" t="s">
        <v>1891</v>
      </c>
      <c r="E374" s="4">
        <v>18908</v>
      </c>
      <c r="F374" s="1">
        <v>74</v>
      </c>
      <c r="G374" s="1" t="s">
        <v>212</v>
      </c>
      <c r="H374" s="1" t="s">
        <v>1501</v>
      </c>
      <c r="I374" s="1" t="s">
        <v>1501</v>
      </c>
      <c r="J374" s="1">
        <v>8728</v>
      </c>
      <c r="K374" s="1" t="s">
        <v>97</v>
      </c>
      <c r="L374" s="1" t="s">
        <v>8</v>
      </c>
      <c r="M374" s="1" t="s">
        <v>4</v>
      </c>
      <c r="N374" s="1" t="s">
        <v>12</v>
      </c>
      <c r="O374" s="1" t="s">
        <v>216</v>
      </c>
      <c r="P374" s="1" t="s">
        <v>53</v>
      </c>
      <c r="Q374" s="1" t="s">
        <v>8</v>
      </c>
      <c r="R374" s="1" t="s">
        <v>16</v>
      </c>
      <c r="S374" s="1" t="s">
        <v>28</v>
      </c>
      <c r="T374" s="1" t="s">
        <v>52</v>
      </c>
      <c r="U374" s="1" t="s">
        <v>6</v>
      </c>
      <c r="V374" s="1" t="str">
        <f>IF(pilgrims[[#This Row],[packages.second_hotel_name]]="",pilgrims[[#This Row],[packages.first_hotel_name]],pilgrims[[#This Row],[packages.second_hotel_name]])</f>
        <v>Madinah Hilton Hotel</v>
      </c>
      <c r="W374" s="1" t="str">
        <f>IF(pilgrims[[#This Row],[packages.second_hotel_name]]="",pilgrims[[#This Row],[packages.first_hotel_check_in]],pilgrims[[#This Row],[packages.second_hotel_check_in]])</f>
        <v>2026-05-30</v>
      </c>
      <c r="X374" s="1" t="str">
        <f>IF(pilgrims[[#This Row],[packages.second_hotel_name]]="",pilgrims[[#This Row],[packages.first_hotel_check_out]],pilgrims[[#This Row],[packages.second_hotel_check_out]])</f>
        <v>2026-06-02</v>
      </c>
      <c r="Y374" s="1" t="s">
        <v>4</v>
      </c>
      <c r="Z374" s="1" t="s">
        <v>214</v>
      </c>
      <c r="AA374" s="1" t="s">
        <v>1192</v>
      </c>
      <c r="AB374" s="1" t="s">
        <v>1192</v>
      </c>
      <c r="AC374" s="1" t="s">
        <v>212</v>
      </c>
      <c r="AD374" s="1" t="s">
        <v>57</v>
      </c>
      <c r="AE374" s="1" t="s">
        <v>1280</v>
      </c>
      <c r="AF374" s="4">
        <v>46163</v>
      </c>
      <c r="AG374" s="5">
        <v>0.2361111111111111</v>
      </c>
      <c r="AH374" s="1" t="s">
        <v>76</v>
      </c>
      <c r="AI374" s="1" t="s">
        <v>1281</v>
      </c>
      <c r="AJ374" s="4">
        <v>46175</v>
      </c>
      <c r="AK374" s="5">
        <v>0.93055555555555558</v>
      </c>
      <c r="AL374" s="1" t="s">
        <v>215</v>
      </c>
      <c r="AM374" s="1"/>
    </row>
    <row r="375" spans="1:39" x14ac:dyDescent="0.3">
      <c r="A375" s="1">
        <v>715118</v>
      </c>
      <c r="B375" s="1">
        <v>580221</v>
      </c>
      <c r="C375" s="1" t="s">
        <v>1188</v>
      </c>
      <c r="D375" s="38" t="s">
        <v>1892</v>
      </c>
      <c r="E375" s="4">
        <v>27768</v>
      </c>
      <c r="F375" s="1">
        <v>50</v>
      </c>
      <c r="G375" s="1" t="s">
        <v>212</v>
      </c>
      <c r="H375" s="1" t="s">
        <v>1501</v>
      </c>
      <c r="I375" s="1" t="s">
        <v>1501</v>
      </c>
      <c r="J375" s="1">
        <v>8530</v>
      </c>
      <c r="K375" s="1" t="s">
        <v>83</v>
      </c>
      <c r="L375" s="1" t="s">
        <v>19</v>
      </c>
      <c r="M375" s="1" t="s">
        <v>13</v>
      </c>
      <c r="N375" s="1" t="s">
        <v>5</v>
      </c>
      <c r="O375" s="1" t="s">
        <v>216</v>
      </c>
      <c r="P375" s="1" t="s">
        <v>53</v>
      </c>
      <c r="Q375" s="1" t="s">
        <v>19</v>
      </c>
      <c r="R375" s="1" t="s">
        <v>8</v>
      </c>
      <c r="S375" s="1" t="s">
        <v>15</v>
      </c>
      <c r="T375" s="1" t="s">
        <v>53</v>
      </c>
      <c r="U375" s="1" t="s">
        <v>8</v>
      </c>
      <c r="V375" s="1" t="str">
        <f>IF(pilgrims[[#This Row],[packages.second_hotel_name]]="",pilgrims[[#This Row],[packages.first_hotel_name]],pilgrims[[#This Row],[packages.second_hotel_name]])</f>
        <v>Swissotel Al Maqam Makkah</v>
      </c>
      <c r="W375" s="1" t="str">
        <f>IF(pilgrims[[#This Row],[packages.second_hotel_name]]="",pilgrims[[#This Row],[packages.first_hotel_check_in]],pilgrims[[#This Row],[packages.second_hotel_check_in]])</f>
        <v>2026-05-21</v>
      </c>
      <c r="X375" s="1" t="str">
        <f>IF(pilgrims[[#This Row],[packages.second_hotel_name]]="",pilgrims[[#This Row],[packages.first_hotel_check_out]],pilgrims[[#This Row],[packages.second_hotel_check_out]])</f>
        <v>2026-05-25</v>
      </c>
      <c r="Y375" s="1" t="s">
        <v>16</v>
      </c>
      <c r="Z375" s="1" t="s">
        <v>214</v>
      </c>
      <c r="AA375" s="1" t="s">
        <v>1194</v>
      </c>
      <c r="AB375" s="1" t="s">
        <v>1194</v>
      </c>
      <c r="AC375" s="1" t="s">
        <v>212</v>
      </c>
      <c r="AD375" s="1" t="s">
        <v>137</v>
      </c>
      <c r="AE375" s="1" t="s">
        <v>1281</v>
      </c>
      <c r="AF375" s="4">
        <v>46161</v>
      </c>
      <c r="AG375" s="5">
        <v>0.87847222222222221</v>
      </c>
      <c r="AH375" s="1" t="s">
        <v>63</v>
      </c>
      <c r="AI375" s="1" t="s">
        <v>1280</v>
      </c>
      <c r="AJ375" s="4">
        <v>46173</v>
      </c>
      <c r="AK375" s="5">
        <v>0.3923611111111111</v>
      </c>
      <c r="AL375" s="1" t="s">
        <v>215</v>
      </c>
      <c r="AM375" s="1"/>
    </row>
    <row r="376" spans="1:39" x14ac:dyDescent="0.3">
      <c r="A376" s="1">
        <v>791920</v>
      </c>
      <c r="B376" s="1">
        <v>641155</v>
      </c>
      <c r="C376" s="1" t="s">
        <v>1188</v>
      </c>
      <c r="D376" s="38" t="s">
        <v>1893</v>
      </c>
      <c r="E376" s="4">
        <v>25211</v>
      </c>
      <c r="F376" s="1">
        <v>57</v>
      </c>
      <c r="G376" s="1" t="s">
        <v>212</v>
      </c>
      <c r="H376" s="1" t="s">
        <v>1501</v>
      </c>
      <c r="I376" s="1" t="s">
        <v>1501</v>
      </c>
      <c r="J376" s="1">
        <v>8538</v>
      </c>
      <c r="K376" s="1" t="s">
        <v>88</v>
      </c>
      <c r="L376" s="1" t="s">
        <v>8</v>
      </c>
      <c r="M376" s="1" t="s">
        <v>4</v>
      </c>
      <c r="N376" s="1" t="s">
        <v>15</v>
      </c>
      <c r="O376" s="1" t="s">
        <v>216</v>
      </c>
      <c r="P376" s="1" t="s">
        <v>53</v>
      </c>
      <c r="Q376" s="1" t="s">
        <v>8</v>
      </c>
      <c r="R376" s="1" t="s">
        <v>16</v>
      </c>
      <c r="S376" s="1" t="s">
        <v>5</v>
      </c>
      <c r="T376" s="1" t="s">
        <v>53</v>
      </c>
      <c r="U376" s="1" t="s">
        <v>6</v>
      </c>
      <c r="V376" s="1" t="str">
        <f>IF(pilgrims[[#This Row],[packages.second_hotel_name]]="",pilgrims[[#This Row],[packages.first_hotel_name]],pilgrims[[#This Row],[packages.second_hotel_name]])</f>
        <v>Movenpick Anwar Almadinah Hotel</v>
      </c>
      <c r="W376" s="1" t="str">
        <f>IF(pilgrims[[#This Row],[packages.second_hotel_name]]="",pilgrims[[#This Row],[packages.first_hotel_check_in]],pilgrims[[#This Row],[packages.second_hotel_check_in]])</f>
        <v>2026-05-30</v>
      </c>
      <c r="X376" s="1" t="str">
        <f>IF(pilgrims[[#This Row],[packages.second_hotel_name]]="",pilgrims[[#This Row],[packages.first_hotel_check_out]],pilgrims[[#This Row],[packages.second_hotel_check_out]])</f>
        <v>2026-06-02</v>
      </c>
      <c r="Y376" s="1" t="s">
        <v>4</v>
      </c>
      <c r="Z376" s="1" t="s">
        <v>261</v>
      </c>
      <c r="AA376" s="1" t="s">
        <v>805</v>
      </c>
      <c r="AB376" s="1" t="s">
        <v>1373</v>
      </c>
      <c r="AC376" s="1" t="s">
        <v>806</v>
      </c>
      <c r="AD376" s="1" t="s">
        <v>1314</v>
      </c>
      <c r="AE376" s="1" t="s">
        <v>1280</v>
      </c>
      <c r="AF376" s="4">
        <v>46163</v>
      </c>
      <c r="AG376" s="5">
        <v>0.16319444444444445</v>
      </c>
      <c r="AH376" s="1" t="s">
        <v>1374</v>
      </c>
      <c r="AI376" s="1" t="s">
        <v>1281</v>
      </c>
      <c r="AJ376" s="4">
        <v>46175</v>
      </c>
      <c r="AK376" s="5">
        <v>0.64236111111111116</v>
      </c>
      <c r="AL376" s="1" t="s">
        <v>215</v>
      </c>
      <c r="AM376" s="1"/>
    </row>
    <row r="377" spans="1:39" x14ac:dyDescent="0.3">
      <c r="A377" s="1">
        <v>715193</v>
      </c>
      <c r="B377" s="1">
        <v>580221</v>
      </c>
      <c r="C377" s="1" t="s">
        <v>1189</v>
      </c>
      <c r="D377" s="38" t="s">
        <v>1894</v>
      </c>
      <c r="E377" s="4">
        <v>29523</v>
      </c>
      <c r="F377" s="1">
        <v>45</v>
      </c>
      <c r="G377" s="1" t="s">
        <v>212</v>
      </c>
      <c r="H377" s="1" t="s">
        <v>1501</v>
      </c>
      <c r="I377" s="1" t="s">
        <v>1501</v>
      </c>
      <c r="J377" s="1">
        <v>8530</v>
      </c>
      <c r="K377" s="1" t="s">
        <v>83</v>
      </c>
      <c r="L377" s="1" t="s">
        <v>19</v>
      </c>
      <c r="M377" s="1" t="s">
        <v>13</v>
      </c>
      <c r="N377" s="1" t="s">
        <v>5</v>
      </c>
      <c r="O377" s="1" t="s">
        <v>216</v>
      </c>
      <c r="P377" s="1" t="s">
        <v>53</v>
      </c>
      <c r="Q377" s="1" t="s">
        <v>19</v>
      </c>
      <c r="R377" s="1" t="s">
        <v>8</v>
      </c>
      <c r="S377" s="1" t="s">
        <v>15</v>
      </c>
      <c r="T377" s="1" t="s">
        <v>53</v>
      </c>
      <c r="U377" s="1" t="s">
        <v>8</v>
      </c>
      <c r="V377" s="1" t="str">
        <f>IF(pilgrims[[#This Row],[packages.second_hotel_name]]="",pilgrims[[#This Row],[packages.first_hotel_name]],pilgrims[[#This Row],[packages.second_hotel_name]])</f>
        <v>Swissotel Al Maqam Makkah</v>
      </c>
      <c r="W377" s="1" t="str">
        <f>IF(pilgrims[[#This Row],[packages.second_hotel_name]]="",pilgrims[[#This Row],[packages.first_hotel_check_in]],pilgrims[[#This Row],[packages.second_hotel_check_in]])</f>
        <v>2026-05-21</v>
      </c>
      <c r="X377" s="1" t="str">
        <f>IF(pilgrims[[#This Row],[packages.second_hotel_name]]="",pilgrims[[#This Row],[packages.first_hotel_check_out]],pilgrims[[#This Row],[packages.second_hotel_check_out]])</f>
        <v>2026-05-25</v>
      </c>
      <c r="Y377" s="1" t="s">
        <v>16</v>
      </c>
      <c r="Z377" s="1" t="s">
        <v>214</v>
      </c>
      <c r="AA377" s="1" t="s">
        <v>1194</v>
      </c>
      <c r="AB377" s="1" t="s">
        <v>1194</v>
      </c>
      <c r="AC377" s="1" t="s">
        <v>212</v>
      </c>
      <c r="AD377" s="1" t="s">
        <v>137</v>
      </c>
      <c r="AE377" s="1" t="s">
        <v>1281</v>
      </c>
      <c r="AF377" s="4">
        <v>46161</v>
      </c>
      <c r="AG377" s="5">
        <v>0.87847222222222221</v>
      </c>
      <c r="AH377" s="1" t="s">
        <v>63</v>
      </c>
      <c r="AI377" s="1" t="s">
        <v>1280</v>
      </c>
      <c r="AJ377" s="4">
        <v>46173</v>
      </c>
      <c r="AK377" s="5">
        <v>0.3923611111111111</v>
      </c>
      <c r="AL377" s="1" t="s">
        <v>215</v>
      </c>
      <c r="AM377" s="1"/>
    </row>
    <row r="378" spans="1:39" x14ac:dyDescent="0.3">
      <c r="A378" s="1">
        <v>792005</v>
      </c>
      <c r="B378" s="1">
        <v>641155</v>
      </c>
      <c r="C378" s="1" t="s">
        <v>1189</v>
      </c>
      <c r="D378" s="38" t="s">
        <v>1895</v>
      </c>
      <c r="E378" s="4">
        <v>27182</v>
      </c>
      <c r="F378" s="1">
        <v>51</v>
      </c>
      <c r="G378" s="1" t="s">
        <v>212</v>
      </c>
      <c r="H378" s="1" t="s">
        <v>1501</v>
      </c>
      <c r="I378" s="1" t="s">
        <v>1501</v>
      </c>
      <c r="J378" s="1">
        <v>8538</v>
      </c>
      <c r="K378" s="1" t="s">
        <v>88</v>
      </c>
      <c r="L378" s="1" t="s">
        <v>8</v>
      </c>
      <c r="M378" s="1" t="s">
        <v>4</v>
      </c>
      <c r="N378" s="1" t="s">
        <v>15</v>
      </c>
      <c r="O378" s="1" t="s">
        <v>216</v>
      </c>
      <c r="P378" s="1" t="s">
        <v>53</v>
      </c>
      <c r="Q378" s="1" t="s">
        <v>8</v>
      </c>
      <c r="R378" s="1" t="s">
        <v>16</v>
      </c>
      <c r="S378" s="1" t="s">
        <v>5</v>
      </c>
      <c r="T378" s="1" t="s">
        <v>53</v>
      </c>
      <c r="U378" s="1" t="s">
        <v>6</v>
      </c>
      <c r="V378" s="1" t="str">
        <f>IF(pilgrims[[#This Row],[packages.second_hotel_name]]="",pilgrims[[#This Row],[packages.first_hotel_name]],pilgrims[[#This Row],[packages.second_hotel_name]])</f>
        <v>Movenpick Anwar Almadinah Hotel</v>
      </c>
      <c r="W378" s="1" t="str">
        <f>IF(pilgrims[[#This Row],[packages.second_hotel_name]]="",pilgrims[[#This Row],[packages.first_hotel_check_in]],pilgrims[[#This Row],[packages.second_hotel_check_in]])</f>
        <v>2026-05-30</v>
      </c>
      <c r="X378" s="1" t="str">
        <f>IF(pilgrims[[#This Row],[packages.second_hotel_name]]="",pilgrims[[#This Row],[packages.first_hotel_check_out]],pilgrims[[#This Row],[packages.second_hotel_check_out]])</f>
        <v>2026-06-02</v>
      </c>
      <c r="Y378" s="1" t="s">
        <v>4</v>
      </c>
      <c r="Z378" s="1" t="s">
        <v>261</v>
      </c>
      <c r="AA378" s="1" t="s">
        <v>805</v>
      </c>
      <c r="AB378" s="1" t="s">
        <v>1373</v>
      </c>
      <c r="AC378" s="1" t="s">
        <v>806</v>
      </c>
      <c r="AD378" s="1" t="s">
        <v>1314</v>
      </c>
      <c r="AE378" s="1" t="s">
        <v>1280</v>
      </c>
      <c r="AF378" s="4">
        <v>46163</v>
      </c>
      <c r="AG378" s="5">
        <v>0.16319444444444445</v>
      </c>
      <c r="AH378" s="1" t="s">
        <v>1374</v>
      </c>
      <c r="AI378" s="1" t="s">
        <v>1281</v>
      </c>
      <c r="AJ378" s="4">
        <v>46175</v>
      </c>
      <c r="AK378" s="5">
        <v>0.64236111111111116</v>
      </c>
      <c r="AL378" s="1" t="s">
        <v>215</v>
      </c>
      <c r="AM378" s="1"/>
    </row>
    <row r="379" spans="1:39" x14ac:dyDescent="0.3">
      <c r="A379" s="1">
        <v>637145</v>
      </c>
      <c r="B379" s="1">
        <v>516497</v>
      </c>
      <c r="C379" s="1" t="s">
        <v>1188</v>
      </c>
      <c r="D379" s="38" t="s">
        <v>1896</v>
      </c>
      <c r="E379" s="4">
        <v>34479</v>
      </c>
      <c r="F379" s="1">
        <v>31</v>
      </c>
      <c r="G379" s="1" t="s">
        <v>212</v>
      </c>
      <c r="H379" s="1" t="s">
        <v>1501</v>
      </c>
      <c r="I379" s="1" t="s">
        <v>1501</v>
      </c>
      <c r="J379" s="1">
        <v>8550</v>
      </c>
      <c r="K379" s="1" t="s">
        <v>91</v>
      </c>
      <c r="L379" s="1" t="s">
        <v>19</v>
      </c>
      <c r="M379" s="1" t="s">
        <v>13</v>
      </c>
      <c r="N379" s="1" t="s">
        <v>5</v>
      </c>
      <c r="O379" s="1" t="s">
        <v>216</v>
      </c>
      <c r="P379" s="1" t="s">
        <v>53</v>
      </c>
      <c r="Q379" s="1" t="s">
        <v>19</v>
      </c>
      <c r="R379" s="1" t="s">
        <v>8</v>
      </c>
      <c r="S379" s="1" t="s">
        <v>21</v>
      </c>
      <c r="T379" s="1" t="s">
        <v>53</v>
      </c>
      <c r="U379" s="1" t="s">
        <v>8</v>
      </c>
      <c r="V379" s="1" t="str">
        <f>IF(pilgrims[[#This Row],[packages.second_hotel_name]]="",pilgrims[[#This Row],[packages.first_hotel_name]],pilgrims[[#This Row],[packages.second_hotel_name]])</f>
        <v>Swissotel Makkah Hotel</v>
      </c>
      <c r="W379" s="1" t="str">
        <f>IF(pilgrims[[#This Row],[packages.second_hotel_name]]="",pilgrims[[#This Row],[packages.first_hotel_check_in]],pilgrims[[#This Row],[packages.second_hotel_check_in]])</f>
        <v>2026-05-21</v>
      </c>
      <c r="X379" s="1" t="str">
        <f>IF(pilgrims[[#This Row],[packages.second_hotel_name]]="",pilgrims[[#This Row],[packages.first_hotel_check_out]],pilgrims[[#This Row],[packages.second_hotel_check_out]])</f>
        <v>2026-05-25</v>
      </c>
      <c r="Y379" s="1" t="s">
        <v>16</v>
      </c>
      <c r="Z379" s="1" t="s">
        <v>214</v>
      </c>
      <c r="AA379" s="1" t="s">
        <v>1190</v>
      </c>
      <c r="AB379" s="1" t="s">
        <v>1190</v>
      </c>
      <c r="AC379" s="1" t="s">
        <v>212</v>
      </c>
      <c r="AD379" s="1" t="s">
        <v>133</v>
      </c>
      <c r="AE379" s="1" t="s">
        <v>1281</v>
      </c>
      <c r="AF379" s="4">
        <v>46160</v>
      </c>
      <c r="AG379" s="5">
        <v>0.3923611111111111</v>
      </c>
      <c r="AH379" s="1" t="s">
        <v>60</v>
      </c>
      <c r="AI379" s="1" t="s">
        <v>1280</v>
      </c>
      <c r="AJ379" s="4">
        <v>46173</v>
      </c>
      <c r="AK379" s="5">
        <v>0.12847222222222221</v>
      </c>
      <c r="AL379" s="1" t="s">
        <v>215</v>
      </c>
      <c r="AM379" s="1"/>
    </row>
    <row r="380" spans="1:39" x14ac:dyDescent="0.3">
      <c r="A380" s="1">
        <v>525420</v>
      </c>
      <c r="B380" s="1">
        <v>415862</v>
      </c>
      <c r="C380" s="1" t="s">
        <v>1189</v>
      </c>
      <c r="D380" s="38" t="s">
        <v>1897</v>
      </c>
      <c r="E380" s="4">
        <v>32912</v>
      </c>
      <c r="F380" s="1">
        <v>36</v>
      </c>
      <c r="G380" s="1" t="s">
        <v>212</v>
      </c>
      <c r="H380" s="1" t="s">
        <v>1503</v>
      </c>
      <c r="I380" s="1" t="s">
        <v>1503</v>
      </c>
      <c r="J380" s="1">
        <v>8531</v>
      </c>
      <c r="K380" s="1" t="s">
        <v>84</v>
      </c>
      <c r="L380" s="1" t="s">
        <v>8</v>
      </c>
      <c r="M380" s="1" t="s">
        <v>9</v>
      </c>
      <c r="N380" s="1" t="s">
        <v>20</v>
      </c>
      <c r="O380" s="1" t="s">
        <v>216</v>
      </c>
      <c r="P380" s="1" t="s">
        <v>53</v>
      </c>
      <c r="Q380" s="1" t="s">
        <v>8</v>
      </c>
      <c r="R380" s="1" t="s">
        <v>11</v>
      </c>
      <c r="S380" s="1" t="s">
        <v>12</v>
      </c>
      <c r="T380" s="1" t="s">
        <v>53</v>
      </c>
      <c r="U380" s="1" t="s">
        <v>13</v>
      </c>
      <c r="V380" s="1" t="str">
        <f>IF(pilgrims[[#This Row],[packages.second_hotel_name]]="",pilgrims[[#This Row],[packages.first_hotel_name]],pilgrims[[#This Row],[packages.second_hotel_name]])</f>
        <v>Makkah Clock Royal Tower A Fairmont Hotel</v>
      </c>
      <c r="W380" s="1" t="str">
        <f>IF(pilgrims[[#This Row],[packages.second_hotel_name]]="",pilgrims[[#This Row],[packages.first_hotel_check_in]],pilgrims[[#This Row],[packages.second_hotel_check_in]])</f>
        <v>2026-05-31</v>
      </c>
      <c r="X380" s="1" t="str">
        <f>IF(pilgrims[[#This Row],[packages.second_hotel_name]]="",pilgrims[[#This Row],[packages.first_hotel_check_out]],pilgrims[[#This Row],[packages.second_hotel_check_out]])</f>
        <v>2026-06-06</v>
      </c>
      <c r="Y380" s="1" t="s">
        <v>9</v>
      </c>
      <c r="Z380" s="1" t="s">
        <v>261</v>
      </c>
      <c r="AA380" s="1" t="s">
        <v>812</v>
      </c>
      <c r="AB380" s="1" t="s">
        <v>1385</v>
      </c>
      <c r="AC380" s="1" t="s">
        <v>813</v>
      </c>
      <c r="AD380" s="1" t="s">
        <v>1351</v>
      </c>
      <c r="AE380" s="1" t="s">
        <v>1280</v>
      </c>
      <c r="AF380" s="4">
        <v>46163</v>
      </c>
      <c r="AG380" s="5">
        <v>0.28125</v>
      </c>
      <c r="AH380" s="1" t="s">
        <v>1386</v>
      </c>
      <c r="AI380" s="1" t="s">
        <v>1280</v>
      </c>
      <c r="AJ380" s="4">
        <v>46179</v>
      </c>
      <c r="AK380" s="5">
        <v>0.34027777777777779</v>
      </c>
      <c r="AL380" s="1" t="s">
        <v>215</v>
      </c>
      <c r="AM380" s="1"/>
    </row>
    <row r="381" spans="1:39" x14ac:dyDescent="0.3">
      <c r="A381" s="1">
        <v>675132</v>
      </c>
      <c r="B381" s="1">
        <v>516497</v>
      </c>
      <c r="C381" s="1" t="s">
        <v>1189</v>
      </c>
      <c r="D381" s="38" t="s">
        <v>1898</v>
      </c>
      <c r="E381" s="4">
        <v>19066</v>
      </c>
      <c r="F381" s="1">
        <v>73</v>
      </c>
      <c r="G381" s="1" t="s">
        <v>212</v>
      </c>
      <c r="H381" s="1" t="s">
        <v>1501</v>
      </c>
      <c r="I381" s="1" t="s">
        <v>1501</v>
      </c>
      <c r="J381" s="1">
        <v>8550</v>
      </c>
      <c r="K381" s="1" t="s">
        <v>91</v>
      </c>
      <c r="L381" s="1" t="s">
        <v>19</v>
      </c>
      <c r="M381" s="1" t="s">
        <v>13</v>
      </c>
      <c r="N381" s="1" t="s">
        <v>5</v>
      </c>
      <c r="O381" s="1" t="s">
        <v>216</v>
      </c>
      <c r="P381" s="1" t="s">
        <v>53</v>
      </c>
      <c r="Q381" s="1" t="s">
        <v>19</v>
      </c>
      <c r="R381" s="1" t="s">
        <v>8</v>
      </c>
      <c r="S381" s="1" t="s">
        <v>21</v>
      </c>
      <c r="T381" s="1" t="s">
        <v>53</v>
      </c>
      <c r="U381" s="1" t="s">
        <v>8</v>
      </c>
      <c r="V381" s="1" t="str">
        <f>IF(pilgrims[[#This Row],[packages.second_hotel_name]]="",pilgrims[[#This Row],[packages.first_hotel_name]],pilgrims[[#This Row],[packages.second_hotel_name]])</f>
        <v>Swissotel Makkah Hotel</v>
      </c>
      <c r="W381" s="1" t="str">
        <f>IF(pilgrims[[#This Row],[packages.second_hotel_name]]="",pilgrims[[#This Row],[packages.first_hotel_check_in]],pilgrims[[#This Row],[packages.second_hotel_check_in]])</f>
        <v>2026-05-21</v>
      </c>
      <c r="X381" s="1" t="str">
        <f>IF(pilgrims[[#This Row],[packages.second_hotel_name]]="",pilgrims[[#This Row],[packages.first_hotel_check_out]],pilgrims[[#This Row],[packages.second_hotel_check_out]])</f>
        <v>2026-05-25</v>
      </c>
      <c r="Y381" s="1" t="s">
        <v>16</v>
      </c>
      <c r="Z381" s="1" t="s">
        <v>214</v>
      </c>
      <c r="AA381" s="1" t="s">
        <v>1190</v>
      </c>
      <c r="AB381" s="1" t="s">
        <v>1190</v>
      </c>
      <c r="AC381" s="1" t="s">
        <v>212</v>
      </c>
      <c r="AD381" s="1" t="s">
        <v>133</v>
      </c>
      <c r="AE381" s="1" t="s">
        <v>1281</v>
      </c>
      <c r="AF381" s="4">
        <v>46160</v>
      </c>
      <c r="AG381" s="5">
        <v>0.3923611111111111</v>
      </c>
      <c r="AH381" s="1" t="s">
        <v>60</v>
      </c>
      <c r="AI381" s="1" t="s">
        <v>1280</v>
      </c>
      <c r="AJ381" s="4">
        <v>46173</v>
      </c>
      <c r="AK381" s="5">
        <v>0.12847222222222221</v>
      </c>
      <c r="AL381" s="1" t="s">
        <v>215</v>
      </c>
      <c r="AM381" s="1"/>
    </row>
    <row r="382" spans="1:39" x14ac:dyDescent="0.3">
      <c r="A382" s="1">
        <v>599188</v>
      </c>
      <c r="B382" s="1">
        <v>415862</v>
      </c>
      <c r="C382" s="1" t="s">
        <v>1188</v>
      </c>
      <c r="D382" s="38" t="s">
        <v>1899</v>
      </c>
      <c r="E382" s="4">
        <v>30940</v>
      </c>
      <c r="F382" s="1">
        <v>41</v>
      </c>
      <c r="G382" s="1" t="s">
        <v>212</v>
      </c>
      <c r="H382" s="1" t="s">
        <v>1503</v>
      </c>
      <c r="I382" s="1" t="s">
        <v>1503</v>
      </c>
      <c r="J382" s="1">
        <v>8531</v>
      </c>
      <c r="K382" s="1" t="s">
        <v>84</v>
      </c>
      <c r="L382" s="1" t="s">
        <v>8</v>
      </c>
      <c r="M382" s="1" t="s">
        <v>9</v>
      </c>
      <c r="N382" s="1" t="s">
        <v>20</v>
      </c>
      <c r="O382" s="1" t="s">
        <v>216</v>
      </c>
      <c r="P382" s="1" t="s">
        <v>53</v>
      </c>
      <c r="Q382" s="1" t="s">
        <v>8</v>
      </c>
      <c r="R382" s="1" t="s">
        <v>11</v>
      </c>
      <c r="S382" s="1" t="s">
        <v>12</v>
      </c>
      <c r="T382" s="1" t="s">
        <v>53</v>
      </c>
      <c r="U382" s="1" t="s">
        <v>13</v>
      </c>
      <c r="V382" s="1" t="str">
        <f>IF(pilgrims[[#This Row],[packages.second_hotel_name]]="",pilgrims[[#This Row],[packages.first_hotel_name]],pilgrims[[#This Row],[packages.second_hotel_name]])</f>
        <v>Makkah Clock Royal Tower A Fairmont Hotel</v>
      </c>
      <c r="W382" s="1" t="str">
        <f>IF(pilgrims[[#This Row],[packages.second_hotel_name]]="",pilgrims[[#This Row],[packages.first_hotel_check_in]],pilgrims[[#This Row],[packages.second_hotel_check_in]])</f>
        <v>2026-05-31</v>
      </c>
      <c r="X382" s="1" t="str">
        <f>IF(pilgrims[[#This Row],[packages.second_hotel_name]]="",pilgrims[[#This Row],[packages.first_hotel_check_out]],pilgrims[[#This Row],[packages.second_hotel_check_out]])</f>
        <v>2026-06-06</v>
      </c>
      <c r="Y382" s="1" t="s">
        <v>9</v>
      </c>
      <c r="Z382" s="1" t="s">
        <v>261</v>
      </c>
      <c r="AA382" s="1" t="s">
        <v>812</v>
      </c>
      <c r="AB382" s="1" t="s">
        <v>1385</v>
      </c>
      <c r="AC382" s="1" t="s">
        <v>813</v>
      </c>
      <c r="AD382" s="1" t="s">
        <v>1351</v>
      </c>
      <c r="AE382" s="1" t="s">
        <v>1280</v>
      </c>
      <c r="AF382" s="4">
        <v>46163</v>
      </c>
      <c r="AG382" s="5">
        <v>0.28125</v>
      </c>
      <c r="AH382" s="1" t="s">
        <v>1386</v>
      </c>
      <c r="AI382" s="1" t="s">
        <v>1280</v>
      </c>
      <c r="AJ382" s="4">
        <v>46179</v>
      </c>
      <c r="AK382" s="5">
        <v>0.34027777777777779</v>
      </c>
      <c r="AL382" s="1" t="s">
        <v>215</v>
      </c>
      <c r="AM382" s="1"/>
    </row>
    <row r="383" spans="1:39" x14ac:dyDescent="0.3">
      <c r="A383" s="1">
        <v>615802</v>
      </c>
      <c r="B383" s="1">
        <v>497016</v>
      </c>
      <c r="C383" s="1" t="s">
        <v>1189</v>
      </c>
      <c r="D383" s="38" t="s">
        <v>1900</v>
      </c>
      <c r="E383" s="4">
        <v>36550</v>
      </c>
      <c r="F383" s="1">
        <v>26</v>
      </c>
      <c r="G383" s="1" t="s">
        <v>212</v>
      </c>
      <c r="H383" s="1" t="s">
        <v>1501</v>
      </c>
      <c r="I383" s="1" t="s">
        <v>1501</v>
      </c>
      <c r="J383" s="1">
        <v>8729</v>
      </c>
      <c r="K383" s="1" t="s">
        <v>100</v>
      </c>
      <c r="L383" s="1" t="s">
        <v>8</v>
      </c>
      <c r="M383" s="1" t="s">
        <v>9</v>
      </c>
      <c r="N383" s="1" t="s">
        <v>10</v>
      </c>
      <c r="O383" s="1" t="s">
        <v>216</v>
      </c>
      <c r="P383" s="1" t="s">
        <v>52</v>
      </c>
      <c r="Q383" s="1" t="s">
        <v>8</v>
      </c>
      <c r="R383" s="1" t="s">
        <v>11</v>
      </c>
      <c r="S383" s="1" t="s">
        <v>21</v>
      </c>
      <c r="T383" s="1" t="s">
        <v>53</v>
      </c>
      <c r="U383" s="1" t="s">
        <v>13</v>
      </c>
      <c r="V383" s="1" t="str">
        <f>IF(pilgrims[[#This Row],[packages.second_hotel_name]]="",pilgrims[[#This Row],[packages.first_hotel_name]],pilgrims[[#This Row],[packages.second_hotel_name]])</f>
        <v>Swissotel Makkah Hotel</v>
      </c>
      <c r="W383" s="1" t="str">
        <f>IF(pilgrims[[#This Row],[packages.second_hotel_name]]="",pilgrims[[#This Row],[packages.first_hotel_check_in]],pilgrims[[#This Row],[packages.second_hotel_check_in]])</f>
        <v>2026-05-31</v>
      </c>
      <c r="X383" s="1" t="str">
        <f>IF(pilgrims[[#This Row],[packages.second_hotel_name]]="",pilgrims[[#This Row],[packages.first_hotel_check_out]],pilgrims[[#This Row],[packages.second_hotel_check_out]])</f>
        <v>2026-06-06</v>
      </c>
      <c r="Y383" s="1" t="s">
        <v>9</v>
      </c>
      <c r="Z383" s="1" t="s">
        <v>214</v>
      </c>
      <c r="AA383" s="1" t="s">
        <v>1200</v>
      </c>
      <c r="AB383" s="1" t="s">
        <v>1200</v>
      </c>
      <c r="AC383" s="1" t="s">
        <v>212</v>
      </c>
      <c r="AD383" s="1" t="s">
        <v>69</v>
      </c>
      <c r="AE383" s="1" t="s">
        <v>1280</v>
      </c>
      <c r="AF383" s="4">
        <v>46164</v>
      </c>
      <c r="AG383" s="5">
        <v>0.93055555555555558</v>
      </c>
      <c r="AH383" s="1" t="s">
        <v>72</v>
      </c>
      <c r="AI383" s="1" t="s">
        <v>1281</v>
      </c>
      <c r="AJ383" s="4">
        <v>46177</v>
      </c>
      <c r="AK383" s="5">
        <v>0.25347222222222221</v>
      </c>
      <c r="AL383" s="1" t="s">
        <v>215</v>
      </c>
      <c r="AM383" s="1"/>
    </row>
    <row r="384" spans="1:39" x14ac:dyDescent="0.3">
      <c r="A384" s="1">
        <v>364568</v>
      </c>
      <c r="B384" s="1">
        <v>287307</v>
      </c>
      <c r="C384" s="1" t="s">
        <v>1188</v>
      </c>
      <c r="D384" s="38" t="s">
        <v>1901</v>
      </c>
      <c r="E384" s="4">
        <v>32683</v>
      </c>
      <c r="F384" s="1">
        <v>36</v>
      </c>
      <c r="G384" s="1" t="s">
        <v>212</v>
      </c>
      <c r="H384" s="1" t="s">
        <v>1501</v>
      </c>
      <c r="I384" s="1" t="s">
        <v>1501</v>
      </c>
      <c r="J384" s="1">
        <v>8540</v>
      </c>
      <c r="K384" s="1" t="s">
        <v>78</v>
      </c>
      <c r="L384" s="1" t="s">
        <v>8</v>
      </c>
      <c r="M384" s="1" t="s">
        <v>13</v>
      </c>
      <c r="N384" s="1" t="s">
        <v>5</v>
      </c>
      <c r="O384" s="1" t="s">
        <v>216</v>
      </c>
      <c r="P384" s="1" t="s">
        <v>53</v>
      </c>
      <c r="Q384" s="1" t="s">
        <v>8</v>
      </c>
      <c r="R384" s="1" t="s">
        <v>11</v>
      </c>
      <c r="S384" s="1"/>
      <c r="T384" s="1"/>
      <c r="U384" s="1"/>
      <c r="V384" s="1" t="str">
        <f>IF(pilgrims[[#This Row],[packages.second_hotel_name]]="",pilgrims[[#This Row],[packages.first_hotel_name]],pilgrims[[#This Row],[packages.second_hotel_name]])</f>
        <v>Movenpick Anwar Almadinah Hotel</v>
      </c>
      <c r="W384" s="1" t="str">
        <f>IF(pilgrims[[#This Row],[packages.second_hotel_name]]="",pilgrims[[#This Row],[packages.first_hotel_check_in]],pilgrims[[#This Row],[packages.second_hotel_check_in]])</f>
        <v>2026-05-21</v>
      </c>
      <c r="X384" s="1" t="str">
        <f>IF(pilgrims[[#This Row],[packages.second_hotel_name]]="",pilgrims[[#This Row],[packages.first_hotel_check_out]],pilgrims[[#This Row],[packages.second_hotel_check_out]])</f>
        <v>2026-05-24</v>
      </c>
      <c r="Y384" s="1"/>
      <c r="Z384" s="1" t="s">
        <v>261</v>
      </c>
      <c r="AA384" s="1" t="s">
        <v>818</v>
      </c>
      <c r="AB384" s="1" t="s">
        <v>1387</v>
      </c>
      <c r="AC384" s="1" t="s">
        <v>819</v>
      </c>
      <c r="AD384" s="1" t="s">
        <v>1388</v>
      </c>
      <c r="AE384" s="1" t="s">
        <v>1280</v>
      </c>
      <c r="AF384" s="4">
        <v>46163</v>
      </c>
      <c r="AG384" s="5">
        <v>0.41666666666666669</v>
      </c>
      <c r="AH384" s="1" t="s">
        <v>1341</v>
      </c>
      <c r="AI384" s="1" t="s">
        <v>1280</v>
      </c>
      <c r="AJ384" s="4">
        <v>46173</v>
      </c>
      <c r="AK384" s="5">
        <v>0.2013888888888889</v>
      </c>
      <c r="AL384" s="1" t="s">
        <v>215</v>
      </c>
      <c r="AM384" s="1"/>
    </row>
    <row r="385" spans="1:39" x14ac:dyDescent="0.3">
      <c r="A385" s="1">
        <v>615816</v>
      </c>
      <c r="B385" s="1">
        <v>497016</v>
      </c>
      <c r="C385" s="1" t="s">
        <v>1188</v>
      </c>
      <c r="D385" s="38" t="s">
        <v>1902</v>
      </c>
      <c r="E385" s="4">
        <v>35392</v>
      </c>
      <c r="F385" s="1">
        <v>29</v>
      </c>
      <c r="G385" s="1" t="s">
        <v>212</v>
      </c>
      <c r="H385" s="1" t="s">
        <v>1501</v>
      </c>
      <c r="I385" s="1" t="s">
        <v>1501</v>
      </c>
      <c r="J385" s="1">
        <v>8729</v>
      </c>
      <c r="K385" s="1" t="s">
        <v>100</v>
      </c>
      <c r="L385" s="1" t="s">
        <v>8</v>
      </c>
      <c r="M385" s="1" t="s">
        <v>9</v>
      </c>
      <c r="N385" s="1" t="s">
        <v>10</v>
      </c>
      <c r="O385" s="1" t="s">
        <v>216</v>
      </c>
      <c r="P385" s="1" t="s">
        <v>52</v>
      </c>
      <c r="Q385" s="1" t="s">
        <v>8</v>
      </c>
      <c r="R385" s="1" t="s">
        <v>11</v>
      </c>
      <c r="S385" s="1" t="s">
        <v>21</v>
      </c>
      <c r="T385" s="1" t="s">
        <v>53</v>
      </c>
      <c r="U385" s="1" t="s">
        <v>13</v>
      </c>
      <c r="V385" s="1" t="str">
        <f>IF(pilgrims[[#This Row],[packages.second_hotel_name]]="",pilgrims[[#This Row],[packages.first_hotel_name]],pilgrims[[#This Row],[packages.second_hotel_name]])</f>
        <v>Swissotel Makkah Hotel</v>
      </c>
      <c r="W385" s="1" t="str">
        <f>IF(pilgrims[[#This Row],[packages.second_hotel_name]]="",pilgrims[[#This Row],[packages.first_hotel_check_in]],pilgrims[[#This Row],[packages.second_hotel_check_in]])</f>
        <v>2026-05-31</v>
      </c>
      <c r="X385" s="1" t="str">
        <f>IF(pilgrims[[#This Row],[packages.second_hotel_name]]="",pilgrims[[#This Row],[packages.first_hotel_check_out]],pilgrims[[#This Row],[packages.second_hotel_check_out]])</f>
        <v>2026-06-06</v>
      </c>
      <c r="Y385" s="1" t="s">
        <v>9</v>
      </c>
      <c r="Z385" s="1" t="s">
        <v>214</v>
      </c>
      <c r="AA385" s="1" t="s">
        <v>1200</v>
      </c>
      <c r="AB385" s="1" t="s">
        <v>1200</v>
      </c>
      <c r="AC385" s="1" t="s">
        <v>212</v>
      </c>
      <c r="AD385" s="1" t="s">
        <v>69</v>
      </c>
      <c r="AE385" s="1" t="s">
        <v>1280</v>
      </c>
      <c r="AF385" s="4">
        <v>46164</v>
      </c>
      <c r="AG385" s="5">
        <v>0.93055555555555558</v>
      </c>
      <c r="AH385" s="1" t="s">
        <v>72</v>
      </c>
      <c r="AI385" s="1" t="s">
        <v>1281</v>
      </c>
      <c r="AJ385" s="4">
        <v>46177</v>
      </c>
      <c r="AK385" s="5">
        <v>0.25347222222222221</v>
      </c>
      <c r="AL385" s="1" t="s">
        <v>215</v>
      </c>
      <c r="AM385" s="1"/>
    </row>
    <row r="386" spans="1:39" x14ac:dyDescent="0.3">
      <c r="A386" s="1">
        <v>23400</v>
      </c>
      <c r="B386" s="1">
        <v>21225</v>
      </c>
      <c r="C386" s="1" t="s">
        <v>1188</v>
      </c>
      <c r="D386" s="38" t="s">
        <v>1903</v>
      </c>
      <c r="E386" s="4">
        <v>31985</v>
      </c>
      <c r="F386" s="1">
        <v>38</v>
      </c>
      <c r="G386" s="1" t="s">
        <v>212</v>
      </c>
      <c r="H386" s="1" t="s">
        <v>1501</v>
      </c>
      <c r="I386" s="1" t="s">
        <v>1502</v>
      </c>
      <c r="J386" s="1">
        <v>8535</v>
      </c>
      <c r="K386" s="1" t="s">
        <v>86</v>
      </c>
      <c r="L386" s="1" t="s">
        <v>8</v>
      </c>
      <c r="M386" s="1" t="s">
        <v>4</v>
      </c>
      <c r="N386" s="1" t="s">
        <v>12</v>
      </c>
      <c r="O386" s="1" t="s">
        <v>216</v>
      </c>
      <c r="P386" s="1" t="s">
        <v>53</v>
      </c>
      <c r="Q386" s="1" t="s">
        <v>8</v>
      </c>
      <c r="R386" s="1" t="s">
        <v>11</v>
      </c>
      <c r="S386" s="1" t="s">
        <v>20</v>
      </c>
      <c r="T386" s="1" t="s">
        <v>53</v>
      </c>
      <c r="U386" s="1" t="s">
        <v>6</v>
      </c>
      <c r="V386" s="1" t="str">
        <f>IF(pilgrims[[#This Row],[packages.second_hotel_name]]="",pilgrims[[#This Row],[packages.first_hotel_name]],pilgrims[[#This Row],[packages.second_hotel_name]])</f>
        <v>Daral Taqwa Hotel</v>
      </c>
      <c r="W386" s="1" t="str">
        <f>IF(pilgrims[[#This Row],[packages.second_hotel_name]]="",pilgrims[[#This Row],[packages.first_hotel_check_in]],pilgrims[[#This Row],[packages.second_hotel_check_in]])</f>
        <v>2026-05-30</v>
      </c>
      <c r="X386" s="1" t="str">
        <f>IF(pilgrims[[#This Row],[packages.second_hotel_name]]="",pilgrims[[#This Row],[packages.first_hotel_check_out]],pilgrims[[#This Row],[packages.second_hotel_check_out]])</f>
        <v>2026-06-02</v>
      </c>
      <c r="Y386" s="1" t="s">
        <v>4</v>
      </c>
      <c r="Z386" s="1" t="s">
        <v>214</v>
      </c>
      <c r="AA386" s="1" t="s">
        <v>1191</v>
      </c>
      <c r="AB386" s="1" t="s">
        <v>1191</v>
      </c>
      <c r="AC386" s="1" t="s">
        <v>212</v>
      </c>
      <c r="AD386" s="1" t="s">
        <v>57</v>
      </c>
      <c r="AE386" s="1" t="s">
        <v>1280</v>
      </c>
      <c r="AF386" s="4">
        <v>46163</v>
      </c>
      <c r="AG386" s="5">
        <v>0.2361111111111111</v>
      </c>
      <c r="AH386" s="1" t="s">
        <v>76</v>
      </c>
      <c r="AI386" s="1" t="s">
        <v>1281</v>
      </c>
      <c r="AJ386" s="4">
        <v>46175</v>
      </c>
      <c r="AK386" s="5">
        <v>0.93055555555555558</v>
      </c>
      <c r="AL386" s="1" t="s">
        <v>215</v>
      </c>
      <c r="AM386" s="1"/>
    </row>
    <row r="387" spans="1:39" x14ac:dyDescent="0.3">
      <c r="A387" s="1">
        <v>828978</v>
      </c>
      <c r="B387" s="1">
        <v>21225</v>
      </c>
      <c r="C387" s="1" t="s">
        <v>1189</v>
      </c>
      <c r="D387" s="38" t="s">
        <v>1904</v>
      </c>
      <c r="E387" s="4">
        <v>32200</v>
      </c>
      <c r="F387" s="1">
        <v>38</v>
      </c>
      <c r="G387" s="1" t="s">
        <v>212</v>
      </c>
      <c r="H387" s="1" t="s">
        <v>1501</v>
      </c>
      <c r="I387" s="1" t="s">
        <v>1502</v>
      </c>
      <c r="J387" s="1">
        <v>8535</v>
      </c>
      <c r="K387" s="1" t="s">
        <v>86</v>
      </c>
      <c r="L387" s="1" t="s">
        <v>8</v>
      </c>
      <c r="M387" s="1" t="s">
        <v>4</v>
      </c>
      <c r="N387" s="1" t="s">
        <v>12</v>
      </c>
      <c r="O387" s="1" t="s">
        <v>216</v>
      </c>
      <c r="P387" s="1" t="s">
        <v>53</v>
      </c>
      <c r="Q387" s="1" t="s">
        <v>8</v>
      </c>
      <c r="R387" s="1" t="s">
        <v>11</v>
      </c>
      <c r="S387" s="1" t="s">
        <v>20</v>
      </c>
      <c r="T387" s="1" t="s">
        <v>53</v>
      </c>
      <c r="U387" s="1" t="s">
        <v>6</v>
      </c>
      <c r="V387" s="1" t="str">
        <f>IF(pilgrims[[#This Row],[packages.second_hotel_name]]="",pilgrims[[#This Row],[packages.first_hotel_name]],pilgrims[[#This Row],[packages.second_hotel_name]])</f>
        <v>Daral Taqwa Hotel</v>
      </c>
      <c r="W387" s="1" t="str">
        <f>IF(pilgrims[[#This Row],[packages.second_hotel_name]]="",pilgrims[[#This Row],[packages.first_hotel_check_in]],pilgrims[[#This Row],[packages.second_hotel_check_in]])</f>
        <v>2026-05-30</v>
      </c>
      <c r="X387" s="1" t="str">
        <f>IF(pilgrims[[#This Row],[packages.second_hotel_name]]="",pilgrims[[#This Row],[packages.first_hotel_check_out]],pilgrims[[#This Row],[packages.second_hotel_check_out]])</f>
        <v>2026-06-02</v>
      </c>
      <c r="Y387" s="1" t="s">
        <v>4</v>
      </c>
      <c r="Z387" s="1" t="s">
        <v>214</v>
      </c>
      <c r="AA387" s="1" t="s">
        <v>1191</v>
      </c>
      <c r="AB387" s="1" t="s">
        <v>1191</v>
      </c>
      <c r="AC387" s="1" t="s">
        <v>212</v>
      </c>
      <c r="AD387" s="1" t="s">
        <v>57</v>
      </c>
      <c r="AE387" s="1" t="s">
        <v>1280</v>
      </c>
      <c r="AF387" s="4">
        <v>46163</v>
      </c>
      <c r="AG387" s="5">
        <v>0.2361111111111111</v>
      </c>
      <c r="AH387" s="1" t="s">
        <v>76</v>
      </c>
      <c r="AI387" s="1" t="s">
        <v>1281</v>
      </c>
      <c r="AJ387" s="4">
        <v>46175</v>
      </c>
      <c r="AK387" s="5">
        <v>0.93055555555555558</v>
      </c>
      <c r="AL387" s="1" t="s">
        <v>215</v>
      </c>
      <c r="AM387" s="1"/>
    </row>
    <row r="388" spans="1:39" x14ac:dyDescent="0.3">
      <c r="A388" s="1">
        <v>435131</v>
      </c>
      <c r="B388" s="1">
        <v>339741</v>
      </c>
      <c r="C388" s="1" t="s">
        <v>1188</v>
      </c>
      <c r="D388" s="38" t="s">
        <v>1905</v>
      </c>
      <c r="E388" s="4">
        <v>27647</v>
      </c>
      <c r="F388" s="1">
        <v>50</v>
      </c>
      <c r="G388" s="1" t="s">
        <v>212</v>
      </c>
      <c r="H388" s="1" t="s">
        <v>1501</v>
      </c>
      <c r="I388" s="1" t="s">
        <v>1501</v>
      </c>
      <c r="J388" s="1">
        <v>8530</v>
      </c>
      <c r="K388" s="1" t="s">
        <v>83</v>
      </c>
      <c r="L388" s="1" t="s">
        <v>19</v>
      </c>
      <c r="M388" s="1" t="s">
        <v>13</v>
      </c>
      <c r="N388" s="1" t="s">
        <v>5</v>
      </c>
      <c r="O388" s="1" t="s">
        <v>216</v>
      </c>
      <c r="P388" s="1" t="s">
        <v>53</v>
      </c>
      <c r="Q388" s="1" t="s">
        <v>19</v>
      </c>
      <c r="R388" s="1" t="s">
        <v>8</v>
      </c>
      <c r="S388" s="1" t="s">
        <v>15</v>
      </c>
      <c r="T388" s="1" t="s">
        <v>53</v>
      </c>
      <c r="U388" s="1" t="s">
        <v>8</v>
      </c>
      <c r="V388" s="1" t="str">
        <f>IF(pilgrims[[#This Row],[packages.second_hotel_name]]="",pilgrims[[#This Row],[packages.first_hotel_name]],pilgrims[[#This Row],[packages.second_hotel_name]])</f>
        <v>Swissotel Al Maqam Makkah</v>
      </c>
      <c r="W388" s="1" t="str">
        <f>IF(pilgrims[[#This Row],[packages.second_hotel_name]]="",pilgrims[[#This Row],[packages.first_hotel_check_in]],pilgrims[[#This Row],[packages.second_hotel_check_in]])</f>
        <v>2026-05-21</v>
      </c>
      <c r="X388" s="1" t="str">
        <f>IF(pilgrims[[#This Row],[packages.second_hotel_name]]="",pilgrims[[#This Row],[packages.first_hotel_check_out]],pilgrims[[#This Row],[packages.second_hotel_check_out]])</f>
        <v>2026-05-25</v>
      </c>
      <c r="Y388" s="1" t="s">
        <v>16</v>
      </c>
      <c r="Z388" s="1" t="s">
        <v>214</v>
      </c>
      <c r="AA388" s="1" t="s">
        <v>1202</v>
      </c>
      <c r="AB388" s="1" t="s">
        <v>1202</v>
      </c>
      <c r="AC388" s="1" t="s">
        <v>212</v>
      </c>
      <c r="AD388" s="1" t="s">
        <v>136</v>
      </c>
      <c r="AE388" s="1" t="s">
        <v>1281</v>
      </c>
      <c r="AF388" s="4">
        <v>46160</v>
      </c>
      <c r="AG388" s="5">
        <v>0.1076388888888889</v>
      </c>
      <c r="AH388" s="1" t="s">
        <v>71</v>
      </c>
      <c r="AI388" s="1" t="s">
        <v>1280</v>
      </c>
      <c r="AJ388" s="4">
        <v>46172</v>
      </c>
      <c r="AK388" s="5">
        <v>0.40972222222222221</v>
      </c>
      <c r="AL388" s="1" t="s">
        <v>215</v>
      </c>
      <c r="AM388" s="1"/>
    </row>
    <row r="389" spans="1:39" x14ac:dyDescent="0.3">
      <c r="A389" s="1">
        <v>642043</v>
      </c>
      <c r="B389" s="1">
        <v>339741</v>
      </c>
      <c r="C389" s="1" t="s">
        <v>1189</v>
      </c>
      <c r="D389" s="38" t="s">
        <v>1906</v>
      </c>
      <c r="E389" s="4">
        <v>29563</v>
      </c>
      <c r="F389" s="1">
        <v>45</v>
      </c>
      <c r="G389" s="1" t="s">
        <v>212</v>
      </c>
      <c r="H389" s="1" t="s">
        <v>1501</v>
      </c>
      <c r="I389" s="1" t="s">
        <v>1501</v>
      </c>
      <c r="J389" s="1">
        <v>8530</v>
      </c>
      <c r="K389" s="1" t="s">
        <v>83</v>
      </c>
      <c r="L389" s="1" t="s">
        <v>19</v>
      </c>
      <c r="M389" s="1" t="s">
        <v>13</v>
      </c>
      <c r="N389" s="1" t="s">
        <v>5</v>
      </c>
      <c r="O389" s="1" t="s">
        <v>216</v>
      </c>
      <c r="P389" s="1" t="s">
        <v>53</v>
      </c>
      <c r="Q389" s="1" t="s">
        <v>19</v>
      </c>
      <c r="R389" s="1" t="s">
        <v>8</v>
      </c>
      <c r="S389" s="1" t="s">
        <v>15</v>
      </c>
      <c r="T389" s="1" t="s">
        <v>53</v>
      </c>
      <c r="U389" s="1" t="s">
        <v>8</v>
      </c>
      <c r="V389" s="1" t="str">
        <f>IF(pilgrims[[#This Row],[packages.second_hotel_name]]="",pilgrims[[#This Row],[packages.first_hotel_name]],pilgrims[[#This Row],[packages.second_hotel_name]])</f>
        <v>Swissotel Al Maqam Makkah</v>
      </c>
      <c r="W389" s="1" t="str">
        <f>IF(pilgrims[[#This Row],[packages.second_hotel_name]]="",pilgrims[[#This Row],[packages.first_hotel_check_in]],pilgrims[[#This Row],[packages.second_hotel_check_in]])</f>
        <v>2026-05-21</v>
      </c>
      <c r="X389" s="1" t="str">
        <f>IF(pilgrims[[#This Row],[packages.second_hotel_name]]="",pilgrims[[#This Row],[packages.first_hotel_check_out]],pilgrims[[#This Row],[packages.second_hotel_check_out]])</f>
        <v>2026-05-25</v>
      </c>
      <c r="Y389" s="1" t="s">
        <v>16</v>
      </c>
      <c r="Z389" s="1" t="s">
        <v>214</v>
      </c>
      <c r="AA389" s="1" t="s">
        <v>1202</v>
      </c>
      <c r="AB389" s="1" t="s">
        <v>1202</v>
      </c>
      <c r="AC389" s="1" t="s">
        <v>212</v>
      </c>
      <c r="AD389" s="1" t="s">
        <v>136</v>
      </c>
      <c r="AE389" s="1" t="s">
        <v>1281</v>
      </c>
      <c r="AF389" s="4">
        <v>46160</v>
      </c>
      <c r="AG389" s="5">
        <v>0.1076388888888889</v>
      </c>
      <c r="AH389" s="1" t="s">
        <v>71</v>
      </c>
      <c r="AI389" s="1" t="s">
        <v>1280</v>
      </c>
      <c r="AJ389" s="4">
        <v>46172</v>
      </c>
      <c r="AK389" s="5">
        <v>0.40972222222222221</v>
      </c>
      <c r="AL389" s="1" t="s">
        <v>215</v>
      </c>
      <c r="AM389" s="1"/>
    </row>
    <row r="390" spans="1:39" x14ac:dyDescent="0.3">
      <c r="A390" s="1">
        <v>642174</v>
      </c>
      <c r="B390" s="1">
        <v>339741</v>
      </c>
      <c r="C390" s="1" t="s">
        <v>1189</v>
      </c>
      <c r="D390" s="38" t="s">
        <v>1907</v>
      </c>
      <c r="E390" s="4">
        <v>30602</v>
      </c>
      <c r="F390" s="1">
        <v>42</v>
      </c>
      <c r="G390" s="1" t="s">
        <v>212</v>
      </c>
      <c r="H390" s="1" t="s">
        <v>1501</v>
      </c>
      <c r="I390" s="1" t="s">
        <v>1501</v>
      </c>
      <c r="J390" s="1">
        <v>8530</v>
      </c>
      <c r="K390" s="1" t="s">
        <v>83</v>
      </c>
      <c r="L390" s="1" t="s">
        <v>19</v>
      </c>
      <c r="M390" s="1" t="s">
        <v>13</v>
      </c>
      <c r="N390" s="1" t="s">
        <v>5</v>
      </c>
      <c r="O390" s="1" t="s">
        <v>216</v>
      </c>
      <c r="P390" s="1" t="s">
        <v>53</v>
      </c>
      <c r="Q390" s="1" t="s">
        <v>19</v>
      </c>
      <c r="R390" s="1" t="s">
        <v>8</v>
      </c>
      <c r="S390" s="1" t="s">
        <v>15</v>
      </c>
      <c r="T390" s="1" t="s">
        <v>53</v>
      </c>
      <c r="U390" s="1" t="s">
        <v>8</v>
      </c>
      <c r="V390" s="1" t="str">
        <f>IF(pilgrims[[#This Row],[packages.second_hotel_name]]="",pilgrims[[#This Row],[packages.first_hotel_name]],pilgrims[[#This Row],[packages.second_hotel_name]])</f>
        <v>Swissotel Al Maqam Makkah</v>
      </c>
      <c r="W390" s="1" t="str">
        <f>IF(pilgrims[[#This Row],[packages.second_hotel_name]]="",pilgrims[[#This Row],[packages.first_hotel_check_in]],pilgrims[[#This Row],[packages.second_hotel_check_in]])</f>
        <v>2026-05-21</v>
      </c>
      <c r="X390" s="1" t="str">
        <f>IF(pilgrims[[#This Row],[packages.second_hotel_name]]="",pilgrims[[#This Row],[packages.first_hotel_check_out]],pilgrims[[#This Row],[packages.second_hotel_check_out]])</f>
        <v>2026-05-25</v>
      </c>
      <c r="Y390" s="1" t="s">
        <v>16</v>
      </c>
      <c r="Z390" s="1" t="s">
        <v>214</v>
      </c>
      <c r="AA390" s="1" t="s">
        <v>1202</v>
      </c>
      <c r="AB390" s="1" t="s">
        <v>1202</v>
      </c>
      <c r="AC390" s="1" t="s">
        <v>212</v>
      </c>
      <c r="AD390" s="1" t="s">
        <v>136</v>
      </c>
      <c r="AE390" s="1" t="s">
        <v>1281</v>
      </c>
      <c r="AF390" s="4">
        <v>46160</v>
      </c>
      <c r="AG390" s="5">
        <v>0.1076388888888889</v>
      </c>
      <c r="AH390" s="1" t="s">
        <v>71</v>
      </c>
      <c r="AI390" s="1" t="s">
        <v>1280</v>
      </c>
      <c r="AJ390" s="4">
        <v>46172</v>
      </c>
      <c r="AK390" s="5">
        <v>0.40972222222222221</v>
      </c>
      <c r="AL390" s="1" t="s">
        <v>215</v>
      </c>
      <c r="AM390" s="1"/>
    </row>
    <row r="391" spans="1:39" x14ac:dyDescent="0.3">
      <c r="A391" s="1">
        <v>267907</v>
      </c>
      <c r="B391" s="1">
        <v>205692</v>
      </c>
      <c r="C391" s="1" t="s">
        <v>1188</v>
      </c>
      <c r="D391" s="38" t="s">
        <v>1908</v>
      </c>
      <c r="E391" s="4">
        <v>29234</v>
      </c>
      <c r="F391" s="1">
        <v>46</v>
      </c>
      <c r="G391" s="1" t="s">
        <v>212</v>
      </c>
      <c r="H391" s="1" t="s">
        <v>1501</v>
      </c>
      <c r="I391" s="1" t="s">
        <v>1501</v>
      </c>
      <c r="J391" s="1">
        <v>8530</v>
      </c>
      <c r="K391" s="1" t="s">
        <v>83</v>
      </c>
      <c r="L391" s="1" t="s">
        <v>19</v>
      </c>
      <c r="M391" s="1" t="s">
        <v>13</v>
      </c>
      <c r="N391" s="1" t="s">
        <v>5</v>
      </c>
      <c r="O391" s="1" t="s">
        <v>216</v>
      </c>
      <c r="P391" s="1" t="s">
        <v>53</v>
      </c>
      <c r="Q391" s="1" t="s">
        <v>19</v>
      </c>
      <c r="R391" s="1" t="s">
        <v>8</v>
      </c>
      <c r="S391" s="1" t="s">
        <v>15</v>
      </c>
      <c r="T391" s="1" t="s">
        <v>53</v>
      </c>
      <c r="U391" s="1" t="s">
        <v>8</v>
      </c>
      <c r="V391" s="1" t="str">
        <f>IF(pilgrims[[#This Row],[packages.second_hotel_name]]="",pilgrims[[#This Row],[packages.first_hotel_name]],pilgrims[[#This Row],[packages.second_hotel_name]])</f>
        <v>Swissotel Al Maqam Makkah</v>
      </c>
      <c r="W391" s="1" t="str">
        <f>IF(pilgrims[[#This Row],[packages.second_hotel_name]]="",pilgrims[[#This Row],[packages.first_hotel_check_in]],pilgrims[[#This Row],[packages.second_hotel_check_in]])</f>
        <v>2026-05-21</v>
      </c>
      <c r="X391" s="1" t="str">
        <f>IF(pilgrims[[#This Row],[packages.second_hotel_name]]="",pilgrims[[#This Row],[packages.first_hotel_check_out]],pilgrims[[#This Row],[packages.second_hotel_check_out]])</f>
        <v>2026-05-25</v>
      </c>
      <c r="Y391" s="1" t="s">
        <v>16</v>
      </c>
      <c r="Z391" s="1" t="s">
        <v>261</v>
      </c>
      <c r="AA391" s="1" t="s">
        <v>827</v>
      </c>
      <c r="AB391" s="1" t="s">
        <v>1389</v>
      </c>
      <c r="AC391" s="1" t="s">
        <v>828</v>
      </c>
      <c r="AD391" s="1" t="s">
        <v>1328</v>
      </c>
      <c r="AE391" s="1" t="s">
        <v>1281</v>
      </c>
      <c r="AF391" s="4">
        <v>46162</v>
      </c>
      <c r="AG391" s="5">
        <v>1.7361111111111112E-2</v>
      </c>
      <c r="AH391" s="1" t="s">
        <v>1390</v>
      </c>
      <c r="AI391" s="1" t="s">
        <v>1281</v>
      </c>
      <c r="AJ391" s="4">
        <v>46173</v>
      </c>
      <c r="AK391" s="5">
        <v>7.6388888888888895E-2</v>
      </c>
      <c r="AL391" s="1" t="s">
        <v>215</v>
      </c>
      <c r="AM391" s="1" t="b">
        <v>1</v>
      </c>
    </row>
    <row r="392" spans="1:39" x14ac:dyDescent="0.3">
      <c r="A392" s="1">
        <v>676721</v>
      </c>
      <c r="B392" s="1">
        <v>339741</v>
      </c>
      <c r="C392" s="1" t="s">
        <v>1189</v>
      </c>
      <c r="D392" s="38" t="s">
        <v>1909</v>
      </c>
      <c r="E392" s="4">
        <v>38820</v>
      </c>
      <c r="F392" s="1">
        <v>19</v>
      </c>
      <c r="G392" s="1" t="s">
        <v>212</v>
      </c>
      <c r="H392" s="1" t="s">
        <v>1501</v>
      </c>
      <c r="I392" s="1" t="s">
        <v>1501</v>
      </c>
      <c r="J392" s="1">
        <v>8530</v>
      </c>
      <c r="K392" s="1" t="s">
        <v>83</v>
      </c>
      <c r="L392" s="1" t="s">
        <v>19</v>
      </c>
      <c r="M392" s="1" t="s">
        <v>13</v>
      </c>
      <c r="N392" s="1" t="s">
        <v>5</v>
      </c>
      <c r="O392" s="1" t="s">
        <v>216</v>
      </c>
      <c r="P392" s="1" t="s">
        <v>53</v>
      </c>
      <c r="Q392" s="1" t="s">
        <v>19</v>
      </c>
      <c r="R392" s="1" t="s">
        <v>8</v>
      </c>
      <c r="S392" s="1" t="s">
        <v>15</v>
      </c>
      <c r="T392" s="1" t="s">
        <v>53</v>
      </c>
      <c r="U392" s="1" t="s">
        <v>8</v>
      </c>
      <c r="V392" s="1" t="str">
        <f>IF(pilgrims[[#This Row],[packages.second_hotel_name]]="",pilgrims[[#This Row],[packages.first_hotel_name]],pilgrims[[#This Row],[packages.second_hotel_name]])</f>
        <v>Swissotel Al Maqam Makkah</v>
      </c>
      <c r="W392" s="1" t="str">
        <f>IF(pilgrims[[#This Row],[packages.second_hotel_name]]="",pilgrims[[#This Row],[packages.first_hotel_check_in]],pilgrims[[#This Row],[packages.second_hotel_check_in]])</f>
        <v>2026-05-21</v>
      </c>
      <c r="X392" s="1" t="str">
        <f>IF(pilgrims[[#This Row],[packages.second_hotel_name]]="",pilgrims[[#This Row],[packages.first_hotel_check_out]],pilgrims[[#This Row],[packages.second_hotel_check_out]])</f>
        <v>2026-05-25</v>
      </c>
      <c r="Y392" s="1" t="s">
        <v>16</v>
      </c>
      <c r="Z392" s="1" t="s">
        <v>214</v>
      </c>
      <c r="AA392" s="1" t="s">
        <v>1202</v>
      </c>
      <c r="AB392" s="1" t="s">
        <v>1202</v>
      </c>
      <c r="AC392" s="1" t="s">
        <v>212</v>
      </c>
      <c r="AD392" s="1" t="s">
        <v>136</v>
      </c>
      <c r="AE392" s="1" t="s">
        <v>1281</v>
      </c>
      <c r="AF392" s="4">
        <v>46160</v>
      </c>
      <c r="AG392" s="5">
        <v>0.1076388888888889</v>
      </c>
      <c r="AH392" s="1" t="s">
        <v>71</v>
      </c>
      <c r="AI392" s="1" t="s">
        <v>1280</v>
      </c>
      <c r="AJ392" s="4">
        <v>46172</v>
      </c>
      <c r="AK392" s="5">
        <v>0.40972222222222221</v>
      </c>
      <c r="AL392" s="1" t="s">
        <v>215</v>
      </c>
      <c r="AM392" s="1"/>
    </row>
    <row r="393" spans="1:39" x14ac:dyDescent="0.3">
      <c r="A393" s="1">
        <v>865211</v>
      </c>
      <c r="B393" s="1">
        <v>205692</v>
      </c>
      <c r="C393" s="1" t="s">
        <v>1189</v>
      </c>
      <c r="D393" s="38" t="s">
        <v>1910</v>
      </c>
      <c r="E393" s="4">
        <v>29114</v>
      </c>
      <c r="F393" s="1">
        <v>46</v>
      </c>
      <c r="G393" s="1" t="s">
        <v>212</v>
      </c>
      <c r="H393" s="1" t="s">
        <v>1501</v>
      </c>
      <c r="I393" s="1" t="s">
        <v>1501</v>
      </c>
      <c r="J393" s="1">
        <v>8530</v>
      </c>
      <c r="K393" s="1" t="s">
        <v>83</v>
      </c>
      <c r="L393" s="1" t="s">
        <v>19</v>
      </c>
      <c r="M393" s="1" t="s">
        <v>13</v>
      </c>
      <c r="N393" s="1" t="s">
        <v>5</v>
      </c>
      <c r="O393" s="1" t="s">
        <v>216</v>
      </c>
      <c r="P393" s="1" t="s">
        <v>53</v>
      </c>
      <c r="Q393" s="1" t="s">
        <v>19</v>
      </c>
      <c r="R393" s="1" t="s">
        <v>8</v>
      </c>
      <c r="S393" s="1" t="s">
        <v>15</v>
      </c>
      <c r="T393" s="1" t="s">
        <v>53</v>
      </c>
      <c r="U393" s="1" t="s">
        <v>8</v>
      </c>
      <c r="V393" s="1" t="str">
        <f>IF(pilgrims[[#This Row],[packages.second_hotel_name]]="",pilgrims[[#This Row],[packages.first_hotel_name]],pilgrims[[#This Row],[packages.second_hotel_name]])</f>
        <v>Swissotel Al Maqam Makkah</v>
      </c>
      <c r="W393" s="1" t="str">
        <f>IF(pilgrims[[#This Row],[packages.second_hotel_name]]="",pilgrims[[#This Row],[packages.first_hotel_check_in]],pilgrims[[#This Row],[packages.second_hotel_check_in]])</f>
        <v>2026-05-21</v>
      </c>
      <c r="X393" s="1" t="str">
        <f>IF(pilgrims[[#This Row],[packages.second_hotel_name]]="",pilgrims[[#This Row],[packages.first_hotel_check_out]],pilgrims[[#This Row],[packages.second_hotel_check_out]])</f>
        <v>2026-05-25</v>
      </c>
      <c r="Y393" s="1" t="s">
        <v>16</v>
      </c>
      <c r="Z393" s="1" t="s">
        <v>261</v>
      </c>
      <c r="AA393" s="1" t="s">
        <v>827</v>
      </c>
      <c r="AB393" s="1" t="s">
        <v>1389</v>
      </c>
      <c r="AC393" s="1" t="s">
        <v>828</v>
      </c>
      <c r="AD393" s="1" t="s">
        <v>1328</v>
      </c>
      <c r="AE393" s="1" t="s">
        <v>1281</v>
      </c>
      <c r="AF393" s="4">
        <v>46162</v>
      </c>
      <c r="AG393" s="5">
        <v>1.7361111111111112E-2</v>
      </c>
      <c r="AH393" s="1" t="s">
        <v>1390</v>
      </c>
      <c r="AI393" s="1" t="s">
        <v>1281</v>
      </c>
      <c r="AJ393" s="4">
        <v>46173</v>
      </c>
      <c r="AK393" s="5">
        <v>7.6388888888888895E-2</v>
      </c>
      <c r="AL393" s="1" t="s">
        <v>215</v>
      </c>
      <c r="AM393" s="1"/>
    </row>
    <row r="394" spans="1:39" x14ac:dyDescent="0.3">
      <c r="A394" s="1">
        <v>22967</v>
      </c>
      <c r="B394" s="1">
        <v>20864</v>
      </c>
      <c r="C394" s="1" t="s">
        <v>1188</v>
      </c>
      <c r="D394" s="38" t="s">
        <v>1911</v>
      </c>
      <c r="E394" s="4">
        <v>26002</v>
      </c>
      <c r="F394" s="1">
        <v>54</v>
      </c>
      <c r="G394" s="1" t="s">
        <v>212</v>
      </c>
      <c r="H394" s="1" t="s">
        <v>1501</v>
      </c>
      <c r="I394" s="1" t="s">
        <v>1501</v>
      </c>
      <c r="J394" s="1">
        <v>8714</v>
      </c>
      <c r="K394" s="1" t="s">
        <v>96</v>
      </c>
      <c r="L394" s="1" t="s">
        <v>19</v>
      </c>
      <c r="M394" s="1" t="s">
        <v>13</v>
      </c>
      <c r="N394" s="1" t="s">
        <v>5</v>
      </c>
      <c r="O394" s="1" t="s">
        <v>216</v>
      </c>
      <c r="P394" s="1" t="s">
        <v>53</v>
      </c>
      <c r="Q394" s="1" t="s">
        <v>19</v>
      </c>
      <c r="R394" s="1" t="s">
        <v>8</v>
      </c>
      <c r="S394" s="1" t="s">
        <v>21</v>
      </c>
      <c r="T394" s="1" t="s">
        <v>53</v>
      </c>
      <c r="U394" s="1" t="s">
        <v>8</v>
      </c>
      <c r="V394" s="1" t="str">
        <f>IF(pilgrims[[#This Row],[packages.second_hotel_name]]="",pilgrims[[#This Row],[packages.first_hotel_name]],pilgrims[[#This Row],[packages.second_hotel_name]])</f>
        <v>Swissotel Makkah Hotel</v>
      </c>
      <c r="W394" s="1" t="str">
        <f>IF(pilgrims[[#This Row],[packages.second_hotel_name]]="",pilgrims[[#This Row],[packages.first_hotel_check_in]],pilgrims[[#This Row],[packages.second_hotel_check_in]])</f>
        <v>2026-05-21</v>
      </c>
      <c r="X394" s="1" t="str">
        <f>IF(pilgrims[[#This Row],[packages.second_hotel_name]]="",pilgrims[[#This Row],[packages.first_hotel_check_out]],pilgrims[[#This Row],[packages.second_hotel_check_out]])</f>
        <v>2026-05-25</v>
      </c>
      <c r="Y394" s="1" t="s">
        <v>16</v>
      </c>
      <c r="Z394" s="1" t="s">
        <v>214</v>
      </c>
      <c r="AA394" s="1" t="s">
        <v>1197</v>
      </c>
      <c r="AB394" s="1" t="s">
        <v>1197</v>
      </c>
      <c r="AC394" s="1" t="s">
        <v>212</v>
      </c>
      <c r="AD394" s="1" t="s">
        <v>61</v>
      </c>
      <c r="AE394" s="1" t="s">
        <v>1280</v>
      </c>
      <c r="AF394" s="4">
        <v>46160</v>
      </c>
      <c r="AG394" s="5">
        <v>0.57986111111111116</v>
      </c>
      <c r="AH394" s="1" t="s">
        <v>63</v>
      </c>
      <c r="AI394" s="1" t="s">
        <v>1280</v>
      </c>
      <c r="AJ394" s="4">
        <v>46172</v>
      </c>
      <c r="AK394" s="5">
        <v>0.3923611111111111</v>
      </c>
      <c r="AL394" s="1" t="s">
        <v>215</v>
      </c>
      <c r="AM394" s="1"/>
    </row>
    <row r="395" spans="1:39" x14ac:dyDescent="0.3">
      <c r="A395" s="1">
        <v>23011</v>
      </c>
      <c r="B395" s="1">
        <v>20864</v>
      </c>
      <c r="C395" s="1" t="s">
        <v>1189</v>
      </c>
      <c r="D395" s="38" t="s">
        <v>1912</v>
      </c>
      <c r="E395" s="4">
        <v>26070</v>
      </c>
      <c r="F395" s="1">
        <v>54</v>
      </c>
      <c r="G395" s="1" t="s">
        <v>212</v>
      </c>
      <c r="H395" s="1" t="s">
        <v>1501</v>
      </c>
      <c r="I395" s="1" t="s">
        <v>1501</v>
      </c>
      <c r="J395" s="1">
        <v>8714</v>
      </c>
      <c r="K395" s="1" t="s">
        <v>96</v>
      </c>
      <c r="L395" s="1" t="s">
        <v>19</v>
      </c>
      <c r="M395" s="1" t="s">
        <v>13</v>
      </c>
      <c r="N395" s="1" t="s">
        <v>5</v>
      </c>
      <c r="O395" s="1" t="s">
        <v>216</v>
      </c>
      <c r="P395" s="1" t="s">
        <v>53</v>
      </c>
      <c r="Q395" s="1" t="s">
        <v>19</v>
      </c>
      <c r="R395" s="1" t="s">
        <v>8</v>
      </c>
      <c r="S395" s="1" t="s">
        <v>21</v>
      </c>
      <c r="T395" s="1" t="s">
        <v>53</v>
      </c>
      <c r="U395" s="1" t="s">
        <v>8</v>
      </c>
      <c r="V395" s="1" t="str">
        <f>IF(pilgrims[[#This Row],[packages.second_hotel_name]]="",pilgrims[[#This Row],[packages.first_hotel_name]],pilgrims[[#This Row],[packages.second_hotel_name]])</f>
        <v>Swissotel Makkah Hotel</v>
      </c>
      <c r="W395" s="1" t="str">
        <f>IF(pilgrims[[#This Row],[packages.second_hotel_name]]="",pilgrims[[#This Row],[packages.first_hotel_check_in]],pilgrims[[#This Row],[packages.second_hotel_check_in]])</f>
        <v>2026-05-21</v>
      </c>
      <c r="X395" s="1" t="str">
        <f>IF(pilgrims[[#This Row],[packages.second_hotel_name]]="",pilgrims[[#This Row],[packages.first_hotel_check_out]],pilgrims[[#This Row],[packages.second_hotel_check_out]])</f>
        <v>2026-05-25</v>
      </c>
      <c r="Y395" s="1" t="s">
        <v>16</v>
      </c>
      <c r="Z395" s="1" t="s">
        <v>214</v>
      </c>
      <c r="AA395" s="1" t="s">
        <v>1197</v>
      </c>
      <c r="AB395" s="1" t="s">
        <v>1197</v>
      </c>
      <c r="AC395" s="1" t="s">
        <v>212</v>
      </c>
      <c r="AD395" s="1" t="s">
        <v>61</v>
      </c>
      <c r="AE395" s="1" t="s">
        <v>1280</v>
      </c>
      <c r="AF395" s="4">
        <v>46160</v>
      </c>
      <c r="AG395" s="5">
        <v>0.57986111111111116</v>
      </c>
      <c r="AH395" s="1" t="s">
        <v>63</v>
      </c>
      <c r="AI395" s="1" t="s">
        <v>1280</v>
      </c>
      <c r="AJ395" s="4">
        <v>46172</v>
      </c>
      <c r="AK395" s="5">
        <v>0.3923611111111111</v>
      </c>
      <c r="AL395" s="1" t="s">
        <v>215</v>
      </c>
      <c r="AM395" s="1"/>
    </row>
    <row r="396" spans="1:39" x14ac:dyDescent="0.3">
      <c r="A396" s="1">
        <v>131650</v>
      </c>
      <c r="B396" s="1">
        <v>100912</v>
      </c>
      <c r="C396" s="1" t="s">
        <v>1189</v>
      </c>
      <c r="D396" s="38" t="s">
        <v>1913</v>
      </c>
      <c r="E396" s="4">
        <v>32078</v>
      </c>
      <c r="F396" s="1">
        <v>38</v>
      </c>
      <c r="G396" s="1" t="s">
        <v>212</v>
      </c>
      <c r="H396" s="1" t="s">
        <v>1501</v>
      </c>
      <c r="I396" s="1" t="s">
        <v>1501</v>
      </c>
      <c r="J396" s="1">
        <v>8538</v>
      </c>
      <c r="K396" s="1" t="s">
        <v>88</v>
      </c>
      <c r="L396" s="1" t="s">
        <v>8</v>
      </c>
      <c r="M396" s="1" t="s">
        <v>4</v>
      </c>
      <c r="N396" s="1" t="s">
        <v>15</v>
      </c>
      <c r="O396" s="1" t="s">
        <v>216</v>
      </c>
      <c r="P396" s="1" t="s">
        <v>53</v>
      </c>
      <c r="Q396" s="1" t="s">
        <v>8</v>
      </c>
      <c r="R396" s="1" t="s">
        <v>16</v>
      </c>
      <c r="S396" s="1" t="s">
        <v>5</v>
      </c>
      <c r="T396" s="1" t="s">
        <v>53</v>
      </c>
      <c r="U396" s="1" t="s">
        <v>6</v>
      </c>
      <c r="V396" s="1" t="str">
        <f>IF(pilgrims[[#This Row],[packages.second_hotel_name]]="",pilgrims[[#This Row],[packages.first_hotel_name]],pilgrims[[#This Row],[packages.second_hotel_name]])</f>
        <v>Movenpick Anwar Almadinah Hotel</v>
      </c>
      <c r="W396" s="1" t="str">
        <f>IF(pilgrims[[#This Row],[packages.second_hotel_name]]="",pilgrims[[#This Row],[packages.first_hotel_check_in]],pilgrims[[#This Row],[packages.second_hotel_check_in]])</f>
        <v>2026-05-30</v>
      </c>
      <c r="X396" s="1" t="str">
        <f>IF(pilgrims[[#This Row],[packages.second_hotel_name]]="",pilgrims[[#This Row],[packages.first_hotel_check_out]],pilgrims[[#This Row],[packages.second_hotel_check_out]])</f>
        <v>2026-06-02</v>
      </c>
      <c r="Y396" s="1" t="s">
        <v>4</v>
      </c>
      <c r="Z396" s="1" t="s">
        <v>214</v>
      </c>
      <c r="AA396" s="1" t="s">
        <v>1191</v>
      </c>
      <c r="AB396" s="1" t="s">
        <v>1191</v>
      </c>
      <c r="AC396" s="1" t="s">
        <v>212</v>
      </c>
      <c r="AD396" s="1" t="s">
        <v>57</v>
      </c>
      <c r="AE396" s="1" t="s">
        <v>1280</v>
      </c>
      <c r="AF396" s="4">
        <v>46163</v>
      </c>
      <c r="AG396" s="5">
        <v>0.2361111111111111</v>
      </c>
      <c r="AH396" s="1" t="s">
        <v>76</v>
      </c>
      <c r="AI396" s="1" t="s">
        <v>1281</v>
      </c>
      <c r="AJ396" s="4">
        <v>46175</v>
      </c>
      <c r="AK396" s="5">
        <v>0.93055555555555558</v>
      </c>
      <c r="AL396" s="1" t="s">
        <v>215</v>
      </c>
      <c r="AM396" s="1" t="b">
        <v>1</v>
      </c>
    </row>
    <row r="397" spans="1:39" x14ac:dyDescent="0.3">
      <c r="A397" s="1">
        <v>611348</v>
      </c>
      <c r="B397" s="1">
        <v>493170</v>
      </c>
      <c r="C397" s="1" t="s">
        <v>1188</v>
      </c>
      <c r="D397" s="38" t="s">
        <v>1914</v>
      </c>
      <c r="E397" s="4">
        <v>22667</v>
      </c>
      <c r="F397" s="1">
        <v>64</v>
      </c>
      <c r="G397" s="1" t="s">
        <v>212</v>
      </c>
      <c r="H397" s="1" t="s">
        <v>1503</v>
      </c>
      <c r="I397" s="1" t="s">
        <v>1503</v>
      </c>
      <c r="J397" s="1">
        <v>8567</v>
      </c>
      <c r="K397" s="1" t="s">
        <v>93</v>
      </c>
      <c r="L397" s="1" t="s">
        <v>8</v>
      </c>
      <c r="M397" s="1" t="s">
        <v>9</v>
      </c>
      <c r="N397" s="1" t="s">
        <v>5</v>
      </c>
      <c r="O397" s="1" t="s">
        <v>216</v>
      </c>
      <c r="P397" s="1" t="s">
        <v>53</v>
      </c>
      <c r="Q397" s="1" t="s">
        <v>8</v>
      </c>
      <c r="R397" s="1" t="s">
        <v>11</v>
      </c>
      <c r="S397" s="1" t="s">
        <v>21</v>
      </c>
      <c r="T397" s="1" t="s">
        <v>53</v>
      </c>
      <c r="U397" s="1" t="s">
        <v>13</v>
      </c>
      <c r="V397" s="1" t="str">
        <f>IF(pilgrims[[#This Row],[packages.second_hotel_name]]="",pilgrims[[#This Row],[packages.first_hotel_name]],pilgrims[[#This Row],[packages.second_hotel_name]])</f>
        <v>Swissotel Makkah Hotel</v>
      </c>
      <c r="W397" s="1" t="str">
        <f>IF(pilgrims[[#This Row],[packages.second_hotel_name]]="",pilgrims[[#This Row],[packages.first_hotel_check_in]],pilgrims[[#This Row],[packages.second_hotel_check_in]])</f>
        <v>2026-05-31</v>
      </c>
      <c r="X397" s="1" t="str">
        <f>IF(pilgrims[[#This Row],[packages.second_hotel_name]]="",pilgrims[[#This Row],[packages.first_hotel_check_out]],pilgrims[[#This Row],[packages.second_hotel_check_out]])</f>
        <v>2026-06-06</v>
      </c>
      <c r="Y397" s="1" t="s">
        <v>9</v>
      </c>
      <c r="Z397" s="1" t="s">
        <v>261</v>
      </c>
      <c r="AA397" s="1" t="s">
        <v>842</v>
      </c>
      <c r="AB397" s="1" t="s">
        <v>1405</v>
      </c>
      <c r="AC397" s="1" t="s">
        <v>843</v>
      </c>
      <c r="AD397" s="1" t="s">
        <v>1348</v>
      </c>
      <c r="AE397" s="1" t="s">
        <v>1281</v>
      </c>
      <c r="AF397" s="33">
        <v>46163</v>
      </c>
      <c r="AG397" s="5">
        <v>0.71180555555555558</v>
      </c>
      <c r="AH397" s="1" t="s">
        <v>1406</v>
      </c>
      <c r="AI397" s="1" t="s">
        <v>1280</v>
      </c>
      <c r="AJ397" s="4">
        <v>46179</v>
      </c>
      <c r="AK397" s="5">
        <v>0.3611111111111111</v>
      </c>
      <c r="AL397" s="1" t="s">
        <v>215</v>
      </c>
      <c r="AM397" s="1"/>
    </row>
    <row r="398" spans="1:39" x14ac:dyDescent="0.3">
      <c r="A398" s="1">
        <v>661319</v>
      </c>
      <c r="B398" s="1">
        <v>493170</v>
      </c>
      <c r="C398" s="1" t="s">
        <v>1189</v>
      </c>
      <c r="D398" s="38" t="s">
        <v>1915</v>
      </c>
      <c r="E398" s="4">
        <v>26359</v>
      </c>
      <c r="F398" s="1">
        <v>54</v>
      </c>
      <c r="G398" s="1" t="s">
        <v>212</v>
      </c>
      <c r="H398" s="1" t="s">
        <v>1503</v>
      </c>
      <c r="I398" s="1" t="s">
        <v>1503</v>
      </c>
      <c r="J398" s="1">
        <v>8567</v>
      </c>
      <c r="K398" s="1" t="s">
        <v>93</v>
      </c>
      <c r="L398" s="1" t="s">
        <v>8</v>
      </c>
      <c r="M398" s="1" t="s">
        <v>9</v>
      </c>
      <c r="N398" s="1" t="s">
        <v>5</v>
      </c>
      <c r="O398" s="1" t="s">
        <v>216</v>
      </c>
      <c r="P398" s="1" t="s">
        <v>53</v>
      </c>
      <c r="Q398" s="1" t="s">
        <v>8</v>
      </c>
      <c r="R398" s="1" t="s">
        <v>11</v>
      </c>
      <c r="S398" s="1" t="s">
        <v>21</v>
      </c>
      <c r="T398" s="1" t="s">
        <v>53</v>
      </c>
      <c r="U398" s="1" t="s">
        <v>13</v>
      </c>
      <c r="V398" s="1" t="str">
        <f>IF(pilgrims[[#This Row],[packages.second_hotel_name]]="",pilgrims[[#This Row],[packages.first_hotel_name]],pilgrims[[#This Row],[packages.second_hotel_name]])</f>
        <v>Swissotel Makkah Hotel</v>
      </c>
      <c r="W398" s="1" t="str">
        <f>IF(pilgrims[[#This Row],[packages.second_hotel_name]]="",pilgrims[[#This Row],[packages.first_hotel_check_in]],pilgrims[[#This Row],[packages.second_hotel_check_in]])</f>
        <v>2026-05-31</v>
      </c>
      <c r="X398" s="1" t="str">
        <f>IF(pilgrims[[#This Row],[packages.second_hotel_name]]="",pilgrims[[#This Row],[packages.first_hotel_check_out]],pilgrims[[#This Row],[packages.second_hotel_check_out]])</f>
        <v>2026-06-06</v>
      </c>
      <c r="Y398" s="1" t="s">
        <v>9</v>
      </c>
      <c r="Z398" s="1" t="s">
        <v>261</v>
      </c>
      <c r="AA398" s="1" t="s">
        <v>842</v>
      </c>
      <c r="AB398" s="1" t="s">
        <v>1405</v>
      </c>
      <c r="AC398" s="1" t="s">
        <v>843</v>
      </c>
      <c r="AD398" s="1" t="s">
        <v>1348</v>
      </c>
      <c r="AE398" s="1" t="s">
        <v>1281</v>
      </c>
      <c r="AF398" s="33">
        <v>46163</v>
      </c>
      <c r="AG398" s="5">
        <v>0.71180555555555558</v>
      </c>
      <c r="AH398" s="1" t="s">
        <v>1406</v>
      </c>
      <c r="AI398" s="1" t="s">
        <v>1280</v>
      </c>
      <c r="AJ398" s="4">
        <v>46179</v>
      </c>
      <c r="AK398" s="5">
        <v>0.3611111111111111</v>
      </c>
      <c r="AL398" s="1" t="s">
        <v>215</v>
      </c>
      <c r="AM398" s="1"/>
    </row>
    <row r="399" spans="1:39" x14ac:dyDescent="0.3">
      <c r="A399" s="1">
        <v>662626</v>
      </c>
      <c r="B399" s="1">
        <v>493170</v>
      </c>
      <c r="C399" s="1" t="s">
        <v>1188</v>
      </c>
      <c r="D399" s="38" t="s">
        <v>1916</v>
      </c>
      <c r="E399" s="4">
        <v>26111</v>
      </c>
      <c r="F399" s="1">
        <v>54</v>
      </c>
      <c r="G399" s="1" t="s">
        <v>212</v>
      </c>
      <c r="H399" s="1" t="s">
        <v>1503</v>
      </c>
      <c r="I399" s="1" t="s">
        <v>1503</v>
      </c>
      <c r="J399" s="1">
        <v>8567</v>
      </c>
      <c r="K399" s="1" t="s">
        <v>93</v>
      </c>
      <c r="L399" s="1" t="s">
        <v>8</v>
      </c>
      <c r="M399" s="1" t="s">
        <v>9</v>
      </c>
      <c r="N399" s="1" t="s">
        <v>5</v>
      </c>
      <c r="O399" s="1" t="s">
        <v>216</v>
      </c>
      <c r="P399" s="1" t="s">
        <v>53</v>
      </c>
      <c r="Q399" s="1" t="s">
        <v>8</v>
      </c>
      <c r="R399" s="1" t="s">
        <v>11</v>
      </c>
      <c r="S399" s="1" t="s">
        <v>21</v>
      </c>
      <c r="T399" s="1" t="s">
        <v>53</v>
      </c>
      <c r="U399" s="1" t="s">
        <v>13</v>
      </c>
      <c r="V399" s="1" t="str">
        <f>IF(pilgrims[[#This Row],[packages.second_hotel_name]]="",pilgrims[[#This Row],[packages.first_hotel_name]],pilgrims[[#This Row],[packages.second_hotel_name]])</f>
        <v>Swissotel Makkah Hotel</v>
      </c>
      <c r="W399" s="1" t="str">
        <f>IF(pilgrims[[#This Row],[packages.second_hotel_name]]="",pilgrims[[#This Row],[packages.first_hotel_check_in]],pilgrims[[#This Row],[packages.second_hotel_check_in]])</f>
        <v>2026-05-31</v>
      </c>
      <c r="X399" s="1" t="str">
        <f>IF(pilgrims[[#This Row],[packages.second_hotel_name]]="",pilgrims[[#This Row],[packages.first_hotel_check_out]],pilgrims[[#This Row],[packages.second_hotel_check_out]])</f>
        <v>2026-06-06</v>
      </c>
      <c r="Y399" s="1" t="s">
        <v>9</v>
      </c>
      <c r="Z399" s="1" t="s">
        <v>261</v>
      </c>
      <c r="AA399" s="1" t="s">
        <v>842</v>
      </c>
      <c r="AB399" s="1" t="s">
        <v>1405</v>
      </c>
      <c r="AC399" s="1" t="s">
        <v>843</v>
      </c>
      <c r="AD399" s="1" t="s">
        <v>1348</v>
      </c>
      <c r="AE399" s="1" t="s">
        <v>1281</v>
      </c>
      <c r="AF399" s="33">
        <v>46163</v>
      </c>
      <c r="AG399" s="5">
        <v>0.71180555555555558</v>
      </c>
      <c r="AH399" s="1" t="s">
        <v>1406</v>
      </c>
      <c r="AI399" s="1" t="s">
        <v>1280</v>
      </c>
      <c r="AJ399" s="4">
        <v>46179</v>
      </c>
      <c r="AK399" s="5">
        <v>0.3611111111111111</v>
      </c>
      <c r="AL399" s="1" t="s">
        <v>215</v>
      </c>
      <c r="AM399" s="1"/>
    </row>
    <row r="400" spans="1:39" x14ac:dyDescent="0.3">
      <c r="A400" s="1">
        <v>842249</v>
      </c>
      <c r="B400" s="1">
        <v>493170</v>
      </c>
      <c r="C400" s="1" t="s">
        <v>1189</v>
      </c>
      <c r="D400" s="38" t="s">
        <v>1917</v>
      </c>
      <c r="E400" s="4">
        <v>36967</v>
      </c>
      <c r="F400" s="1">
        <v>24</v>
      </c>
      <c r="G400" s="1" t="s">
        <v>212</v>
      </c>
      <c r="H400" s="1" t="s">
        <v>1503</v>
      </c>
      <c r="I400" s="1" t="s">
        <v>1503</v>
      </c>
      <c r="J400" s="1">
        <v>8567</v>
      </c>
      <c r="K400" s="1" t="s">
        <v>93</v>
      </c>
      <c r="L400" s="1" t="s">
        <v>8</v>
      </c>
      <c r="M400" s="1" t="s">
        <v>9</v>
      </c>
      <c r="N400" s="1" t="s">
        <v>5</v>
      </c>
      <c r="O400" s="1" t="s">
        <v>216</v>
      </c>
      <c r="P400" s="1" t="s">
        <v>53</v>
      </c>
      <c r="Q400" s="1" t="s">
        <v>8</v>
      </c>
      <c r="R400" s="1" t="s">
        <v>11</v>
      </c>
      <c r="S400" s="1" t="s">
        <v>21</v>
      </c>
      <c r="T400" s="1" t="s">
        <v>53</v>
      </c>
      <c r="U400" s="1" t="s">
        <v>13</v>
      </c>
      <c r="V400" s="1" t="str">
        <f>IF(pilgrims[[#This Row],[packages.second_hotel_name]]="",pilgrims[[#This Row],[packages.first_hotel_name]],pilgrims[[#This Row],[packages.second_hotel_name]])</f>
        <v>Swissotel Makkah Hotel</v>
      </c>
      <c r="W400" s="1" t="str">
        <f>IF(pilgrims[[#This Row],[packages.second_hotel_name]]="",pilgrims[[#This Row],[packages.first_hotel_check_in]],pilgrims[[#This Row],[packages.second_hotel_check_in]])</f>
        <v>2026-05-31</v>
      </c>
      <c r="X400" s="1" t="str">
        <f>IF(pilgrims[[#This Row],[packages.second_hotel_name]]="",pilgrims[[#This Row],[packages.first_hotel_check_out]],pilgrims[[#This Row],[packages.second_hotel_check_out]])</f>
        <v>2026-06-06</v>
      </c>
      <c r="Y400" s="1" t="s">
        <v>9</v>
      </c>
      <c r="Z400" s="1" t="s">
        <v>261</v>
      </c>
      <c r="AA400" s="1" t="s">
        <v>842</v>
      </c>
      <c r="AB400" s="1" t="s">
        <v>1405</v>
      </c>
      <c r="AC400" s="1" t="s">
        <v>843</v>
      </c>
      <c r="AD400" s="1" t="s">
        <v>1348</v>
      </c>
      <c r="AE400" s="1" t="s">
        <v>1281</v>
      </c>
      <c r="AF400" s="33">
        <v>46163</v>
      </c>
      <c r="AG400" s="5">
        <v>0.71180555555555558</v>
      </c>
      <c r="AH400" s="1" t="s">
        <v>1406</v>
      </c>
      <c r="AI400" s="1" t="s">
        <v>1280</v>
      </c>
      <c r="AJ400" s="4">
        <v>46179</v>
      </c>
      <c r="AK400" s="5">
        <v>0.3611111111111111</v>
      </c>
      <c r="AL400" s="1" t="s">
        <v>215</v>
      </c>
      <c r="AM400" s="1"/>
    </row>
    <row r="401" spans="1:39" x14ac:dyDescent="0.3">
      <c r="A401" s="1">
        <v>478988</v>
      </c>
      <c r="B401" s="1">
        <v>376177</v>
      </c>
      <c r="C401" s="1" t="s">
        <v>1188</v>
      </c>
      <c r="D401" s="38" t="s">
        <v>1918</v>
      </c>
      <c r="E401" s="4">
        <v>29386</v>
      </c>
      <c r="F401" s="1">
        <v>45</v>
      </c>
      <c r="G401" s="1" t="s">
        <v>212</v>
      </c>
      <c r="H401" s="1" t="s">
        <v>1501</v>
      </c>
      <c r="I401" s="1" t="s">
        <v>1501</v>
      </c>
      <c r="J401" s="1">
        <v>8540</v>
      </c>
      <c r="K401" s="1" t="s">
        <v>78</v>
      </c>
      <c r="L401" s="1" t="s">
        <v>8</v>
      </c>
      <c r="M401" s="1" t="s">
        <v>13</v>
      </c>
      <c r="N401" s="1" t="s">
        <v>5</v>
      </c>
      <c r="O401" s="1" t="s">
        <v>216</v>
      </c>
      <c r="P401" s="1" t="s">
        <v>53</v>
      </c>
      <c r="Q401" s="1" t="s">
        <v>8</v>
      </c>
      <c r="R401" s="1" t="s">
        <v>11</v>
      </c>
      <c r="S401" s="1"/>
      <c r="T401" s="1"/>
      <c r="U401" s="1"/>
      <c r="V401" s="1" t="str">
        <f>IF(pilgrims[[#This Row],[packages.second_hotel_name]]="",pilgrims[[#This Row],[packages.first_hotel_name]],pilgrims[[#This Row],[packages.second_hotel_name]])</f>
        <v>Movenpick Anwar Almadinah Hotel</v>
      </c>
      <c r="W401" s="1" t="str">
        <f>IF(pilgrims[[#This Row],[packages.second_hotel_name]]="",pilgrims[[#This Row],[packages.first_hotel_check_in]],pilgrims[[#This Row],[packages.second_hotel_check_in]])</f>
        <v>2026-05-21</v>
      </c>
      <c r="X401" s="1" t="str">
        <f>IF(pilgrims[[#This Row],[packages.second_hotel_name]]="",pilgrims[[#This Row],[packages.first_hotel_check_out]],pilgrims[[#This Row],[packages.second_hotel_check_out]])</f>
        <v>2026-05-24</v>
      </c>
      <c r="Y401" s="1"/>
      <c r="Z401" s="1" t="s">
        <v>261</v>
      </c>
      <c r="AA401" s="1" t="s">
        <v>857</v>
      </c>
      <c r="AB401" s="1" t="s">
        <v>1410</v>
      </c>
      <c r="AC401" s="1" t="s">
        <v>858</v>
      </c>
      <c r="AD401" s="1" t="s">
        <v>1338</v>
      </c>
      <c r="AE401" s="1" t="s">
        <v>1281</v>
      </c>
      <c r="AF401" s="4">
        <v>46163</v>
      </c>
      <c r="AG401" s="5">
        <v>0.15625</v>
      </c>
      <c r="AH401" s="1" t="s">
        <v>1309</v>
      </c>
      <c r="AI401" s="1" t="s">
        <v>1280</v>
      </c>
      <c r="AJ401" s="4">
        <v>46173</v>
      </c>
      <c r="AK401" s="5">
        <v>0.3125</v>
      </c>
      <c r="AL401" s="1" t="s">
        <v>215</v>
      </c>
      <c r="AM401" s="1"/>
    </row>
    <row r="402" spans="1:39" x14ac:dyDescent="0.3">
      <c r="A402" s="1">
        <v>479006</v>
      </c>
      <c r="B402" s="1">
        <v>376177</v>
      </c>
      <c r="C402" s="1" t="s">
        <v>1188</v>
      </c>
      <c r="D402" s="38" t="s">
        <v>1919</v>
      </c>
      <c r="E402" s="4">
        <v>20779</v>
      </c>
      <c r="F402" s="1">
        <v>69</v>
      </c>
      <c r="G402" s="1" t="s">
        <v>212</v>
      </c>
      <c r="H402" s="1" t="s">
        <v>1501</v>
      </c>
      <c r="I402" s="1" t="s">
        <v>1501</v>
      </c>
      <c r="J402" s="1">
        <v>8540</v>
      </c>
      <c r="K402" s="1" t="s">
        <v>78</v>
      </c>
      <c r="L402" s="1" t="s">
        <v>8</v>
      </c>
      <c r="M402" s="1" t="s">
        <v>13</v>
      </c>
      <c r="N402" s="1" t="s">
        <v>5</v>
      </c>
      <c r="O402" s="1" t="s">
        <v>216</v>
      </c>
      <c r="P402" s="1" t="s">
        <v>53</v>
      </c>
      <c r="Q402" s="1" t="s">
        <v>8</v>
      </c>
      <c r="R402" s="1" t="s">
        <v>11</v>
      </c>
      <c r="S402" s="1"/>
      <c r="T402" s="1"/>
      <c r="U402" s="1"/>
      <c r="V402" s="1" t="str">
        <f>IF(pilgrims[[#This Row],[packages.second_hotel_name]]="",pilgrims[[#This Row],[packages.first_hotel_name]],pilgrims[[#This Row],[packages.second_hotel_name]])</f>
        <v>Movenpick Anwar Almadinah Hotel</v>
      </c>
      <c r="W402" s="1" t="str">
        <f>IF(pilgrims[[#This Row],[packages.second_hotel_name]]="",pilgrims[[#This Row],[packages.first_hotel_check_in]],pilgrims[[#This Row],[packages.second_hotel_check_in]])</f>
        <v>2026-05-21</v>
      </c>
      <c r="X402" s="1" t="str">
        <f>IF(pilgrims[[#This Row],[packages.second_hotel_name]]="",pilgrims[[#This Row],[packages.first_hotel_check_out]],pilgrims[[#This Row],[packages.second_hotel_check_out]])</f>
        <v>2026-05-24</v>
      </c>
      <c r="Y402" s="1"/>
      <c r="Z402" s="1" t="s">
        <v>261</v>
      </c>
      <c r="AA402" s="1" t="s">
        <v>857</v>
      </c>
      <c r="AB402" s="1" t="s">
        <v>1410</v>
      </c>
      <c r="AC402" s="1" t="s">
        <v>858</v>
      </c>
      <c r="AD402" s="1" t="s">
        <v>1338</v>
      </c>
      <c r="AE402" s="1" t="s">
        <v>1281</v>
      </c>
      <c r="AF402" s="4">
        <v>46163</v>
      </c>
      <c r="AG402" s="5">
        <v>0.15625</v>
      </c>
      <c r="AH402" s="1" t="s">
        <v>1309</v>
      </c>
      <c r="AI402" s="1" t="s">
        <v>1280</v>
      </c>
      <c r="AJ402" s="4">
        <v>46173</v>
      </c>
      <c r="AK402" s="5">
        <v>0.3125</v>
      </c>
      <c r="AL402" s="1" t="s">
        <v>215</v>
      </c>
      <c r="AM402" s="1"/>
    </row>
    <row r="403" spans="1:39" x14ac:dyDescent="0.3">
      <c r="A403" s="1">
        <v>484208</v>
      </c>
      <c r="B403" s="1">
        <v>376177</v>
      </c>
      <c r="C403" s="1" t="s">
        <v>1189</v>
      </c>
      <c r="D403" s="38" t="s">
        <v>1920</v>
      </c>
      <c r="E403" s="4">
        <v>19652</v>
      </c>
      <c r="F403" s="1">
        <v>72</v>
      </c>
      <c r="G403" s="1" t="s">
        <v>212</v>
      </c>
      <c r="H403" s="1" t="s">
        <v>1501</v>
      </c>
      <c r="I403" s="1" t="s">
        <v>1501</v>
      </c>
      <c r="J403" s="1">
        <v>8540</v>
      </c>
      <c r="K403" s="1" t="s">
        <v>78</v>
      </c>
      <c r="L403" s="1" t="s">
        <v>8</v>
      </c>
      <c r="M403" s="1" t="s">
        <v>13</v>
      </c>
      <c r="N403" s="1" t="s">
        <v>5</v>
      </c>
      <c r="O403" s="1" t="s">
        <v>216</v>
      </c>
      <c r="P403" s="1" t="s">
        <v>53</v>
      </c>
      <c r="Q403" s="1" t="s">
        <v>8</v>
      </c>
      <c r="R403" s="1" t="s">
        <v>11</v>
      </c>
      <c r="S403" s="1"/>
      <c r="T403" s="1"/>
      <c r="U403" s="1"/>
      <c r="V403" s="1" t="str">
        <f>IF(pilgrims[[#This Row],[packages.second_hotel_name]]="",pilgrims[[#This Row],[packages.first_hotel_name]],pilgrims[[#This Row],[packages.second_hotel_name]])</f>
        <v>Movenpick Anwar Almadinah Hotel</v>
      </c>
      <c r="W403" s="1" t="str">
        <f>IF(pilgrims[[#This Row],[packages.second_hotel_name]]="",pilgrims[[#This Row],[packages.first_hotel_check_in]],pilgrims[[#This Row],[packages.second_hotel_check_in]])</f>
        <v>2026-05-21</v>
      </c>
      <c r="X403" s="1" t="str">
        <f>IF(pilgrims[[#This Row],[packages.second_hotel_name]]="",pilgrims[[#This Row],[packages.first_hotel_check_out]],pilgrims[[#This Row],[packages.second_hotel_check_out]])</f>
        <v>2026-05-24</v>
      </c>
      <c r="Y403" s="1"/>
      <c r="Z403" s="1" t="s">
        <v>261</v>
      </c>
      <c r="AA403" s="1" t="s">
        <v>857</v>
      </c>
      <c r="AB403" s="1" t="s">
        <v>1410</v>
      </c>
      <c r="AC403" s="1" t="s">
        <v>858</v>
      </c>
      <c r="AD403" s="1" t="s">
        <v>1338</v>
      </c>
      <c r="AE403" s="1" t="s">
        <v>1281</v>
      </c>
      <c r="AF403" s="4">
        <v>46163</v>
      </c>
      <c r="AG403" s="5">
        <v>0.15625</v>
      </c>
      <c r="AH403" s="1" t="s">
        <v>1309</v>
      </c>
      <c r="AI403" s="1" t="s">
        <v>1280</v>
      </c>
      <c r="AJ403" s="4">
        <v>46173</v>
      </c>
      <c r="AK403" s="5">
        <v>0.3125</v>
      </c>
      <c r="AL403" s="1" t="s">
        <v>215</v>
      </c>
      <c r="AM403" s="1"/>
    </row>
    <row r="404" spans="1:39" x14ac:dyDescent="0.3">
      <c r="A404" s="1">
        <v>860568</v>
      </c>
      <c r="B404" s="1">
        <v>695491</v>
      </c>
      <c r="C404" s="1" t="s">
        <v>1188</v>
      </c>
      <c r="D404" s="38" t="s">
        <v>1921</v>
      </c>
      <c r="E404" s="4">
        <v>30167</v>
      </c>
      <c r="F404" s="1">
        <v>43</v>
      </c>
      <c r="G404" s="1" t="s">
        <v>212</v>
      </c>
      <c r="H404" s="1" t="s">
        <v>1501</v>
      </c>
      <c r="I404" s="1" t="s">
        <v>1501</v>
      </c>
      <c r="J404" s="1">
        <v>8529</v>
      </c>
      <c r="K404" s="1" t="s">
        <v>82</v>
      </c>
      <c r="L404" s="1" t="s">
        <v>19</v>
      </c>
      <c r="M404" s="1" t="s">
        <v>13</v>
      </c>
      <c r="N404" s="1" t="s">
        <v>20</v>
      </c>
      <c r="O404" s="1" t="s">
        <v>216</v>
      </c>
      <c r="P404" s="1" t="s">
        <v>53</v>
      </c>
      <c r="Q404" s="1" t="s">
        <v>19</v>
      </c>
      <c r="R404" s="1" t="s">
        <v>8</v>
      </c>
      <c r="S404" s="1" t="s">
        <v>21</v>
      </c>
      <c r="T404" s="1" t="s">
        <v>53</v>
      </c>
      <c r="U404" s="1" t="s">
        <v>8</v>
      </c>
      <c r="V404" s="1" t="str">
        <f>IF(pilgrims[[#This Row],[packages.second_hotel_name]]="",pilgrims[[#This Row],[packages.first_hotel_name]],pilgrims[[#This Row],[packages.second_hotel_name]])</f>
        <v>Swissotel Makkah Hotel</v>
      </c>
      <c r="W404" s="1" t="str">
        <f>IF(pilgrims[[#This Row],[packages.second_hotel_name]]="",pilgrims[[#This Row],[packages.first_hotel_check_in]],pilgrims[[#This Row],[packages.second_hotel_check_in]])</f>
        <v>2026-05-21</v>
      </c>
      <c r="X404" s="1" t="str">
        <f>IF(pilgrims[[#This Row],[packages.second_hotel_name]]="",pilgrims[[#This Row],[packages.first_hotel_check_out]],pilgrims[[#This Row],[packages.second_hotel_check_out]])</f>
        <v>2026-05-25</v>
      </c>
      <c r="Y404" s="1" t="s">
        <v>16</v>
      </c>
      <c r="Z404" s="1" t="s">
        <v>261</v>
      </c>
      <c r="AA404" s="1" t="s">
        <v>878</v>
      </c>
      <c r="AB404" s="1" t="s">
        <v>1422</v>
      </c>
      <c r="AC404" s="1" t="s">
        <v>879</v>
      </c>
      <c r="AD404" s="1" t="s">
        <v>1421</v>
      </c>
      <c r="AE404" s="1" t="s">
        <v>1281</v>
      </c>
      <c r="AF404" s="4">
        <v>46160</v>
      </c>
      <c r="AG404" s="5">
        <v>0.1701388888888889</v>
      </c>
      <c r="AH404" s="1" t="s">
        <v>1320</v>
      </c>
      <c r="AI404" s="1" t="s">
        <v>1280</v>
      </c>
      <c r="AJ404" s="4">
        <v>46173</v>
      </c>
      <c r="AK404" s="5">
        <v>0.29166666666666669</v>
      </c>
      <c r="AL404" s="1" t="s">
        <v>215</v>
      </c>
      <c r="AM404" s="1"/>
    </row>
    <row r="405" spans="1:39" x14ac:dyDescent="0.3">
      <c r="A405" s="1">
        <v>860639</v>
      </c>
      <c r="B405" s="1">
        <v>695491</v>
      </c>
      <c r="C405" s="1" t="s">
        <v>1189</v>
      </c>
      <c r="D405" s="38" t="s">
        <v>1922</v>
      </c>
      <c r="E405" s="4">
        <v>30374</v>
      </c>
      <c r="F405" s="1">
        <v>43</v>
      </c>
      <c r="G405" s="1" t="s">
        <v>212</v>
      </c>
      <c r="H405" s="1" t="s">
        <v>1501</v>
      </c>
      <c r="I405" s="1" t="s">
        <v>1501</v>
      </c>
      <c r="J405" s="1">
        <v>8529</v>
      </c>
      <c r="K405" s="1" t="s">
        <v>82</v>
      </c>
      <c r="L405" s="1" t="s">
        <v>19</v>
      </c>
      <c r="M405" s="1" t="s">
        <v>13</v>
      </c>
      <c r="N405" s="1" t="s">
        <v>20</v>
      </c>
      <c r="O405" s="1" t="s">
        <v>216</v>
      </c>
      <c r="P405" s="1" t="s">
        <v>53</v>
      </c>
      <c r="Q405" s="1" t="s">
        <v>19</v>
      </c>
      <c r="R405" s="1" t="s">
        <v>8</v>
      </c>
      <c r="S405" s="1" t="s">
        <v>21</v>
      </c>
      <c r="T405" s="1" t="s">
        <v>53</v>
      </c>
      <c r="U405" s="1" t="s">
        <v>8</v>
      </c>
      <c r="V405" s="1" t="str">
        <f>IF(pilgrims[[#This Row],[packages.second_hotel_name]]="",pilgrims[[#This Row],[packages.first_hotel_name]],pilgrims[[#This Row],[packages.second_hotel_name]])</f>
        <v>Swissotel Makkah Hotel</v>
      </c>
      <c r="W405" s="1" t="str">
        <f>IF(pilgrims[[#This Row],[packages.second_hotel_name]]="",pilgrims[[#This Row],[packages.first_hotel_check_in]],pilgrims[[#This Row],[packages.second_hotel_check_in]])</f>
        <v>2026-05-21</v>
      </c>
      <c r="X405" s="1" t="str">
        <f>IF(pilgrims[[#This Row],[packages.second_hotel_name]]="",pilgrims[[#This Row],[packages.first_hotel_check_out]],pilgrims[[#This Row],[packages.second_hotel_check_out]])</f>
        <v>2026-05-25</v>
      </c>
      <c r="Y405" s="1" t="s">
        <v>16</v>
      </c>
      <c r="Z405" s="1" t="s">
        <v>261</v>
      </c>
      <c r="AA405" s="1" t="s">
        <v>878</v>
      </c>
      <c r="AB405" s="1" t="s">
        <v>1422</v>
      </c>
      <c r="AC405" s="1" t="s">
        <v>879</v>
      </c>
      <c r="AD405" s="1" t="s">
        <v>1421</v>
      </c>
      <c r="AE405" s="1" t="s">
        <v>1281</v>
      </c>
      <c r="AF405" s="4">
        <v>46160</v>
      </c>
      <c r="AG405" s="5">
        <v>0.1701388888888889</v>
      </c>
      <c r="AH405" s="1" t="s">
        <v>1320</v>
      </c>
      <c r="AI405" s="1" t="s">
        <v>1280</v>
      </c>
      <c r="AJ405" s="4">
        <v>46173</v>
      </c>
      <c r="AK405" s="5">
        <v>0.29166666666666669</v>
      </c>
      <c r="AL405" s="1" t="s">
        <v>215</v>
      </c>
      <c r="AM405" s="1"/>
    </row>
    <row r="406" spans="1:39" x14ac:dyDescent="0.3">
      <c r="A406" s="1">
        <v>811309</v>
      </c>
      <c r="B406" s="1">
        <v>656166</v>
      </c>
      <c r="C406" s="1" t="s">
        <v>1188</v>
      </c>
      <c r="D406" s="38" t="s">
        <v>1923</v>
      </c>
      <c r="E406" s="4">
        <v>29971</v>
      </c>
      <c r="F406" s="1">
        <v>44</v>
      </c>
      <c r="G406" s="1" t="s">
        <v>212</v>
      </c>
      <c r="H406" s="1" t="s">
        <v>1501</v>
      </c>
      <c r="I406" s="1" t="s">
        <v>1501</v>
      </c>
      <c r="J406" s="1">
        <v>8529</v>
      </c>
      <c r="K406" s="1" t="s">
        <v>82</v>
      </c>
      <c r="L406" s="1" t="s">
        <v>19</v>
      </c>
      <c r="M406" s="1" t="s">
        <v>13</v>
      </c>
      <c r="N406" s="1" t="s">
        <v>20</v>
      </c>
      <c r="O406" s="1" t="s">
        <v>216</v>
      </c>
      <c r="P406" s="1" t="s">
        <v>53</v>
      </c>
      <c r="Q406" s="1" t="s">
        <v>19</v>
      </c>
      <c r="R406" s="1" t="s">
        <v>8</v>
      </c>
      <c r="S406" s="1" t="s">
        <v>21</v>
      </c>
      <c r="T406" s="1" t="s">
        <v>53</v>
      </c>
      <c r="U406" s="1" t="s">
        <v>8</v>
      </c>
      <c r="V406" s="1" t="str">
        <f>IF(pilgrims[[#This Row],[packages.second_hotel_name]]="",pilgrims[[#This Row],[packages.first_hotel_name]],pilgrims[[#This Row],[packages.second_hotel_name]])</f>
        <v>Swissotel Makkah Hotel</v>
      </c>
      <c r="W406" s="1" t="str">
        <f>IF(pilgrims[[#This Row],[packages.second_hotel_name]]="",pilgrims[[#This Row],[packages.first_hotel_check_in]],pilgrims[[#This Row],[packages.second_hotel_check_in]])</f>
        <v>2026-05-21</v>
      </c>
      <c r="X406" s="1" t="str">
        <f>IF(pilgrims[[#This Row],[packages.second_hotel_name]]="",pilgrims[[#This Row],[packages.first_hotel_check_out]],pilgrims[[#This Row],[packages.second_hotel_check_out]])</f>
        <v>2026-05-25</v>
      </c>
      <c r="Y406" s="1" t="s">
        <v>16</v>
      </c>
      <c r="Z406" s="1" t="s">
        <v>261</v>
      </c>
      <c r="AA406" s="1" t="s">
        <v>882</v>
      </c>
      <c r="AB406" s="1" t="s">
        <v>1420</v>
      </c>
      <c r="AC406" s="1" t="s">
        <v>883</v>
      </c>
      <c r="AD406" s="1" t="s">
        <v>1421</v>
      </c>
      <c r="AE406" s="1" t="s">
        <v>1281</v>
      </c>
      <c r="AF406" s="4">
        <v>46160</v>
      </c>
      <c r="AG406" s="5">
        <v>0.1701388888888889</v>
      </c>
      <c r="AH406" s="1" t="s">
        <v>1320</v>
      </c>
      <c r="AI406" s="1" t="s">
        <v>1280</v>
      </c>
      <c r="AJ406" s="4">
        <v>46173</v>
      </c>
      <c r="AK406" s="5">
        <v>0.29166666666666669</v>
      </c>
      <c r="AL406" s="1" t="s">
        <v>215</v>
      </c>
      <c r="AM406" s="1"/>
    </row>
    <row r="407" spans="1:39" x14ac:dyDescent="0.3">
      <c r="A407" s="1">
        <v>830587</v>
      </c>
      <c r="B407" s="1">
        <v>656166</v>
      </c>
      <c r="C407" s="1" t="s">
        <v>1189</v>
      </c>
      <c r="D407" s="38" t="s">
        <v>1924</v>
      </c>
      <c r="E407" s="4">
        <v>32877</v>
      </c>
      <c r="F407" s="1">
        <v>36</v>
      </c>
      <c r="G407" s="1" t="s">
        <v>212</v>
      </c>
      <c r="H407" s="1" t="s">
        <v>1501</v>
      </c>
      <c r="I407" s="1" t="s">
        <v>1501</v>
      </c>
      <c r="J407" s="1">
        <v>8529</v>
      </c>
      <c r="K407" s="1" t="s">
        <v>82</v>
      </c>
      <c r="L407" s="1" t="s">
        <v>19</v>
      </c>
      <c r="M407" s="1" t="s">
        <v>13</v>
      </c>
      <c r="N407" s="1" t="s">
        <v>20</v>
      </c>
      <c r="O407" s="1" t="s">
        <v>216</v>
      </c>
      <c r="P407" s="1" t="s">
        <v>53</v>
      </c>
      <c r="Q407" s="1" t="s">
        <v>19</v>
      </c>
      <c r="R407" s="1" t="s">
        <v>8</v>
      </c>
      <c r="S407" s="1" t="s">
        <v>21</v>
      </c>
      <c r="T407" s="1" t="s">
        <v>53</v>
      </c>
      <c r="U407" s="1" t="s">
        <v>8</v>
      </c>
      <c r="V407" s="1" t="str">
        <f>IF(pilgrims[[#This Row],[packages.second_hotel_name]]="",pilgrims[[#This Row],[packages.first_hotel_name]],pilgrims[[#This Row],[packages.second_hotel_name]])</f>
        <v>Swissotel Makkah Hotel</v>
      </c>
      <c r="W407" s="1" t="str">
        <f>IF(pilgrims[[#This Row],[packages.second_hotel_name]]="",pilgrims[[#This Row],[packages.first_hotel_check_in]],pilgrims[[#This Row],[packages.second_hotel_check_in]])</f>
        <v>2026-05-21</v>
      </c>
      <c r="X407" s="1" t="str">
        <f>IF(pilgrims[[#This Row],[packages.second_hotel_name]]="",pilgrims[[#This Row],[packages.first_hotel_check_out]],pilgrims[[#This Row],[packages.second_hotel_check_out]])</f>
        <v>2026-05-25</v>
      </c>
      <c r="Y407" s="1" t="s">
        <v>16</v>
      </c>
      <c r="Z407" s="1" t="s">
        <v>261</v>
      </c>
      <c r="AA407" s="1" t="s">
        <v>882</v>
      </c>
      <c r="AB407" s="1" t="s">
        <v>1420</v>
      </c>
      <c r="AC407" s="1" t="s">
        <v>883</v>
      </c>
      <c r="AD407" s="1" t="s">
        <v>1421</v>
      </c>
      <c r="AE407" s="1" t="s">
        <v>1281</v>
      </c>
      <c r="AF407" s="4">
        <v>46160</v>
      </c>
      <c r="AG407" s="5">
        <v>0.1701388888888889</v>
      </c>
      <c r="AH407" s="1" t="s">
        <v>1320</v>
      </c>
      <c r="AI407" s="1" t="s">
        <v>1280</v>
      </c>
      <c r="AJ407" s="4">
        <v>46173</v>
      </c>
      <c r="AK407" s="5">
        <v>0.29166666666666669</v>
      </c>
      <c r="AL407" s="1" t="s">
        <v>215</v>
      </c>
      <c r="AM407" s="1"/>
    </row>
    <row r="408" spans="1:39" x14ac:dyDescent="0.3">
      <c r="A408" s="1">
        <v>575830</v>
      </c>
      <c r="B408" s="1">
        <v>461432</v>
      </c>
      <c r="C408" s="1" t="s">
        <v>1188</v>
      </c>
      <c r="D408" s="38" t="s">
        <v>1925</v>
      </c>
      <c r="E408" s="4">
        <v>27105</v>
      </c>
      <c r="F408" s="1">
        <v>51</v>
      </c>
      <c r="G408" s="1" t="s">
        <v>212</v>
      </c>
      <c r="H408" s="1" t="s">
        <v>1501</v>
      </c>
      <c r="I408" s="1" t="s">
        <v>1501</v>
      </c>
      <c r="J408" s="1">
        <v>8540</v>
      </c>
      <c r="K408" s="1" t="s">
        <v>78</v>
      </c>
      <c r="L408" s="1" t="s">
        <v>8</v>
      </c>
      <c r="M408" s="1" t="s">
        <v>13</v>
      </c>
      <c r="N408" s="1" t="s">
        <v>5</v>
      </c>
      <c r="O408" s="1" t="s">
        <v>216</v>
      </c>
      <c r="P408" s="1" t="s">
        <v>53</v>
      </c>
      <c r="Q408" s="1" t="s">
        <v>8</v>
      </c>
      <c r="R408" s="1" t="s">
        <v>11</v>
      </c>
      <c r="S408" s="1"/>
      <c r="T408" s="1"/>
      <c r="U408" s="1"/>
      <c r="V408" s="1" t="str">
        <f>IF(pilgrims[[#This Row],[packages.second_hotel_name]]="",pilgrims[[#This Row],[packages.first_hotel_name]],pilgrims[[#This Row],[packages.second_hotel_name]])</f>
        <v>Movenpick Anwar Almadinah Hotel</v>
      </c>
      <c r="W408" s="1" t="str">
        <f>IF(pilgrims[[#This Row],[packages.second_hotel_name]]="",pilgrims[[#This Row],[packages.first_hotel_check_in]],pilgrims[[#This Row],[packages.second_hotel_check_in]])</f>
        <v>2026-05-21</v>
      </c>
      <c r="X408" s="1" t="str">
        <f>IF(pilgrims[[#This Row],[packages.second_hotel_name]]="",pilgrims[[#This Row],[packages.first_hotel_check_out]],pilgrims[[#This Row],[packages.second_hotel_check_out]])</f>
        <v>2026-05-24</v>
      </c>
      <c r="Y408" s="1"/>
      <c r="Z408" s="1" t="s">
        <v>261</v>
      </c>
      <c r="AA408" s="1" t="s">
        <v>893</v>
      </c>
      <c r="AB408" s="1" t="s">
        <v>1436</v>
      </c>
      <c r="AC408" s="1" t="s">
        <v>894</v>
      </c>
      <c r="AD408" s="1" t="s">
        <v>1338</v>
      </c>
      <c r="AE408" s="1" t="s">
        <v>1281</v>
      </c>
      <c r="AF408" s="4">
        <v>46163</v>
      </c>
      <c r="AG408" s="5">
        <v>0.15625</v>
      </c>
      <c r="AH408" s="1" t="s">
        <v>1320</v>
      </c>
      <c r="AI408" s="1" t="s">
        <v>1280</v>
      </c>
      <c r="AJ408" s="4">
        <v>46173</v>
      </c>
      <c r="AK408" s="5">
        <v>0.29166666666666669</v>
      </c>
      <c r="AL408" s="1" t="s">
        <v>215</v>
      </c>
      <c r="AM408" s="1"/>
    </row>
    <row r="409" spans="1:39" x14ac:dyDescent="0.3">
      <c r="A409" s="1">
        <v>579007</v>
      </c>
      <c r="B409" s="1">
        <v>461432</v>
      </c>
      <c r="C409" s="1" t="s">
        <v>1189</v>
      </c>
      <c r="D409" s="38" t="s">
        <v>1926</v>
      </c>
      <c r="E409" s="4">
        <v>29472</v>
      </c>
      <c r="F409" s="1">
        <v>45</v>
      </c>
      <c r="G409" s="1" t="s">
        <v>212</v>
      </c>
      <c r="H409" s="1" t="s">
        <v>1501</v>
      </c>
      <c r="I409" s="1" t="s">
        <v>1501</v>
      </c>
      <c r="J409" s="1">
        <v>8540</v>
      </c>
      <c r="K409" s="1" t="s">
        <v>78</v>
      </c>
      <c r="L409" s="1" t="s">
        <v>8</v>
      </c>
      <c r="M409" s="1" t="s">
        <v>13</v>
      </c>
      <c r="N409" s="1" t="s">
        <v>5</v>
      </c>
      <c r="O409" s="1" t="s">
        <v>216</v>
      </c>
      <c r="P409" s="1" t="s">
        <v>53</v>
      </c>
      <c r="Q409" s="1" t="s">
        <v>8</v>
      </c>
      <c r="R409" s="1" t="s">
        <v>11</v>
      </c>
      <c r="S409" s="1"/>
      <c r="T409" s="1"/>
      <c r="U409" s="1"/>
      <c r="V409" s="1" t="str">
        <f>IF(pilgrims[[#This Row],[packages.second_hotel_name]]="",pilgrims[[#This Row],[packages.first_hotel_name]],pilgrims[[#This Row],[packages.second_hotel_name]])</f>
        <v>Movenpick Anwar Almadinah Hotel</v>
      </c>
      <c r="W409" s="1" t="str">
        <f>IF(pilgrims[[#This Row],[packages.second_hotel_name]]="",pilgrims[[#This Row],[packages.first_hotel_check_in]],pilgrims[[#This Row],[packages.second_hotel_check_in]])</f>
        <v>2026-05-21</v>
      </c>
      <c r="X409" s="1" t="str">
        <f>IF(pilgrims[[#This Row],[packages.second_hotel_name]]="",pilgrims[[#This Row],[packages.first_hotel_check_out]],pilgrims[[#This Row],[packages.second_hotel_check_out]])</f>
        <v>2026-05-24</v>
      </c>
      <c r="Y409" s="1"/>
      <c r="Z409" s="1" t="s">
        <v>261</v>
      </c>
      <c r="AA409" s="1" t="s">
        <v>893</v>
      </c>
      <c r="AB409" s="1" t="s">
        <v>1436</v>
      </c>
      <c r="AC409" s="1" t="s">
        <v>894</v>
      </c>
      <c r="AD409" s="1" t="s">
        <v>1338</v>
      </c>
      <c r="AE409" s="1" t="s">
        <v>1281</v>
      </c>
      <c r="AF409" s="4">
        <v>46163</v>
      </c>
      <c r="AG409" s="5">
        <v>0.15625</v>
      </c>
      <c r="AH409" s="1" t="s">
        <v>1320</v>
      </c>
      <c r="AI409" s="1" t="s">
        <v>1280</v>
      </c>
      <c r="AJ409" s="4">
        <v>46173</v>
      </c>
      <c r="AK409" s="5">
        <v>0.29166666666666669</v>
      </c>
      <c r="AL409" s="1" t="s">
        <v>215</v>
      </c>
      <c r="AM409" s="1"/>
    </row>
    <row r="410" spans="1:39" x14ac:dyDescent="0.3">
      <c r="A410" s="1">
        <v>130145</v>
      </c>
      <c r="B410" s="1">
        <v>99846</v>
      </c>
      <c r="C410" s="1" t="s">
        <v>1188</v>
      </c>
      <c r="D410" s="38" t="s">
        <v>1927</v>
      </c>
      <c r="E410" s="4">
        <v>35785</v>
      </c>
      <c r="F410" s="1">
        <v>28</v>
      </c>
      <c r="G410" s="1" t="s">
        <v>212</v>
      </c>
      <c r="H410" s="1" t="s">
        <v>1501</v>
      </c>
      <c r="I410" s="1" t="s">
        <v>1501</v>
      </c>
      <c r="J410" s="1">
        <v>8540</v>
      </c>
      <c r="K410" s="1" t="s">
        <v>78</v>
      </c>
      <c r="L410" s="1" t="s">
        <v>8</v>
      </c>
      <c r="M410" s="1" t="s">
        <v>13</v>
      </c>
      <c r="N410" s="1" t="s">
        <v>5</v>
      </c>
      <c r="O410" s="1" t="s">
        <v>216</v>
      </c>
      <c r="P410" s="1" t="s">
        <v>53</v>
      </c>
      <c r="Q410" s="1" t="s">
        <v>8</v>
      </c>
      <c r="R410" s="1" t="s">
        <v>11</v>
      </c>
      <c r="S410" s="1"/>
      <c r="T410" s="1"/>
      <c r="U410" s="1"/>
      <c r="V410" s="1" t="str">
        <f>IF(pilgrims[[#This Row],[packages.second_hotel_name]]="",pilgrims[[#This Row],[packages.first_hotel_name]],pilgrims[[#This Row],[packages.second_hotel_name]])</f>
        <v>Movenpick Anwar Almadinah Hotel</v>
      </c>
      <c r="W410" s="1" t="str">
        <f>IF(pilgrims[[#This Row],[packages.second_hotel_name]]="",pilgrims[[#This Row],[packages.first_hotel_check_in]],pilgrims[[#This Row],[packages.second_hotel_check_in]])</f>
        <v>2026-05-21</v>
      </c>
      <c r="X410" s="1" t="str">
        <f>IF(pilgrims[[#This Row],[packages.second_hotel_name]]="",pilgrims[[#This Row],[packages.first_hotel_check_out]],pilgrims[[#This Row],[packages.second_hotel_check_out]])</f>
        <v>2026-05-24</v>
      </c>
      <c r="Y410" s="1"/>
      <c r="Z410" s="1" t="s">
        <v>261</v>
      </c>
      <c r="AA410" s="1" t="s">
        <v>899</v>
      </c>
      <c r="AB410" s="1" t="s">
        <v>1423</v>
      </c>
      <c r="AC410" s="1" t="s">
        <v>900</v>
      </c>
      <c r="AD410" s="1" t="s">
        <v>1338</v>
      </c>
      <c r="AE410" s="1" t="s">
        <v>1281</v>
      </c>
      <c r="AF410" s="4">
        <v>46163</v>
      </c>
      <c r="AG410" s="5">
        <v>0.15625</v>
      </c>
      <c r="AH410" s="1" t="s">
        <v>1320</v>
      </c>
      <c r="AI410" s="1" t="s">
        <v>1280</v>
      </c>
      <c r="AJ410" s="4">
        <v>46173</v>
      </c>
      <c r="AK410" s="5">
        <v>0.29166666666666669</v>
      </c>
      <c r="AL410" s="1" t="s">
        <v>215</v>
      </c>
      <c r="AM410" s="1"/>
    </row>
    <row r="411" spans="1:39" x14ac:dyDescent="0.3">
      <c r="A411" s="1">
        <v>803436</v>
      </c>
      <c r="B411" s="1">
        <v>99846</v>
      </c>
      <c r="C411" s="1" t="s">
        <v>1189</v>
      </c>
      <c r="D411" s="38" t="s">
        <v>1928</v>
      </c>
      <c r="E411" s="4">
        <v>21310</v>
      </c>
      <c r="F411" s="1">
        <v>67</v>
      </c>
      <c r="G411" s="1" t="s">
        <v>212</v>
      </c>
      <c r="H411" s="1" t="s">
        <v>1501</v>
      </c>
      <c r="I411" s="1" t="s">
        <v>1501</v>
      </c>
      <c r="J411" s="1">
        <v>8540</v>
      </c>
      <c r="K411" s="1" t="s">
        <v>78</v>
      </c>
      <c r="L411" s="1" t="s">
        <v>8</v>
      </c>
      <c r="M411" s="1" t="s">
        <v>13</v>
      </c>
      <c r="N411" s="1" t="s">
        <v>5</v>
      </c>
      <c r="O411" s="1" t="s">
        <v>216</v>
      </c>
      <c r="P411" s="1" t="s">
        <v>53</v>
      </c>
      <c r="Q411" s="1" t="s">
        <v>8</v>
      </c>
      <c r="R411" s="1" t="s">
        <v>11</v>
      </c>
      <c r="S411" s="1"/>
      <c r="T411" s="1"/>
      <c r="U411" s="1"/>
      <c r="V411" s="1" t="str">
        <f>IF(pilgrims[[#This Row],[packages.second_hotel_name]]="",pilgrims[[#This Row],[packages.first_hotel_name]],pilgrims[[#This Row],[packages.second_hotel_name]])</f>
        <v>Movenpick Anwar Almadinah Hotel</v>
      </c>
      <c r="W411" s="1" t="str">
        <f>IF(pilgrims[[#This Row],[packages.second_hotel_name]]="",pilgrims[[#This Row],[packages.first_hotel_check_in]],pilgrims[[#This Row],[packages.second_hotel_check_in]])</f>
        <v>2026-05-21</v>
      </c>
      <c r="X411" s="1" t="str">
        <f>IF(pilgrims[[#This Row],[packages.second_hotel_name]]="",pilgrims[[#This Row],[packages.first_hotel_check_out]],pilgrims[[#This Row],[packages.second_hotel_check_out]])</f>
        <v>2026-05-24</v>
      </c>
      <c r="Y411" s="1"/>
      <c r="Z411" s="1" t="s">
        <v>261</v>
      </c>
      <c r="AA411" s="1" t="s">
        <v>899</v>
      </c>
      <c r="AB411" s="1" t="s">
        <v>1423</v>
      </c>
      <c r="AC411" s="1" t="s">
        <v>900</v>
      </c>
      <c r="AD411" s="1" t="s">
        <v>1338</v>
      </c>
      <c r="AE411" s="1" t="s">
        <v>1281</v>
      </c>
      <c r="AF411" s="4">
        <v>46163</v>
      </c>
      <c r="AG411" s="5">
        <v>0.15625</v>
      </c>
      <c r="AH411" s="1" t="s">
        <v>1320</v>
      </c>
      <c r="AI411" s="1" t="s">
        <v>1280</v>
      </c>
      <c r="AJ411" s="4">
        <v>46173</v>
      </c>
      <c r="AK411" s="5">
        <v>0.29166666666666669</v>
      </c>
      <c r="AL411" s="1" t="s">
        <v>215</v>
      </c>
      <c r="AM411" s="1"/>
    </row>
    <row r="412" spans="1:39" x14ac:dyDescent="0.3">
      <c r="A412" s="1">
        <v>807998</v>
      </c>
      <c r="B412" s="1">
        <v>99846</v>
      </c>
      <c r="C412" s="1" t="s">
        <v>1189</v>
      </c>
      <c r="D412" s="38" t="s">
        <v>1929</v>
      </c>
      <c r="E412" s="4">
        <v>36139</v>
      </c>
      <c r="F412" s="1">
        <v>27</v>
      </c>
      <c r="G412" s="1" t="s">
        <v>212</v>
      </c>
      <c r="H412" s="1" t="s">
        <v>1501</v>
      </c>
      <c r="I412" s="1" t="s">
        <v>1501</v>
      </c>
      <c r="J412" s="1">
        <v>8540</v>
      </c>
      <c r="K412" s="1" t="s">
        <v>78</v>
      </c>
      <c r="L412" s="1" t="s">
        <v>8</v>
      </c>
      <c r="M412" s="1" t="s">
        <v>13</v>
      </c>
      <c r="N412" s="1" t="s">
        <v>5</v>
      </c>
      <c r="O412" s="1" t="s">
        <v>216</v>
      </c>
      <c r="P412" s="1" t="s">
        <v>53</v>
      </c>
      <c r="Q412" s="1" t="s">
        <v>8</v>
      </c>
      <c r="R412" s="1" t="s">
        <v>11</v>
      </c>
      <c r="S412" s="1"/>
      <c r="T412" s="1"/>
      <c r="U412" s="1"/>
      <c r="V412" s="1" t="str">
        <f>IF(pilgrims[[#This Row],[packages.second_hotel_name]]="",pilgrims[[#This Row],[packages.first_hotel_name]],pilgrims[[#This Row],[packages.second_hotel_name]])</f>
        <v>Movenpick Anwar Almadinah Hotel</v>
      </c>
      <c r="W412" s="1" t="str">
        <f>IF(pilgrims[[#This Row],[packages.second_hotel_name]]="",pilgrims[[#This Row],[packages.first_hotel_check_in]],pilgrims[[#This Row],[packages.second_hotel_check_in]])</f>
        <v>2026-05-21</v>
      </c>
      <c r="X412" s="1" t="str">
        <f>IF(pilgrims[[#This Row],[packages.second_hotel_name]]="",pilgrims[[#This Row],[packages.first_hotel_check_out]],pilgrims[[#This Row],[packages.second_hotel_check_out]])</f>
        <v>2026-05-24</v>
      </c>
      <c r="Y412" s="1"/>
      <c r="Z412" s="1" t="s">
        <v>261</v>
      </c>
      <c r="AA412" s="1" t="s">
        <v>899</v>
      </c>
      <c r="AB412" s="1" t="s">
        <v>1423</v>
      </c>
      <c r="AC412" s="1" t="s">
        <v>900</v>
      </c>
      <c r="AD412" s="1" t="s">
        <v>1338</v>
      </c>
      <c r="AE412" s="1" t="s">
        <v>1281</v>
      </c>
      <c r="AF412" s="4">
        <v>46163</v>
      </c>
      <c r="AG412" s="5">
        <v>0.15625</v>
      </c>
      <c r="AH412" s="1" t="s">
        <v>1320</v>
      </c>
      <c r="AI412" s="1" t="s">
        <v>1280</v>
      </c>
      <c r="AJ412" s="4">
        <v>46173</v>
      </c>
      <c r="AK412" s="5">
        <v>0.29166666666666669</v>
      </c>
      <c r="AL412" s="1" t="s">
        <v>215</v>
      </c>
      <c r="AM412" s="1"/>
    </row>
    <row r="413" spans="1:39" x14ac:dyDescent="0.3">
      <c r="A413" s="1">
        <v>336213</v>
      </c>
      <c r="B413" s="1">
        <v>265146</v>
      </c>
      <c r="C413" s="1" t="s">
        <v>1188</v>
      </c>
      <c r="D413" s="38" t="s">
        <v>1930</v>
      </c>
      <c r="E413" s="4">
        <v>25423</v>
      </c>
      <c r="F413" s="1">
        <v>56</v>
      </c>
      <c r="G413" s="1" t="s">
        <v>212</v>
      </c>
      <c r="H413" s="1" t="s">
        <v>1501</v>
      </c>
      <c r="I413" s="1" t="s">
        <v>1501</v>
      </c>
      <c r="J413" s="1">
        <v>8670</v>
      </c>
      <c r="K413" s="1" t="s">
        <v>79</v>
      </c>
      <c r="L413" s="1" t="s">
        <v>3</v>
      </c>
      <c r="M413" s="1" t="s">
        <v>4</v>
      </c>
      <c r="N413" s="1" t="s">
        <v>5</v>
      </c>
      <c r="O413" s="1" t="s">
        <v>216</v>
      </c>
      <c r="P413" s="1" t="s">
        <v>53</v>
      </c>
      <c r="Q413" s="1" t="s">
        <v>6</v>
      </c>
      <c r="R413" s="1" t="s">
        <v>4</v>
      </c>
      <c r="S413" s="1"/>
      <c r="T413" s="1"/>
      <c r="U413" s="1"/>
      <c r="V413" s="1" t="str">
        <f>IF(pilgrims[[#This Row],[packages.second_hotel_name]]="",pilgrims[[#This Row],[packages.first_hotel_name]],pilgrims[[#This Row],[packages.second_hotel_name]])</f>
        <v>Movenpick Anwar Almadinah Hotel</v>
      </c>
      <c r="W413" s="1" t="str">
        <f>IF(pilgrims[[#This Row],[packages.second_hotel_name]]="",pilgrims[[#This Row],[packages.first_hotel_check_in]],pilgrims[[#This Row],[packages.second_hotel_check_in]])</f>
        <v>2026-05-30</v>
      </c>
      <c r="X413" s="1" t="str">
        <f>IF(pilgrims[[#This Row],[packages.second_hotel_name]]="",pilgrims[[#This Row],[packages.first_hotel_check_out]],pilgrims[[#This Row],[packages.second_hotel_check_out]])</f>
        <v>2026-06-02</v>
      </c>
      <c r="Y413" s="1"/>
      <c r="Z413" s="1" t="s">
        <v>261</v>
      </c>
      <c r="AA413" s="1" t="s">
        <v>906</v>
      </c>
      <c r="AB413" s="1" t="s">
        <v>1411</v>
      </c>
      <c r="AC413" s="1" t="s">
        <v>907</v>
      </c>
      <c r="AD413" s="1" t="s">
        <v>1412</v>
      </c>
      <c r="AE413" s="1" t="s">
        <v>1280</v>
      </c>
      <c r="AF413" s="4">
        <v>46165</v>
      </c>
      <c r="AG413" s="5">
        <v>0.78125</v>
      </c>
      <c r="AH413" s="1" t="s">
        <v>1413</v>
      </c>
      <c r="AI413" s="1" t="s">
        <v>1281</v>
      </c>
      <c r="AJ413" s="4">
        <v>46175</v>
      </c>
      <c r="AK413" s="5">
        <v>0.25347222222222221</v>
      </c>
      <c r="AL413" s="1" t="s">
        <v>215</v>
      </c>
      <c r="AM413" s="1"/>
    </row>
    <row r="414" spans="1:39" x14ac:dyDescent="0.3">
      <c r="A414" s="1">
        <v>370613</v>
      </c>
      <c r="B414" s="1">
        <v>265146</v>
      </c>
      <c r="C414" s="1" t="s">
        <v>1189</v>
      </c>
      <c r="D414" s="38" t="s">
        <v>1931</v>
      </c>
      <c r="E414" s="4">
        <v>26712</v>
      </c>
      <c r="F414" s="1">
        <v>53</v>
      </c>
      <c r="G414" s="1" t="s">
        <v>212</v>
      </c>
      <c r="H414" s="1" t="s">
        <v>1501</v>
      </c>
      <c r="I414" s="1" t="s">
        <v>1501</v>
      </c>
      <c r="J414" s="1">
        <v>8670</v>
      </c>
      <c r="K414" s="1" t="s">
        <v>79</v>
      </c>
      <c r="L414" s="1" t="s">
        <v>3</v>
      </c>
      <c r="M414" s="1" t="s">
        <v>4</v>
      </c>
      <c r="N414" s="1" t="s">
        <v>5</v>
      </c>
      <c r="O414" s="1" t="s">
        <v>216</v>
      </c>
      <c r="P414" s="1" t="s">
        <v>53</v>
      </c>
      <c r="Q414" s="1" t="s">
        <v>6</v>
      </c>
      <c r="R414" s="1" t="s">
        <v>4</v>
      </c>
      <c r="S414" s="1"/>
      <c r="T414" s="1"/>
      <c r="U414" s="1"/>
      <c r="V414" s="1" t="str">
        <f>IF(pilgrims[[#This Row],[packages.second_hotel_name]]="",pilgrims[[#This Row],[packages.first_hotel_name]],pilgrims[[#This Row],[packages.second_hotel_name]])</f>
        <v>Movenpick Anwar Almadinah Hotel</v>
      </c>
      <c r="W414" s="1" t="str">
        <f>IF(pilgrims[[#This Row],[packages.second_hotel_name]]="",pilgrims[[#This Row],[packages.first_hotel_check_in]],pilgrims[[#This Row],[packages.second_hotel_check_in]])</f>
        <v>2026-05-30</v>
      </c>
      <c r="X414" s="1" t="str">
        <f>IF(pilgrims[[#This Row],[packages.second_hotel_name]]="",pilgrims[[#This Row],[packages.first_hotel_check_out]],pilgrims[[#This Row],[packages.second_hotel_check_out]])</f>
        <v>2026-06-02</v>
      </c>
      <c r="Y414" s="1"/>
      <c r="Z414" s="1" t="s">
        <v>261</v>
      </c>
      <c r="AA414" s="1" t="s">
        <v>906</v>
      </c>
      <c r="AB414" s="1" t="s">
        <v>1411</v>
      </c>
      <c r="AC414" s="1" t="s">
        <v>907</v>
      </c>
      <c r="AD414" s="1" t="s">
        <v>1412</v>
      </c>
      <c r="AE414" s="1" t="s">
        <v>1280</v>
      </c>
      <c r="AF414" s="4">
        <v>46165</v>
      </c>
      <c r="AG414" s="5">
        <v>0.78125</v>
      </c>
      <c r="AH414" s="1" t="s">
        <v>1413</v>
      </c>
      <c r="AI414" s="1" t="s">
        <v>1281</v>
      </c>
      <c r="AJ414" s="4">
        <v>46175</v>
      </c>
      <c r="AK414" s="5">
        <v>0.25347222222222221</v>
      </c>
      <c r="AL414" s="1" t="s">
        <v>215</v>
      </c>
      <c r="AM414" s="1"/>
    </row>
    <row r="415" spans="1:39" x14ac:dyDescent="0.3">
      <c r="A415" s="1">
        <v>33310</v>
      </c>
      <c r="B415" s="1">
        <v>29320</v>
      </c>
      <c r="C415" s="1" t="s">
        <v>1189</v>
      </c>
      <c r="D415" s="38" t="s">
        <v>1932</v>
      </c>
      <c r="E415" s="4">
        <v>23977</v>
      </c>
      <c r="F415" s="1">
        <v>60</v>
      </c>
      <c r="G415" s="1" t="s">
        <v>212</v>
      </c>
      <c r="H415" s="1" t="s">
        <v>1501</v>
      </c>
      <c r="I415" s="1" t="s">
        <v>1501</v>
      </c>
      <c r="J415" s="1">
        <v>8540</v>
      </c>
      <c r="K415" s="1" t="s">
        <v>78</v>
      </c>
      <c r="L415" s="1" t="s">
        <v>8</v>
      </c>
      <c r="M415" s="1" t="s">
        <v>13</v>
      </c>
      <c r="N415" s="1" t="s">
        <v>5</v>
      </c>
      <c r="O415" s="1" t="s">
        <v>216</v>
      </c>
      <c r="P415" s="1" t="s">
        <v>53</v>
      </c>
      <c r="Q415" s="1" t="s">
        <v>8</v>
      </c>
      <c r="R415" s="1" t="s">
        <v>11</v>
      </c>
      <c r="S415" s="1"/>
      <c r="T415" s="1"/>
      <c r="U415" s="1"/>
      <c r="V415" s="1" t="str">
        <f>IF(pilgrims[[#This Row],[packages.second_hotel_name]]="",pilgrims[[#This Row],[packages.first_hotel_name]],pilgrims[[#This Row],[packages.second_hotel_name]])</f>
        <v>Movenpick Anwar Almadinah Hotel</v>
      </c>
      <c r="W415" s="1" t="str">
        <f>IF(pilgrims[[#This Row],[packages.second_hotel_name]]="",pilgrims[[#This Row],[packages.first_hotel_check_in]],pilgrims[[#This Row],[packages.second_hotel_check_in]])</f>
        <v>2026-05-21</v>
      </c>
      <c r="X415" s="1" t="str">
        <f>IF(pilgrims[[#This Row],[packages.second_hotel_name]]="",pilgrims[[#This Row],[packages.first_hotel_check_out]],pilgrims[[#This Row],[packages.second_hotel_check_out]])</f>
        <v>2026-05-24</v>
      </c>
      <c r="Y415" s="1"/>
      <c r="Z415" s="1" t="s">
        <v>261</v>
      </c>
      <c r="AA415" s="1" t="s">
        <v>925</v>
      </c>
      <c r="AB415" s="1" t="s">
        <v>1414</v>
      </c>
      <c r="AC415" s="1" t="s">
        <v>926</v>
      </c>
      <c r="AD415" s="1" t="s">
        <v>1307</v>
      </c>
      <c r="AE415" s="1" t="s">
        <v>1306</v>
      </c>
      <c r="AF415" s="4">
        <v>46163</v>
      </c>
      <c r="AG415" s="5">
        <v>0.65277777777777779</v>
      </c>
      <c r="AH415" s="1" t="s">
        <v>1320</v>
      </c>
      <c r="AI415" s="1" t="s">
        <v>1280</v>
      </c>
      <c r="AJ415" s="4">
        <v>46173</v>
      </c>
      <c r="AK415" s="5">
        <v>0.29166666666666669</v>
      </c>
      <c r="AL415" s="1" t="s">
        <v>215</v>
      </c>
      <c r="AM415" s="1"/>
    </row>
    <row r="416" spans="1:39" x14ac:dyDescent="0.3">
      <c r="A416" s="1">
        <v>35146</v>
      </c>
      <c r="B416" s="1">
        <v>29320</v>
      </c>
      <c r="C416" s="1" t="s">
        <v>1188</v>
      </c>
      <c r="D416" s="38" t="s">
        <v>1933</v>
      </c>
      <c r="E416" s="4">
        <v>20278</v>
      </c>
      <c r="F416" s="1">
        <v>70</v>
      </c>
      <c r="G416" s="1" t="s">
        <v>212</v>
      </c>
      <c r="H416" s="1" t="s">
        <v>1501</v>
      </c>
      <c r="I416" s="1" t="s">
        <v>1501</v>
      </c>
      <c r="J416" s="1">
        <v>8540</v>
      </c>
      <c r="K416" s="1" t="s">
        <v>78</v>
      </c>
      <c r="L416" s="1" t="s">
        <v>8</v>
      </c>
      <c r="M416" s="1" t="s">
        <v>13</v>
      </c>
      <c r="N416" s="1" t="s">
        <v>5</v>
      </c>
      <c r="O416" s="1" t="s">
        <v>216</v>
      </c>
      <c r="P416" s="1" t="s">
        <v>53</v>
      </c>
      <c r="Q416" s="1" t="s">
        <v>8</v>
      </c>
      <c r="R416" s="1" t="s">
        <v>11</v>
      </c>
      <c r="S416" s="1"/>
      <c r="T416" s="1"/>
      <c r="U416" s="1"/>
      <c r="V416" s="1" t="str">
        <f>IF(pilgrims[[#This Row],[packages.second_hotel_name]]="",pilgrims[[#This Row],[packages.first_hotel_name]],pilgrims[[#This Row],[packages.second_hotel_name]])</f>
        <v>Movenpick Anwar Almadinah Hotel</v>
      </c>
      <c r="W416" s="1" t="str">
        <f>IF(pilgrims[[#This Row],[packages.second_hotel_name]]="",pilgrims[[#This Row],[packages.first_hotel_check_in]],pilgrims[[#This Row],[packages.second_hotel_check_in]])</f>
        <v>2026-05-21</v>
      </c>
      <c r="X416" s="1" t="str">
        <f>IF(pilgrims[[#This Row],[packages.second_hotel_name]]="",pilgrims[[#This Row],[packages.first_hotel_check_out]],pilgrims[[#This Row],[packages.second_hotel_check_out]])</f>
        <v>2026-05-24</v>
      </c>
      <c r="Y416" s="1"/>
      <c r="Z416" s="1" t="s">
        <v>261</v>
      </c>
      <c r="AA416" s="1" t="s">
        <v>925</v>
      </c>
      <c r="AB416" s="1" t="s">
        <v>1414</v>
      </c>
      <c r="AC416" s="1" t="s">
        <v>926</v>
      </c>
      <c r="AD416" s="1" t="s">
        <v>1307</v>
      </c>
      <c r="AE416" s="1" t="s">
        <v>1306</v>
      </c>
      <c r="AF416" s="4">
        <v>46163</v>
      </c>
      <c r="AG416" s="5">
        <v>0.65277777777777779</v>
      </c>
      <c r="AH416" s="1" t="s">
        <v>1320</v>
      </c>
      <c r="AI416" s="1" t="s">
        <v>1280</v>
      </c>
      <c r="AJ416" s="4">
        <v>46173</v>
      </c>
      <c r="AK416" s="5">
        <v>0.29166666666666669</v>
      </c>
      <c r="AL416" s="1" t="s">
        <v>215</v>
      </c>
      <c r="AM416" s="1"/>
    </row>
    <row r="417" spans="1:39" x14ac:dyDescent="0.3">
      <c r="A417" s="1">
        <v>117078</v>
      </c>
      <c r="B417" s="1">
        <v>91281</v>
      </c>
      <c r="C417" s="1" t="s">
        <v>1188</v>
      </c>
      <c r="D417" s="38" t="s">
        <v>1934</v>
      </c>
      <c r="E417" s="4">
        <v>29912</v>
      </c>
      <c r="F417" s="1">
        <v>44</v>
      </c>
      <c r="G417" s="1" t="s">
        <v>212</v>
      </c>
      <c r="H417" s="1" t="s">
        <v>1502</v>
      </c>
      <c r="I417" s="1" t="s">
        <v>1502</v>
      </c>
      <c r="J417" s="1">
        <v>8728</v>
      </c>
      <c r="K417" s="1" t="s">
        <v>97</v>
      </c>
      <c r="L417" s="1" t="s">
        <v>8</v>
      </c>
      <c r="M417" s="1" t="s">
        <v>4</v>
      </c>
      <c r="N417" s="1" t="s">
        <v>12</v>
      </c>
      <c r="O417" s="1" t="s">
        <v>216</v>
      </c>
      <c r="P417" s="1" t="s">
        <v>53</v>
      </c>
      <c r="Q417" s="1" t="s">
        <v>8</v>
      </c>
      <c r="R417" s="1" t="s">
        <v>16</v>
      </c>
      <c r="S417" s="1" t="s">
        <v>28</v>
      </c>
      <c r="T417" s="1" t="s">
        <v>52</v>
      </c>
      <c r="U417" s="1" t="s">
        <v>6</v>
      </c>
      <c r="V417" s="1" t="str">
        <f>IF(pilgrims[[#This Row],[packages.second_hotel_name]]="",pilgrims[[#This Row],[packages.first_hotel_name]],pilgrims[[#This Row],[packages.second_hotel_name]])</f>
        <v>Madinah Hilton Hotel</v>
      </c>
      <c r="W417" s="1" t="str">
        <f>IF(pilgrims[[#This Row],[packages.second_hotel_name]]="",pilgrims[[#This Row],[packages.first_hotel_check_in]],pilgrims[[#This Row],[packages.second_hotel_check_in]])</f>
        <v>2026-05-30</v>
      </c>
      <c r="X417" s="1" t="str">
        <f>IF(pilgrims[[#This Row],[packages.second_hotel_name]]="",pilgrims[[#This Row],[packages.first_hotel_check_out]],pilgrims[[#This Row],[packages.second_hotel_check_out]])</f>
        <v>2026-06-02</v>
      </c>
      <c r="Y417" s="1" t="s">
        <v>4</v>
      </c>
      <c r="Z417" s="1" t="s">
        <v>261</v>
      </c>
      <c r="AA417" s="1" t="s">
        <v>930</v>
      </c>
      <c r="AB417" s="1" t="s">
        <v>1437</v>
      </c>
      <c r="AC417" s="1" t="s">
        <v>931</v>
      </c>
      <c r="AD417" s="1" t="s">
        <v>1400</v>
      </c>
      <c r="AE417" s="1" t="s">
        <v>1280</v>
      </c>
      <c r="AF417" s="4">
        <v>46163</v>
      </c>
      <c r="AG417" s="5">
        <v>0.95486111111111116</v>
      </c>
      <c r="AH417" s="1" t="s">
        <v>1359</v>
      </c>
      <c r="AI417" s="1" t="s">
        <v>1280</v>
      </c>
      <c r="AJ417" s="4">
        <v>46175</v>
      </c>
      <c r="AK417" s="5">
        <v>0.41666666666666669</v>
      </c>
      <c r="AL417" s="1" t="s">
        <v>215</v>
      </c>
      <c r="AM417" s="1" t="b">
        <v>1</v>
      </c>
    </row>
    <row r="418" spans="1:39" x14ac:dyDescent="0.3">
      <c r="A418" s="1">
        <v>845027</v>
      </c>
      <c r="B418" s="1">
        <v>683151</v>
      </c>
      <c r="C418" s="1" t="s">
        <v>1188</v>
      </c>
      <c r="D418" s="38" t="s">
        <v>1935</v>
      </c>
      <c r="E418" s="4">
        <v>19360</v>
      </c>
      <c r="F418" s="1">
        <v>73</v>
      </c>
      <c r="G418" s="1" t="s">
        <v>212</v>
      </c>
      <c r="H418" s="1" t="s">
        <v>1508</v>
      </c>
      <c r="I418" s="1" t="s">
        <v>1508</v>
      </c>
      <c r="J418" s="1">
        <v>8531</v>
      </c>
      <c r="K418" s="1" t="s">
        <v>84</v>
      </c>
      <c r="L418" s="1" t="s">
        <v>8</v>
      </c>
      <c r="M418" s="1" t="s">
        <v>9</v>
      </c>
      <c r="N418" s="1" t="s">
        <v>20</v>
      </c>
      <c r="O418" s="1" t="s">
        <v>216</v>
      </c>
      <c r="P418" s="1" t="s">
        <v>53</v>
      </c>
      <c r="Q418" s="1" t="s">
        <v>8</v>
      </c>
      <c r="R418" s="1" t="s">
        <v>11</v>
      </c>
      <c r="S418" s="1" t="s">
        <v>12</v>
      </c>
      <c r="T418" s="1" t="s">
        <v>53</v>
      </c>
      <c r="U418" s="1" t="s">
        <v>13</v>
      </c>
      <c r="V418" s="1" t="str">
        <f>IF(pilgrims[[#This Row],[packages.second_hotel_name]]="",pilgrims[[#This Row],[packages.first_hotel_name]],pilgrims[[#This Row],[packages.second_hotel_name]])</f>
        <v>Makkah Clock Royal Tower A Fairmont Hotel</v>
      </c>
      <c r="W418" s="1" t="str">
        <f>IF(pilgrims[[#This Row],[packages.second_hotel_name]]="",pilgrims[[#This Row],[packages.first_hotel_check_in]],pilgrims[[#This Row],[packages.second_hotel_check_in]])</f>
        <v>2026-05-31</v>
      </c>
      <c r="X418" s="1" t="str">
        <f>IF(pilgrims[[#This Row],[packages.second_hotel_name]]="",pilgrims[[#This Row],[packages.first_hotel_check_out]],pilgrims[[#This Row],[packages.second_hotel_check_out]])</f>
        <v>2026-06-06</v>
      </c>
      <c r="Y418" s="1" t="s">
        <v>9</v>
      </c>
      <c r="Z418" s="1" t="s">
        <v>261</v>
      </c>
      <c r="AA418" s="1" t="s">
        <v>935</v>
      </c>
      <c r="AB418" s="1" t="s">
        <v>1430</v>
      </c>
      <c r="AC418" s="1" t="s">
        <v>936</v>
      </c>
      <c r="AD418" s="1" t="s">
        <v>1431</v>
      </c>
      <c r="AE418" s="1" t="s">
        <v>1280</v>
      </c>
      <c r="AF418" s="4">
        <v>46163</v>
      </c>
      <c r="AG418" s="5">
        <v>0.61805555555555558</v>
      </c>
      <c r="AH418" s="1" t="s">
        <v>1432</v>
      </c>
      <c r="AI418" s="1" t="s">
        <v>1280</v>
      </c>
      <c r="AJ418" s="4">
        <v>46179</v>
      </c>
      <c r="AK418" s="5">
        <v>3.8194444444444448E-2</v>
      </c>
      <c r="AL418" s="1" t="s">
        <v>215</v>
      </c>
      <c r="AM418" s="1"/>
    </row>
    <row r="419" spans="1:39" x14ac:dyDescent="0.3">
      <c r="A419" s="1">
        <v>867933</v>
      </c>
      <c r="B419" s="1">
        <v>683151</v>
      </c>
      <c r="C419" s="1" t="s">
        <v>1189</v>
      </c>
      <c r="D419" s="38" t="s">
        <v>1936</v>
      </c>
      <c r="E419" s="4">
        <v>23377</v>
      </c>
      <c r="F419" s="1">
        <v>62</v>
      </c>
      <c r="G419" s="1" t="s">
        <v>212</v>
      </c>
      <c r="H419" s="1" t="s">
        <v>1508</v>
      </c>
      <c r="I419" s="1" t="s">
        <v>1508</v>
      </c>
      <c r="J419" s="1">
        <v>8531</v>
      </c>
      <c r="K419" s="1" t="s">
        <v>84</v>
      </c>
      <c r="L419" s="1" t="s">
        <v>8</v>
      </c>
      <c r="M419" s="1" t="s">
        <v>9</v>
      </c>
      <c r="N419" s="1" t="s">
        <v>20</v>
      </c>
      <c r="O419" s="1" t="s">
        <v>216</v>
      </c>
      <c r="P419" s="1" t="s">
        <v>53</v>
      </c>
      <c r="Q419" s="1" t="s">
        <v>8</v>
      </c>
      <c r="R419" s="1" t="s">
        <v>11</v>
      </c>
      <c r="S419" s="1" t="s">
        <v>12</v>
      </c>
      <c r="T419" s="1" t="s">
        <v>53</v>
      </c>
      <c r="U419" s="1" t="s">
        <v>13</v>
      </c>
      <c r="V419" s="1" t="str">
        <f>IF(pilgrims[[#This Row],[packages.second_hotel_name]]="",pilgrims[[#This Row],[packages.first_hotel_name]],pilgrims[[#This Row],[packages.second_hotel_name]])</f>
        <v>Makkah Clock Royal Tower A Fairmont Hotel</v>
      </c>
      <c r="W419" s="1" t="str">
        <f>IF(pilgrims[[#This Row],[packages.second_hotel_name]]="",pilgrims[[#This Row],[packages.first_hotel_check_in]],pilgrims[[#This Row],[packages.second_hotel_check_in]])</f>
        <v>2026-05-31</v>
      </c>
      <c r="X419" s="1" t="str">
        <f>IF(pilgrims[[#This Row],[packages.second_hotel_name]]="",pilgrims[[#This Row],[packages.first_hotel_check_out]],pilgrims[[#This Row],[packages.second_hotel_check_out]])</f>
        <v>2026-06-06</v>
      </c>
      <c r="Y419" s="1" t="s">
        <v>9</v>
      </c>
      <c r="Z419" s="1" t="s">
        <v>261</v>
      </c>
      <c r="AA419" s="1" t="s">
        <v>935</v>
      </c>
      <c r="AB419" s="1" t="s">
        <v>1430</v>
      </c>
      <c r="AC419" s="1" t="s">
        <v>936</v>
      </c>
      <c r="AD419" s="1" t="s">
        <v>1431</v>
      </c>
      <c r="AE419" s="1" t="s">
        <v>1280</v>
      </c>
      <c r="AF419" s="4">
        <v>46163</v>
      </c>
      <c r="AG419" s="5">
        <v>0.61805555555555558</v>
      </c>
      <c r="AH419" s="1" t="s">
        <v>1432</v>
      </c>
      <c r="AI419" s="1" t="s">
        <v>1280</v>
      </c>
      <c r="AJ419" s="4">
        <v>46179</v>
      </c>
      <c r="AK419" s="5">
        <v>3.8194444444444448E-2</v>
      </c>
      <c r="AL419" s="1" t="s">
        <v>215</v>
      </c>
      <c r="AM419" s="1"/>
    </row>
    <row r="420" spans="1:39" x14ac:dyDescent="0.3">
      <c r="A420" s="1">
        <v>672178</v>
      </c>
      <c r="B420" s="1">
        <v>546464</v>
      </c>
      <c r="C420" s="1" t="s">
        <v>1188</v>
      </c>
      <c r="D420" s="38" t="s">
        <v>1937</v>
      </c>
      <c r="E420" s="4">
        <v>35302</v>
      </c>
      <c r="F420" s="1">
        <v>29</v>
      </c>
      <c r="G420" s="1" t="s">
        <v>212</v>
      </c>
      <c r="H420" s="1" t="s">
        <v>1506</v>
      </c>
      <c r="I420" s="1" t="s">
        <v>1506</v>
      </c>
      <c r="J420" s="1">
        <v>8530</v>
      </c>
      <c r="K420" s="1" t="s">
        <v>83</v>
      </c>
      <c r="L420" s="1" t="s">
        <v>19</v>
      </c>
      <c r="M420" s="1" t="s">
        <v>13</v>
      </c>
      <c r="N420" s="1" t="s">
        <v>5</v>
      </c>
      <c r="O420" s="1" t="s">
        <v>216</v>
      </c>
      <c r="P420" s="1" t="s">
        <v>53</v>
      </c>
      <c r="Q420" s="1" t="s">
        <v>19</v>
      </c>
      <c r="R420" s="1" t="s">
        <v>8</v>
      </c>
      <c r="S420" s="1" t="s">
        <v>15</v>
      </c>
      <c r="T420" s="1" t="s">
        <v>53</v>
      </c>
      <c r="U420" s="1" t="s">
        <v>8</v>
      </c>
      <c r="V420" s="1" t="str">
        <f>IF(pilgrims[[#This Row],[packages.second_hotel_name]]="",pilgrims[[#This Row],[packages.first_hotel_name]],pilgrims[[#This Row],[packages.second_hotel_name]])</f>
        <v>Swissotel Al Maqam Makkah</v>
      </c>
      <c r="W420" s="1" t="str">
        <f>IF(pilgrims[[#This Row],[packages.second_hotel_name]]="",pilgrims[[#This Row],[packages.first_hotel_check_in]],pilgrims[[#This Row],[packages.second_hotel_check_in]])</f>
        <v>2026-05-21</v>
      </c>
      <c r="X420" s="1" t="str">
        <f>IF(pilgrims[[#This Row],[packages.second_hotel_name]]="",pilgrims[[#This Row],[packages.first_hotel_check_out]],pilgrims[[#This Row],[packages.second_hotel_check_out]])</f>
        <v>2026-05-25</v>
      </c>
      <c r="Y420" s="1" t="s">
        <v>16</v>
      </c>
      <c r="Z420" s="1" t="s">
        <v>261</v>
      </c>
      <c r="AA420" s="1" t="s">
        <v>942</v>
      </c>
      <c r="AB420" s="1" t="s">
        <v>1415</v>
      </c>
      <c r="AC420" s="1" t="s">
        <v>943</v>
      </c>
      <c r="AD420" s="1" t="s">
        <v>1416</v>
      </c>
      <c r="AE420" s="1" t="s">
        <v>1280</v>
      </c>
      <c r="AF420" s="4">
        <v>46160</v>
      </c>
      <c r="AG420" s="5">
        <v>0.86458333333333337</v>
      </c>
      <c r="AH420" s="1" t="s">
        <v>1417</v>
      </c>
      <c r="AI420" s="1" t="s">
        <v>1280</v>
      </c>
      <c r="AJ420" s="4">
        <v>46173</v>
      </c>
      <c r="AK420" s="5">
        <v>8.6805555555555552E-2</v>
      </c>
      <c r="AL420" s="1" t="s">
        <v>215</v>
      </c>
      <c r="AM420" s="1"/>
    </row>
    <row r="421" spans="1:39" x14ac:dyDescent="0.3">
      <c r="A421" s="1">
        <v>818330</v>
      </c>
      <c r="B421" s="1">
        <v>546464</v>
      </c>
      <c r="C421" s="1" t="s">
        <v>1188</v>
      </c>
      <c r="D421" s="38" t="s">
        <v>1938</v>
      </c>
      <c r="E421" s="4">
        <v>32812</v>
      </c>
      <c r="F421" s="1">
        <v>36</v>
      </c>
      <c r="G421" s="1" t="s">
        <v>212</v>
      </c>
      <c r="H421" s="1" t="s">
        <v>1506</v>
      </c>
      <c r="I421" s="1" t="s">
        <v>1506</v>
      </c>
      <c r="J421" s="1">
        <v>8530</v>
      </c>
      <c r="K421" s="1" t="s">
        <v>83</v>
      </c>
      <c r="L421" s="1" t="s">
        <v>19</v>
      </c>
      <c r="M421" s="1" t="s">
        <v>13</v>
      </c>
      <c r="N421" s="1" t="s">
        <v>5</v>
      </c>
      <c r="O421" s="1" t="s">
        <v>216</v>
      </c>
      <c r="P421" s="1" t="s">
        <v>53</v>
      </c>
      <c r="Q421" s="1" t="s">
        <v>19</v>
      </c>
      <c r="R421" s="1" t="s">
        <v>8</v>
      </c>
      <c r="S421" s="1" t="s">
        <v>15</v>
      </c>
      <c r="T421" s="1" t="s">
        <v>53</v>
      </c>
      <c r="U421" s="1" t="s">
        <v>8</v>
      </c>
      <c r="V421" s="1" t="str">
        <f>IF(pilgrims[[#This Row],[packages.second_hotel_name]]="",pilgrims[[#This Row],[packages.first_hotel_name]],pilgrims[[#This Row],[packages.second_hotel_name]])</f>
        <v>Swissotel Al Maqam Makkah</v>
      </c>
      <c r="W421" s="1" t="str">
        <f>IF(pilgrims[[#This Row],[packages.second_hotel_name]]="",pilgrims[[#This Row],[packages.first_hotel_check_in]],pilgrims[[#This Row],[packages.second_hotel_check_in]])</f>
        <v>2026-05-21</v>
      </c>
      <c r="X421" s="1" t="str">
        <f>IF(pilgrims[[#This Row],[packages.second_hotel_name]]="",pilgrims[[#This Row],[packages.first_hotel_check_out]],pilgrims[[#This Row],[packages.second_hotel_check_out]])</f>
        <v>2026-05-25</v>
      </c>
      <c r="Y421" s="1" t="s">
        <v>16</v>
      </c>
      <c r="Z421" s="1" t="s">
        <v>261</v>
      </c>
      <c r="AA421" s="1" t="s">
        <v>942</v>
      </c>
      <c r="AB421" s="1" t="s">
        <v>1415</v>
      </c>
      <c r="AC421" s="1" t="s">
        <v>943</v>
      </c>
      <c r="AD421" s="1" t="s">
        <v>1416</v>
      </c>
      <c r="AE421" s="1" t="s">
        <v>1280</v>
      </c>
      <c r="AF421" s="4">
        <v>46160</v>
      </c>
      <c r="AG421" s="5">
        <v>0.86458333333333337</v>
      </c>
      <c r="AH421" s="1" t="s">
        <v>1417</v>
      </c>
      <c r="AI421" s="1" t="s">
        <v>1280</v>
      </c>
      <c r="AJ421" s="4">
        <v>46173</v>
      </c>
      <c r="AK421" s="5">
        <v>8.6805555555555552E-2</v>
      </c>
      <c r="AL421" s="1" t="s">
        <v>215</v>
      </c>
      <c r="AM421" s="1"/>
    </row>
    <row r="422" spans="1:39" x14ac:dyDescent="0.3">
      <c r="A422" s="1">
        <v>819231</v>
      </c>
      <c r="B422" s="1">
        <v>546464</v>
      </c>
      <c r="C422" s="1" t="s">
        <v>1189</v>
      </c>
      <c r="D422" s="38" t="s">
        <v>1939</v>
      </c>
      <c r="E422" s="4">
        <v>33016</v>
      </c>
      <c r="F422" s="1">
        <v>35</v>
      </c>
      <c r="G422" s="1" t="s">
        <v>212</v>
      </c>
      <c r="H422" s="1" t="s">
        <v>1506</v>
      </c>
      <c r="I422" s="1" t="s">
        <v>1506</v>
      </c>
      <c r="J422" s="1">
        <v>8530</v>
      </c>
      <c r="K422" s="1" t="s">
        <v>83</v>
      </c>
      <c r="L422" s="1" t="s">
        <v>19</v>
      </c>
      <c r="M422" s="1" t="s">
        <v>13</v>
      </c>
      <c r="N422" s="1" t="s">
        <v>5</v>
      </c>
      <c r="O422" s="1" t="s">
        <v>216</v>
      </c>
      <c r="P422" s="1" t="s">
        <v>53</v>
      </c>
      <c r="Q422" s="1" t="s">
        <v>19</v>
      </c>
      <c r="R422" s="1" t="s">
        <v>8</v>
      </c>
      <c r="S422" s="1" t="s">
        <v>15</v>
      </c>
      <c r="T422" s="1" t="s">
        <v>53</v>
      </c>
      <c r="U422" s="1" t="s">
        <v>8</v>
      </c>
      <c r="V422" s="1" t="str">
        <f>IF(pilgrims[[#This Row],[packages.second_hotel_name]]="",pilgrims[[#This Row],[packages.first_hotel_name]],pilgrims[[#This Row],[packages.second_hotel_name]])</f>
        <v>Swissotel Al Maqam Makkah</v>
      </c>
      <c r="W422" s="1" t="str">
        <f>IF(pilgrims[[#This Row],[packages.second_hotel_name]]="",pilgrims[[#This Row],[packages.first_hotel_check_in]],pilgrims[[#This Row],[packages.second_hotel_check_in]])</f>
        <v>2026-05-21</v>
      </c>
      <c r="X422" s="1" t="str">
        <f>IF(pilgrims[[#This Row],[packages.second_hotel_name]]="",pilgrims[[#This Row],[packages.first_hotel_check_out]],pilgrims[[#This Row],[packages.second_hotel_check_out]])</f>
        <v>2026-05-25</v>
      </c>
      <c r="Y422" s="1" t="s">
        <v>16</v>
      </c>
      <c r="Z422" s="1" t="s">
        <v>261</v>
      </c>
      <c r="AA422" s="1" t="s">
        <v>942</v>
      </c>
      <c r="AB422" s="1" t="s">
        <v>1415</v>
      </c>
      <c r="AC422" s="1" t="s">
        <v>943</v>
      </c>
      <c r="AD422" s="1" t="s">
        <v>1416</v>
      </c>
      <c r="AE422" s="1" t="s">
        <v>1280</v>
      </c>
      <c r="AF422" s="4">
        <v>46160</v>
      </c>
      <c r="AG422" s="5">
        <v>0.86458333333333337</v>
      </c>
      <c r="AH422" s="1" t="s">
        <v>1417</v>
      </c>
      <c r="AI422" s="1" t="s">
        <v>1280</v>
      </c>
      <c r="AJ422" s="4">
        <v>46173</v>
      </c>
      <c r="AK422" s="5">
        <v>8.6805555555555552E-2</v>
      </c>
      <c r="AL422" s="1" t="s">
        <v>215</v>
      </c>
      <c r="AM422" s="1"/>
    </row>
    <row r="423" spans="1:39" x14ac:dyDescent="0.3">
      <c r="A423" s="1">
        <v>819236</v>
      </c>
      <c r="B423" s="1">
        <v>546464</v>
      </c>
      <c r="C423" s="1" t="s">
        <v>1188</v>
      </c>
      <c r="D423" s="38" t="s">
        <v>1940</v>
      </c>
      <c r="E423" s="4">
        <v>40106</v>
      </c>
      <c r="F423" s="1">
        <v>16</v>
      </c>
      <c r="G423" s="1" t="s">
        <v>212</v>
      </c>
      <c r="H423" s="1" t="s">
        <v>1506</v>
      </c>
      <c r="I423" s="1" t="s">
        <v>1506</v>
      </c>
      <c r="J423" s="1">
        <v>8530</v>
      </c>
      <c r="K423" s="1" t="s">
        <v>83</v>
      </c>
      <c r="L423" s="1" t="s">
        <v>19</v>
      </c>
      <c r="M423" s="1" t="s">
        <v>13</v>
      </c>
      <c r="N423" s="1" t="s">
        <v>5</v>
      </c>
      <c r="O423" s="1" t="s">
        <v>216</v>
      </c>
      <c r="P423" s="1" t="s">
        <v>53</v>
      </c>
      <c r="Q423" s="1" t="s">
        <v>19</v>
      </c>
      <c r="R423" s="1" t="s">
        <v>8</v>
      </c>
      <c r="S423" s="1" t="s">
        <v>15</v>
      </c>
      <c r="T423" s="1" t="s">
        <v>53</v>
      </c>
      <c r="U423" s="1" t="s">
        <v>8</v>
      </c>
      <c r="V423" s="1" t="str">
        <f>IF(pilgrims[[#This Row],[packages.second_hotel_name]]="",pilgrims[[#This Row],[packages.first_hotel_name]],pilgrims[[#This Row],[packages.second_hotel_name]])</f>
        <v>Swissotel Al Maqam Makkah</v>
      </c>
      <c r="W423" s="1" t="str">
        <f>IF(pilgrims[[#This Row],[packages.second_hotel_name]]="",pilgrims[[#This Row],[packages.first_hotel_check_in]],pilgrims[[#This Row],[packages.second_hotel_check_in]])</f>
        <v>2026-05-21</v>
      </c>
      <c r="X423" s="1" t="str">
        <f>IF(pilgrims[[#This Row],[packages.second_hotel_name]]="",pilgrims[[#This Row],[packages.first_hotel_check_out]],pilgrims[[#This Row],[packages.second_hotel_check_out]])</f>
        <v>2026-05-25</v>
      </c>
      <c r="Y423" s="1" t="s">
        <v>16</v>
      </c>
      <c r="Z423" s="1" t="s">
        <v>261</v>
      </c>
      <c r="AA423" s="1" t="s">
        <v>942</v>
      </c>
      <c r="AB423" s="1" t="s">
        <v>1415</v>
      </c>
      <c r="AC423" s="1" t="s">
        <v>943</v>
      </c>
      <c r="AD423" s="1" t="s">
        <v>1416</v>
      </c>
      <c r="AE423" s="1" t="s">
        <v>1280</v>
      </c>
      <c r="AF423" s="4">
        <v>46160</v>
      </c>
      <c r="AG423" s="5">
        <v>0.86458333333333337</v>
      </c>
      <c r="AH423" s="1" t="s">
        <v>1417</v>
      </c>
      <c r="AI423" s="1" t="s">
        <v>1280</v>
      </c>
      <c r="AJ423" s="4">
        <v>46173</v>
      </c>
      <c r="AK423" s="5">
        <v>8.6805555555555552E-2</v>
      </c>
      <c r="AL423" s="1" t="s">
        <v>215</v>
      </c>
      <c r="AM423" s="1"/>
    </row>
    <row r="424" spans="1:39" x14ac:dyDescent="0.3">
      <c r="A424" s="1">
        <v>819273</v>
      </c>
      <c r="B424" s="1">
        <v>546464</v>
      </c>
      <c r="C424" s="1" t="s">
        <v>1188</v>
      </c>
      <c r="D424" s="38" t="s">
        <v>1941</v>
      </c>
      <c r="E424" s="4">
        <v>33005</v>
      </c>
      <c r="F424" s="1">
        <v>35</v>
      </c>
      <c r="G424" s="1" t="s">
        <v>212</v>
      </c>
      <c r="H424" s="1" t="s">
        <v>1506</v>
      </c>
      <c r="I424" s="1" t="s">
        <v>1506</v>
      </c>
      <c r="J424" s="1">
        <v>8530</v>
      </c>
      <c r="K424" s="1" t="s">
        <v>83</v>
      </c>
      <c r="L424" s="1" t="s">
        <v>19</v>
      </c>
      <c r="M424" s="1" t="s">
        <v>13</v>
      </c>
      <c r="N424" s="1" t="s">
        <v>5</v>
      </c>
      <c r="O424" s="1" t="s">
        <v>216</v>
      </c>
      <c r="P424" s="1" t="s">
        <v>53</v>
      </c>
      <c r="Q424" s="1" t="s">
        <v>19</v>
      </c>
      <c r="R424" s="1" t="s">
        <v>8</v>
      </c>
      <c r="S424" s="1" t="s">
        <v>15</v>
      </c>
      <c r="T424" s="1" t="s">
        <v>53</v>
      </c>
      <c r="U424" s="1" t="s">
        <v>8</v>
      </c>
      <c r="V424" s="1" t="str">
        <f>IF(pilgrims[[#This Row],[packages.second_hotel_name]]="",pilgrims[[#This Row],[packages.first_hotel_name]],pilgrims[[#This Row],[packages.second_hotel_name]])</f>
        <v>Swissotel Al Maqam Makkah</v>
      </c>
      <c r="W424" s="1" t="str">
        <f>IF(pilgrims[[#This Row],[packages.second_hotel_name]]="",pilgrims[[#This Row],[packages.first_hotel_check_in]],pilgrims[[#This Row],[packages.second_hotel_check_in]])</f>
        <v>2026-05-21</v>
      </c>
      <c r="X424" s="1" t="str">
        <f>IF(pilgrims[[#This Row],[packages.second_hotel_name]]="",pilgrims[[#This Row],[packages.first_hotel_check_out]],pilgrims[[#This Row],[packages.second_hotel_check_out]])</f>
        <v>2026-05-25</v>
      </c>
      <c r="Y424" s="1" t="s">
        <v>16</v>
      </c>
      <c r="Z424" s="1" t="s">
        <v>261</v>
      </c>
      <c r="AA424" s="1" t="s">
        <v>942</v>
      </c>
      <c r="AB424" s="1" t="s">
        <v>1415</v>
      </c>
      <c r="AC424" s="1" t="s">
        <v>943</v>
      </c>
      <c r="AD424" s="1" t="s">
        <v>1416</v>
      </c>
      <c r="AE424" s="1" t="s">
        <v>1280</v>
      </c>
      <c r="AF424" s="4">
        <v>46160</v>
      </c>
      <c r="AG424" s="5">
        <v>0.86458333333333337</v>
      </c>
      <c r="AH424" s="1" t="s">
        <v>1417</v>
      </c>
      <c r="AI424" s="1" t="s">
        <v>1280</v>
      </c>
      <c r="AJ424" s="4">
        <v>46173</v>
      </c>
      <c r="AK424" s="5">
        <v>8.6805555555555552E-2</v>
      </c>
      <c r="AL424" s="1" t="s">
        <v>215</v>
      </c>
      <c r="AM424" s="1"/>
    </row>
    <row r="425" spans="1:39" x14ac:dyDescent="0.3">
      <c r="A425" s="1">
        <v>820732</v>
      </c>
      <c r="B425" s="1">
        <v>546464</v>
      </c>
      <c r="C425" s="1" t="s">
        <v>1188</v>
      </c>
      <c r="D425" s="38" t="s">
        <v>1942</v>
      </c>
      <c r="E425" s="4">
        <v>35431</v>
      </c>
      <c r="F425" s="1">
        <v>29</v>
      </c>
      <c r="G425" s="1" t="s">
        <v>212</v>
      </c>
      <c r="H425" s="1" t="s">
        <v>1506</v>
      </c>
      <c r="I425" s="1" t="s">
        <v>1506</v>
      </c>
      <c r="J425" s="1">
        <v>8530</v>
      </c>
      <c r="K425" s="1" t="s">
        <v>83</v>
      </c>
      <c r="L425" s="1" t="s">
        <v>19</v>
      </c>
      <c r="M425" s="1" t="s">
        <v>13</v>
      </c>
      <c r="N425" s="1" t="s">
        <v>5</v>
      </c>
      <c r="O425" s="1" t="s">
        <v>216</v>
      </c>
      <c r="P425" s="1" t="s">
        <v>53</v>
      </c>
      <c r="Q425" s="1" t="s">
        <v>19</v>
      </c>
      <c r="R425" s="1" t="s">
        <v>8</v>
      </c>
      <c r="S425" s="1" t="s">
        <v>15</v>
      </c>
      <c r="T425" s="1" t="s">
        <v>53</v>
      </c>
      <c r="U425" s="1" t="s">
        <v>8</v>
      </c>
      <c r="V425" s="1" t="str">
        <f>IF(pilgrims[[#This Row],[packages.second_hotel_name]]="",pilgrims[[#This Row],[packages.first_hotel_name]],pilgrims[[#This Row],[packages.second_hotel_name]])</f>
        <v>Swissotel Al Maqam Makkah</v>
      </c>
      <c r="W425" s="1" t="str">
        <f>IF(pilgrims[[#This Row],[packages.second_hotel_name]]="",pilgrims[[#This Row],[packages.first_hotel_check_in]],pilgrims[[#This Row],[packages.second_hotel_check_in]])</f>
        <v>2026-05-21</v>
      </c>
      <c r="X425" s="1" t="str">
        <f>IF(pilgrims[[#This Row],[packages.second_hotel_name]]="",pilgrims[[#This Row],[packages.first_hotel_check_out]],pilgrims[[#This Row],[packages.second_hotel_check_out]])</f>
        <v>2026-05-25</v>
      </c>
      <c r="Y425" s="1" t="s">
        <v>16</v>
      </c>
      <c r="Z425" s="1" t="s">
        <v>261</v>
      </c>
      <c r="AA425" s="1" t="s">
        <v>942</v>
      </c>
      <c r="AB425" s="1" t="s">
        <v>1415</v>
      </c>
      <c r="AC425" s="1" t="s">
        <v>943</v>
      </c>
      <c r="AD425" s="1" t="s">
        <v>1416</v>
      </c>
      <c r="AE425" s="1" t="s">
        <v>1280</v>
      </c>
      <c r="AF425" s="4">
        <v>46160</v>
      </c>
      <c r="AG425" s="5">
        <v>0.86458333333333337</v>
      </c>
      <c r="AH425" s="1" t="s">
        <v>1417</v>
      </c>
      <c r="AI425" s="1" t="s">
        <v>1280</v>
      </c>
      <c r="AJ425" s="4">
        <v>46173</v>
      </c>
      <c r="AK425" s="5">
        <v>8.6805555555555552E-2</v>
      </c>
      <c r="AL425" s="1" t="s">
        <v>215</v>
      </c>
      <c r="AM425" s="1"/>
    </row>
    <row r="426" spans="1:39" x14ac:dyDescent="0.3">
      <c r="A426" s="1">
        <v>820739</v>
      </c>
      <c r="B426" s="1">
        <v>546464</v>
      </c>
      <c r="C426" s="1" t="s">
        <v>1189</v>
      </c>
      <c r="D426" s="38" t="s">
        <v>1943</v>
      </c>
      <c r="E426" s="4">
        <v>37289</v>
      </c>
      <c r="F426" s="1">
        <v>24</v>
      </c>
      <c r="G426" s="1" t="s">
        <v>212</v>
      </c>
      <c r="H426" s="1" t="s">
        <v>1506</v>
      </c>
      <c r="I426" s="1" t="s">
        <v>1506</v>
      </c>
      <c r="J426" s="1">
        <v>8530</v>
      </c>
      <c r="K426" s="1" t="s">
        <v>83</v>
      </c>
      <c r="L426" s="1" t="s">
        <v>19</v>
      </c>
      <c r="M426" s="1" t="s">
        <v>13</v>
      </c>
      <c r="N426" s="1" t="s">
        <v>5</v>
      </c>
      <c r="O426" s="1" t="s">
        <v>216</v>
      </c>
      <c r="P426" s="1" t="s">
        <v>53</v>
      </c>
      <c r="Q426" s="1" t="s">
        <v>19</v>
      </c>
      <c r="R426" s="1" t="s">
        <v>8</v>
      </c>
      <c r="S426" s="1" t="s">
        <v>15</v>
      </c>
      <c r="T426" s="1" t="s">
        <v>53</v>
      </c>
      <c r="U426" s="1" t="s">
        <v>8</v>
      </c>
      <c r="V426" s="1" t="str">
        <f>IF(pilgrims[[#This Row],[packages.second_hotel_name]]="",pilgrims[[#This Row],[packages.first_hotel_name]],pilgrims[[#This Row],[packages.second_hotel_name]])</f>
        <v>Swissotel Al Maqam Makkah</v>
      </c>
      <c r="W426" s="1" t="str">
        <f>IF(pilgrims[[#This Row],[packages.second_hotel_name]]="",pilgrims[[#This Row],[packages.first_hotel_check_in]],pilgrims[[#This Row],[packages.second_hotel_check_in]])</f>
        <v>2026-05-21</v>
      </c>
      <c r="X426" s="1" t="str">
        <f>IF(pilgrims[[#This Row],[packages.second_hotel_name]]="",pilgrims[[#This Row],[packages.first_hotel_check_out]],pilgrims[[#This Row],[packages.second_hotel_check_out]])</f>
        <v>2026-05-25</v>
      </c>
      <c r="Y426" s="1" t="s">
        <v>16</v>
      </c>
      <c r="Z426" s="1" t="s">
        <v>261</v>
      </c>
      <c r="AA426" s="1" t="s">
        <v>942</v>
      </c>
      <c r="AB426" s="1" t="s">
        <v>1415</v>
      </c>
      <c r="AC426" s="1" t="s">
        <v>943</v>
      </c>
      <c r="AD426" s="1" t="s">
        <v>1416</v>
      </c>
      <c r="AE426" s="1" t="s">
        <v>1280</v>
      </c>
      <c r="AF426" s="4">
        <v>46160</v>
      </c>
      <c r="AG426" s="5">
        <v>0.86458333333333337</v>
      </c>
      <c r="AH426" s="1" t="s">
        <v>1417</v>
      </c>
      <c r="AI426" s="1" t="s">
        <v>1280</v>
      </c>
      <c r="AJ426" s="4">
        <v>46173</v>
      </c>
      <c r="AK426" s="5">
        <v>8.6805555555555552E-2</v>
      </c>
      <c r="AL426" s="1" t="s">
        <v>215</v>
      </c>
      <c r="AM426" s="1"/>
    </row>
    <row r="427" spans="1:39" x14ac:dyDescent="0.3">
      <c r="A427" s="1">
        <v>630563</v>
      </c>
      <c r="B427" s="1">
        <v>511003</v>
      </c>
      <c r="C427" s="1" t="s">
        <v>1188</v>
      </c>
      <c r="D427" s="38" t="s">
        <v>1944</v>
      </c>
      <c r="E427" s="4">
        <v>26271</v>
      </c>
      <c r="F427" s="1">
        <v>54</v>
      </c>
      <c r="G427" s="1" t="s">
        <v>212</v>
      </c>
      <c r="H427" s="1" t="s">
        <v>1505</v>
      </c>
      <c r="I427" s="1" t="s">
        <v>1505</v>
      </c>
      <c r="J427" s="1">
        <v>8529</v>
      </c>
      <c r="K427" s="1" t="s">
        <v>82</v>
      </c>
      <c r="L427" s="1" t="s">
        <v>19</v>
      </c>
      <c r="M427" s="1" t="s">
        <v>13</v>
      </c>
      <c r="N427" s="1" t="s">
        <v>20</v>
      </c>
      <c r="O427" s="1" t="s">
        <v>216</v>
      </c>
      <c r="P427" s="1" t="s">
        <v>53</v>
      </c>
      <c r="Q427" s="1" t="s">
        <v>19</v>
      </c>
      <c r="R427" s="1" t="s">
        <v>8</v>
      </c>
      <c r="S427" s="1" t="s">
        <v>21</v>
      </c>
      <c r="T427" s="1" t="s">
        <v>53</v>
      </c>
      <c r="U427" s="1" t="s">
        <v>8</v>
      </c>
      <c r="V427" s="1" t="str">
        <f>IF(pilgrims[[#This Row],[packages.second_hotel_name]]="",pilgrims[[#This Row],[packages.first_hotel_name]],pilgrims[[#This Row],[packages.second_hotel_name]])</f>
        <v>Swissotel Makkah Hotel</v>
      </c>
      <c r="W427" s="1" t="str">
        <f>IF(pilgrims[[#This Row],[packages.second_hotel_name]]="",pilgrims[[#This Row],[packages.first_hotel_check_in]],pilgrims[[#This Row],[packages.second_hotel_check_in]])</f>
        <v>2026-05-21</v>
      </c>
      <c r="X427" s="1" t="str">
        <f>IF(pilgrims[[#This Row],[packages.second_hotel_name]]="",pilgrims[[#This Row],[packages.first_hotel_check_out]],pilgrims[[#This Row],[packages.second_hotel_check_out]])</f>
        <v>2026-05-25</v>
      </c>
      <c r="Y427" s="1" t="s">
        <v>16</v>
      </c>
      <c r="Z427" s="1" t="s">
        <v>261</v>
      </c>
      <c r="AA427" s="1" t="s">
        <v>957</v>
      </c>
      <c r="AB427" s="1" t="s">
        <v>1418</v>
      </c>
      <c r="AC427" s="1" t="s">
        <v>958</v>
      </c>
      <c r="AD427" s="1" t="s">
        <v>1379</v>
      </c>
      <c r="AE427" s="1" t="s">
        <v>1280</v>
      </c>
      <c r="AF427" s="4">
        <v>46160</v>
      </c>
      <c r="AG427" s="5">
        <v>0.79166666666666663</v>
      </c>
      <c r="AH427" s="1" t="s">
        <v>1380</v>
      </c>
      <c r="AI427" s="1" t="s">
        <v>1280</v>
      </c>
      <c r="AJ427" s="4">
        <v>46173</v>
      </c>
      <c r="AK427" s="5">
        <v>7.9861111111111105E-2</v>
      </c>
      <c r="AL427" s="1" t="s">
        <v>215</v>
      </c>
      <c r="AM427" s="1"/>
    </row>
    <row r="428" spans="1:39" x14ac:dyDescent="0.3">
      <c r="A428" s="1">
        <v>630658</v>
      </c>
      <c r="B428" s="1">
        <v>511003</v>
      </c>
      <c r="C428" s="1" t="s">
        <v>1189</v>
      </c>
      <c r="D428" s="38" t="s">
        <v>1945</v>
      </c>
      <c r="E428" s="4">
        <v>26022</v>
      </c>
      <c r="F428" s="1">
        <v>54</v>
      </c>
      <c r="G428" s="1" t="s">
        <v>212</v>
      </c>
      <c r="H428" s="1" t="s">
        <v>1505</v>
      </c>
      <c r="I428" s="1" t="s">
        <v>1505</v>
      </c>
      <c r="J428" s="1">
        <v>8529</v>
      </c>
      <c r="K428" s="1" t="s">
        <v>82</v>
      </c>
      <c r="L428" s="1" t="s">
        <v>19</v>
      </c>
      <c r="M428" s="1" t="s">
        <v>13</v>
      </c>
      <c r="N428" s="1" t="s">
        <v>20</v>
      </c>
      <c r="O428" s="1" t="s">
        <v>216</v>
      </c>
      <c r="P428" s="1" t="s">
        <v>53</v>
      </c>
      <c r="Q428" s="1" t="s">
        <v>19</v>
      </c>
      <c r="R428" s="1" t="s">
        <v>8</v>
      </c>
      <c r="S428" s="1" t="s">
        <v>21</v>
      </c>
      <c r="T428" s="1" t="s">
        <v>53</v>
      </c>
      <c r="U428" s="1" t="s">
        <v>8</v>
      </c>
      <c r="V428" s="1" t="str">
        <f>IF(pilgrims[[#This Row],[packages.second_hotel_name]]="",pilgrims[[#This Row],[packages.first_hotel_name]],pilgrims[[#This Row],[packages.second_hotel_name]])</f>
        <v>Swissotel Makkah Hotel</v>
      </c>
      <c r="W428" s="1" t="str">
        <f>IF(pilgrims[[#This Row],[packages.second_hotel_name]]="",pilgrims[[#This Row],[packages.first_hotel_check_in]],pilgrims[[#This Row],[packages.second_hotel_check_in]])</f>
        <v>2026-05-21</v>
      </c>
      <c r="X428" s="1" t="str">
        <f>IF(pilgrims[[#This Row],[packages.second_hotel_name]]="",pilgrims[[#This Row],[packages.first_hotel_check_out]],pilgrims[[#This Row],[packages.second_hotel_check_out]])</f>
        <v>2026-05-25</v>
      </c>
      <c r="Y428" s="1" t="s">
        <v>16</v>
      </c>
      <c r="Z428" s="1" t="s">
        <v>261</v>
      </c>
      <c r="AA428" s="1" t="s">
        <v>957</v>
      </c>
      <c r="AB428" s="1" t="s">
        <v>1418</v>
      </c>
      <c r="AC428" s="1" t="s">
        <v>958</v>
      </c>
      <c r="AD428" s="1" t="s">
        <v>1379</v>
      </c>
      <c r="AE428" s="1" t="s">
        <v>1280</v>
      </c>
      <c r="AF428" s="4">
        <v>46160</v>
      </c>
      <c r="AG428" s="5">
        <v>0.79166666666666663</v>
      </c>
      <c r="AH428" s="1" t="s">
        <v>1380</v>
      </c>
      <c r="AI428" s="1" t="s">
        <v>1280</v>
      </c>
      <c r="AJ428" s="4">
        <v>46173</v>
      </c>
      <c r="AK428" s="5">
        <v>7.9861111111111105E-2</v>
      </c>
      <c r="AL428" s="1" t="s">
        <v>215</v>
      </c>
      <c r="AM428" s="1"/>
    </row>
    <row r="429" spans="1:39" x14ac:dyDescent="0.3">
      <c r="A429" s="1">
        <v>630669</v>
      </c>
      <c r="B429" s="1">
        <v>511003</v>
      </c>
      <c r="C429" s="1" t="s">
        <v>1189</v>
      </c>
      <c r="D429" s="38" t="s">
        <v>1946</v>
      </c>
      <c r="E429" s="4">
        <v>34889</v>
      </c>
      <c r="F429" s="1">
        <v>30</v>
      </c>
      <c r="G429" s="1" t="s">
        <v>212</v>
      </c>
      <c r="H429" s="1" t="s">
        <v>1505</v>
      </c>
      <c r="I429" s="1" t="s">
        <v>1505</v>
      </c>
      <c r="J429" s="1">
        <v>8529</v>
      </c>
      <c r="K429" s="1" t="s">
        <v>82</v>
      </c>
      <c r="L429" s="1" t="s">
        <v>19</v>
      </c>
      <c r="M429" s="1" t="s">
        <v>13</v>
      </c>
      <c r="N429" s="1" t="s">
        <v>20</v>
      </c>
      <c r="O429" s="1" t="s">
        <v>216</v>
      </c>
      <c r="P429" s="1" t="s">
        <v>53</v>
      </c>
      <c r="Q429" s="1" t="s">
        <v>19</v>
      </c>
      <c r="R429" s="1" t="s">
        <v>8</v>
      </c>
      <c r="S429" s="1" t="s">
        <v>21</v>
      </c>
      <c r="T429" s="1" t="s">
        <v>53</v>
      </c>
      <c r="U429" s="1" t="s">
        <v>8</v>
      </c>
      <c r="V429" s="1" t="str">
        <f>IF(pilgrims[[#This Row],[packages.second_hotel_name]]="",pilgrims[[#This Row],[packages.first_hotel_name]],pilgrims[[#This Row],[packages.second_hotel_name]])</f>
        <v>Swissotel Makkah Hotel</v>
      </c>
      <c r="W429" s="1" t="str">
        <f>IF(pilgrims[[#This Row],[packages.second_hotel_name]]="",pilgrims[[#This Row],[packages.first_hotel_check_in]],pilgrims[[#This Row],[packages.second_hotel_check_in]])</f>
        <v>2026-05-21</v>
      </c>
      <c r="X429" s="1" t="str">
        <f>IF(pilgrims[[#This Row],[packages.second_hotel_name]]="",pilgrims[[#This Row],[packages.first_hotel_check_out]],pilgrims[[#This Row],[packages.second_hotel_check_out]])</f>
        <v>2026-05-25</v>
      </c>
      <c r="Y429" s="1" t="s">
        <v>16</v>
      </c>
      <c r="Z429" s="1" t="s">
        <v>261</v>
      </c>
      <c r="AA429" s="1" t="s">
        <v>957</v>
      </c>
      <c r="AB429" s="1" t="s">
        <v>1418</v>
      </c>
      <c r="AC429" s="1" t="s">
        <v>958</v>
      </c>
      <c r="AD429" s="1" t="s">
        <v>1379</v>
      </c>
      <c r="AE429" s="1" t="s">
        <v>1280</v>
      </c>
      <c r="AF429" s="4">
        <v>46160</v>
      </c>
      <c r="AG429" s="5">
        <v>0.79166666666666663</v>
      </c>
      <c r="AH429" s="1" t="s">
        <v>1380</v>
      </c>
      <c r="AI429" s="1" t="s">
        <v>1280</v>
      </c>
      <c r="AJ429" s="4">
        <v>46173</v>
      </c>
      <c r="AK429" s="5">
        <v>7.9861111111111105E-2</v>
      </c>
      <c r="AL429" s="1" t="s">
        <v>215</v>
      </c>
      <c r="AM429" s="1"/>
    </row>
    <row r="430" spans="1:39" x14ac:dyDescent="0.3">
      <c r="A430" s="1">
        <v>846049</v>
      </c>
      <c r="B430" s="1">
        <v>683992</v>
      </c>
      <c r="C430" s="1" t="s">
        <v>1188</v>
      </c>
      <c r="D430" s="38" t="s">
        <v>1947</v>
      </c>
      <c r="E430" s="4">
        <v>29487</v>
      </c>
      <c r="F430" s="1">
        <v>45</v>
      </c>
      <c r="G430" s="1" t="s">
        <v>212</v>
      </c>
      <c r="H430" s="1" t="s">
        <v>1506</v>
      </c>
      <c r="I430" s="1" t="s">
        <v>1506</v>
      </c>
      <c r="J430" s="1">
        <v>8535</v>
      </c>
      <c r="K430" s="1" t="s">
        <v>86</v>
      </c>
      <c r="L430" s="1" t="s">
        <v>8</v>
      </c>
      <c r="M430" s="1" t="s">
        <v>4</v>
      </c>
      <c r="N430" s="1" t="s">
        <v>12</v>
      </c>
      <c r="O430" s="1" t="s">
        <v>216</v>
      </c>
      <c r="P430" s="1" t="s">
        <v>53</v>
      </c>
      <c r="Q430" s="1" t="s">
        <v>8</v>
      </c>
      <c r="R430" s="1" t="s">
        <v>11</v>
      </c>
      <c r="S430" s="1" t="s">
        <v>20</v>
      </c>
      <c r="T430" s="1" t="s">
        <v>53</v>
      </c>
      <c r="U430" s="1" t="s">
        <v>6</v>
      </c>
      <c r="V430" s="1" t="str">
        <f>IF(pilgrims[[#This Row],[packages.second_hotel_name]]="",pilgrims[[#This Row],[packages.first_hotel_name]],pilgrims[[#This Row],[packages.second_hotel_name]])</f>
        <v>Daral Taqwa Hotel</v>
      </c>
      <c r="W430" s="1" t="str">
        <f>IF(pilgrims[[#This Row],[packages.second_hotel_name]]="",pilgrims[[#This Row],[packages.first_hotel_check_in]],pilgrims[[#This Row],[packages.second_hotel_check_in]])</f>
        <v>2026-05-30</v>
      </c>
      <c r="X430" s="1" t="str">
        <f>IF(pilgrims[[#This Row],[packages.second_hotel_name]]="",pilgrims[[#This Row],[packages.first_hotel_check_out]],pilgrims[[#This Row],[packages.second_hotel_check_out]])</f>
        <v>2026-06-02</v>
      </c>
      <c r="Y430" s="1" t="s">
        <v>4</v>
      </c>
      <c r="Z430" s="1" t="s">
        <v>261</v>
      </c>
      <c r="AA430" s="1" t="s">
        <v>967</v>
      </c>
      <c r="AB430" s="1" t="s">
        <v>1419</v>
      </c>
      <c r="AC430" s="1" t="s">
        <v>968</v>
      </c>
      <c r="AD430" s="1" t="s">
        <v>1400</v>
      </c>
      <c r="AE430" s="1" t="s">
        <v>1280</v>
      </c>
      <c r="AF430" s="4">
        <v>46163</v>
      </c>
      <c r="AG430" s="5">
        <v>0.95486111111111116</v>
      </c>
      <c r="AH430" s="1" t="s">
        <v>1298</v>
      </c>
      <c r="AI430" s="1" t="s">
        <v>1281</v>
      </c>
      <c r="AJ430" s="4">
        <v>46175</v>
      </c>
      <c r="AK430" s="5">
        <v>0.21527777777777779</v>
      </c>
      <c r="AL430" s="1" t="s">
        <v>215</v>
      </c>
      <c r="AM430" s="1"/>
    </row>
    <row r="431" spans="1:39" x14ac:dyDescent="0.3">
      <c r="A431" s="1">
        <v>846114</v>
      </c>
      <c r="B431" s="1">
        <v>683992</v>
      </c>
      <c r="C431" s="1" t="s">
        <v>1189</v>
      </c>
      <c r="D431" s="38" t="s">
        <v>1948</v>
      </c>
      <c r="E431" s="4">
        <v>30722</v>
      </c>
      <c r="F431" s="1">
        <v>42</v>
      </c>
      <c r="G431" s="1" t="s">
        <v>212</v>
      </c>
      <c r="H431" s="1" t="s">
        <v>1506</v>
      </c>
      <c r="I431" s="1" t="s">
        <v>1506</v>
      </c>
      <c r="J431" s="1">
        <v>8535</v>
      </c>
      <c r="K431" s="1" t="s">
        <v>86</v>
      </c>
      <c r="L431" s="1" t="s">
        <v>8</v>
      </c>
      <c r="M431" s="1" t="s">
        <v>4</v>
      </c>
      <c r="N431" s="1" t="s">
        <v>12</v>
      </c>
      <c r="O431" s="1" t="s">
        <v>216</v>
      </c>
      <c r="P431" s="1" t="s">
        <v>53</v>
      </c>
      <c r="Q431" s="1" t="s">
        <v>8</v>
      </c>
      <c r="R431" s="1" t="s">
        <v>11</v>
      </c>
      <c r="S431" s="1" t="s">
        <v>20</v>
      </c>
      <c r="T431" s="1" t="s">
        <v>53</v>
      </c>
      <c r="U431" s="1" t="s">
        <v>6</v>
      </c>
      <c r="V431" s="1" t="str">
        <f>IF(pilgrims[[#This Row],[packages.second_hotel_name]]="",pilgrims[[#This Row],[packages.first_hotel_name]],pilgrims[[#This Row],[packages.second_hotel_name]])</f>
        <v>Daral Taqwa Hotel</v>
      </c>
      <c r="W431" s="1" t="str">
        <f>IF(pilgrims[[#This Row],[packages.second_hotel_name]]="",pilgrims[[#This Row],[packages.first_hotel_check_in]],pilgrims[[#This Row],[packages.second_hotel_check_in]])</f>
        <v>2026-05-30</v>
      </c>
      <c r="X431" s="1" t="str">
        <f>IF(pilgrims[[#This Row],[packages.second_hotel_name]]="",pilgrims[[#This Row],[packages.first_hotel_check_out]],pilgrims[[#This Row],[packages.second_hotel_check_out]])</f>
        <v>2026-06-02</v>
      </c>
      <c r="Y431" s="1" t="s">
        <v>4</v>
      </c>
      <c r="Z431" s="1" t="s">
        <v>261</v>
      </c>
      <c r="AA431" s="1" t="s">
        <v>967</v>
      </c>
      <c r="AB431" s="1" t="s">
        <v>1419</v>
      </c>
      <c r="AC431" s="1" t="s">
        <v>968</v>
      </c>
      <c r="AD431" s="1" t="s">
        <v>1400</v>
      </c>
      <c r="AE431" s="1" t="s">
        <v>1280</v>
      </c>
      <c r="AF431" s="4">
        <v>46163</v>
      </c>
      <c r="AG431" s="5">
        <v>0.95486111111111116</v>
      </c>
      <c r="AH431" s="1" t="s">
        <v>1298</v>
      </c>
      <c r="AI431" s="1" t="s">
        <v>1281</v>
      </c>
      <c r="AJ431" s="4">
        <v>46175</v>
      </c>
      <c r="AK431" s="5">
        <v>0.21527777777777779</v>
      </c>
      <c r="AL431" s="1" t="s">
        <v>215</v>
      </c>
      <c r="AM431" s="1"/>
    </row>
    <row r="432" spans="1:39" x14ac:dyDescent="0.3">
      <c r="A432" s="1">
        <v>6511</v>
      </c>
      <c r="B432" s="1">
        <v>5847</v>
      </c>
      <c r="C432" s="1" t="s">
        <v>1188</v>
      </c>
      <c r="D432" s="38" t="s">
        <v>1949</v>
      </c>
      <c r="E432" s="4">
        <v>22296</v>
      </c>
      <c r="F432" s="1">
        <v>65</v>
      </c>
      <c r="G432" s="1" t="s">
        <v>212</v>
      </c>
      <c r="H432" s="1" t="s">
        <v>1501</v>
      </c>
      <c r="I432" s="1" t="s">
        <v>1501</v>
      </c>
      <c r="J432" s="1">
        <v>8531</v>
      </c>
      <c r="K432" s="1" t="s">
        <v>84</v>
      </c>
      <c r="L432" s="1" t="s">
        <v>8</v>
      </c>
      <c r="M432" s="1" t="s">
        <v>9</v>
      </c>
      <c r="N432" s="1" t="s">
        <v>20</v>
      </c>
      <c r="O432" s="1" t="s">
        <v>216</v>
      </c>
      <c r="P432" s="1" t="s">
        <v>53</v>
      </c>
      <c r="Q432" s="1" t="s">
        <v>8</v>
      </c>
      <c r="R432" s="1" t="s">
        <v>11</v>
      </c>
      <c r="S432" s="1" t="s">
        <v>12</v>
      </c>
      <c r="T432" s="1" t="s">
        <v>53</v>
      </c>
      <c r="U432" s="1" t="s">
        <v>13</v>
      </c>
      <c r="V432" s="1" t="str">
        <f>IF(pilgrims[[#This Row],[packages.second_hotel_name]]="",pilgrims[[#This Row],[packages.first_hotel_name]],pilgrims[[#This Row],[packages.second_hotel_name]])</f>
        <v>Makkah Clock Royal Tower A Fairmont Hotel</v>
      </c>
      <c r="W432" s="1" t="str">
        <f>IF(pilgrims[[#This Row],[packages.second_hotel_name]]="",pilgrims[[#This Row],[packages.first_hotel_check_in]],pilgrims[[#This Row],[packages.second_hotel_check_in]])</f>
        <v>2026-05-31</v>
      </c>
      <c r="X432" s="1" t="str">
        <f>IF(pilgrims[[#This Row],[packages.second_hotel_name]]="",pilgrims[[#This Row],[packages.first_hotel_check_out]],pilgrims[[#This Row],[packages.second_hotel_check_out]])</f>
        <v>2026-06-06</v>
      </c>
      <c r="Y432" s="1" t="s">
        <v>9</v>
      </c>
      <c r="Z432" s="1" t="s">
        <v>261</v>
      </c>
      <c r="AA432" s="1" t="s">
        <v>974</v>
      </c>
      <c r="AB432" s="1" t="s">
        <v>1438</v>
      </c>
      <c r="AC432" s="1" t="s">
        <v>975</v>
      </c>
      <c r="AD432" s="1" t="s">
        <v>1328</v>
      </c>
      <c r="AE432" s="1" t="s">
        <v>1281</v>
      </c>
      <c r="AF432" s="4">
        <v>46163</v>
      </c>
      <c r="AG432" s="5">
        <v>1.7361111111111112E-2</v>
      </c>
      <c r="AH432" s="1" t="s">
        <v>1354</v>
      </c>
      <c r="AI432" s="1" t="s">
        <v>1280</v>
      </c>
      <c r="AJ432" s="4">
        <v>46179</v>
      </c>
      <c r="AK432" s="5">
        <v>0.36805555555555558</v>
      </c>
      <c r="AL432" s="1" t="s">
        <v>215</v>
      </c>
      <c r="AM432" s="1"/>
    </row>
    <row r="433" spans="1:39" x14ac:dyDescent="0.3">
      <c r="A433" s="1">
        <v>535500</v>
      </c>
      <c r="B433" s="1">
        <v>423534</v>
      </c>
      <c r="C433" s="1" t="s">
        <v>1188</v>
      </c>
      <c r="D433" s="38" t="s">
        <v>1950</v>
      </c>
      <c r="E433" s="4">
        <v>31492</v>
      </c>
      <c r="F433" s="1">
        <v>39</v>
      </c>
      <c r="G433" s="1" t="s">
        <v>212</v>
      </c>
      <c r="H433" s="1" t="s">
        <v>1503</v>
      </c>
      <c r="I433" s="1" t="s">
        <v>1503</v>
      </c>
      <c r="J433" s="1">
        <v>8535</v>
      </c>
      <c r="K433" s="1" t="s">
        <v>86</v>
      </c>
      <c r="L433" s="1" t="s">
        <v>8</v>
      </c>
      <c r="M433" s="1" t="s">
        <v>4</v>
      </c>
      <c r="N433" s="1" t="s">
        <v>12</v>
      </c>
      <c r="O433" s="1" t="s">
        <v>216</v>
      </c>
      <c r="P433" s="1" t="s">
        <v>53</v>
      </c>
      <c r="Q433" s="1" t="s">
        <v>8</v>
      </c>
      <c r="R433" s="1" t="s">
        <v>11</v>
      </c>
      <c r="S433" s="1" t="s">
        <v>20</v>
      </c>
      <c r="T433" s="1" t="s">
        <v>53</v>
      </c>
      <c r="U433" s="1" t="s">
        <v>6</v>
      </c>
      <c r="V433" s="1" t="str">
        <f>IF(pilgrims[[#This Row],[packages.second_hotel_name]]="",pilgrims[[#This Row],[packages.first_hotel_name]],pilgrims[[#This Row],[packages.second_hotel_name]])</f>
        <v>Daral Taqwa Hotel</v>
      </c>
      <c r="W433" s="1" t="str">
        <f>IF(pilgrims[[#This Row],[packages.second_hotel_name]]="",pilgrims[[#This Row],[packages.first_hotel_check_in]],pilgrims[[#This Row],[packages.second_hotel_check_in]])</f>
        <v>2026-05-30</v>
      </c>
      <c r="X433" s="1" t="str">
        <f>IF(pilgrims[[#This Row],[packages.second_hotel_name]]="",pilgrims[[#This Row],[packages.first_hotel_check_out]],pilgrims[[#This Row],[packages.second_hotel_check_out]])</f>
        <v>2026-06-02</v>
      </c>
      <c r="Y433" s="1" t="s">
        <v>4</v>
      </c>
      <c r="Z433" s="1" t="s">
        <v>261</v>
      </c>
      <c r="AA433" s="1" t="s">
        <v>981</v>
      </c>
      <c r="AB433" s="1" t="s">
        <v>1435</v>
      </c>
      <c r="AC433" s="1" t="s">
        <v>982</v>
      </c>
      <c r="AD433" s="1" t="s">
        <v>1361</v>
      </c>
      <c r="AE433" s="1" t="s">
        <v>1280</v>
      </c>
      <c r="AF433" s="4">
        <v>46163</v>
      </c>
      <c r="AG433" s="5">
        <v>0.76041666666666663</v>
      </c>
      <c r="AH433" s="1" t="s">
        <v>1298</v>
      </c>
      <c r="AI433" s="1" t="s">
        <v>1281</v>
      </c>
      <c r="AJ433" s="4">
        <v>46175</v>
      </c>
      <c r="AK433" s="5">
        <v>0.21527777777777779</v>
      </c>
      <c r="AL433" s="1" t="s">
        <v>215</v>
      </c>
      <c r="AM433" s="1"/>
    </row>
    <row r="434" spans="1:39" x14ac:dyDescent="0.3">
      <c r="A434" s="1">
        <v>535506</v>
      </c>
      <c r="B434" s="1">
        <v>423534</v>
      </c>
      <c r="C434" s="1" t="s">
        <v>1189</v>
      </c>
      <c r="D434" s="38" t="s">
        <v>1951</v>
      </c>
      <c r="E434" s="4">
        <v>33841</v>
      </c>
      <c r="F434" s="1">
        <v>33</v>
      </c>
      <c r="G434" s="1" t="s">
        <v>212</v>
      </c>
      <c r="H434" s="1" t="s">
        <v>1503</v>
      </c>
      <c r="I434" s="1" t="s">
        <v>1503</v>
      </c>
      <c r="J434" s="1">
        <v>8535</v>
      </c>
      <c r="K434" s="1" t="s">
        <v>86</v>
      </c>
      <c r="L434" s="1" t="s">
        <v>8</v>
      </c>
      <c r="M434" s="1" t="s">
        <v>4</v>
      </c>
      <c r="N434" s="1" t="s">
        <v>12</v>
      </c>
      <c r="O434" s="1" t="s">
        <v>216</v>
      </c>
      <c r="P434" s="1" t="s">
        <v>53</v>
      </c>
      <c r="Q434" s="1" t="s">
        <v>8</v>
      </c>
      <c r="R434" s="1" t="s">
        <v>11</v>
      </c>
      <c r="S434" s="1" t="s">
        <v>20</v>
      </c>
      <c r="T434" s="1" t="s">
        <v>53</v>
      </c>
      <c r="U434" s="1" t="s">
        <v>6</v>
      </c>
      <c r="V434" s="1" t="str">
        <f>IF(pilgrims[[#This Row],[packages.second_hotel_name]]="",pilgrims[[#This Row],[packages.first_hotel_name]],pilgrims[[#This Row],[packages.second_hotel_name]])</f>
        <v>Daral Taqwa Hotel</v>
      </c>
      <c r="W434" s="1" t="str">
        <f>IF(pilgrims[[#This Row],[packages.second_hotel_name]]="",pilgrims[[#This Row],[packages.first_hotel_check_in]],pilgrims[[#This Row],[packages.second_hotel_check_in]])</f>
        <v>2026-05-30</v>
      </c>
      <c r="X434" s="1" t="str">
        <f>IF(pilgrims[[#This Row],[packages.second_hotel_name]]="",pilgrims[[#This Row],[packages.first_hotel_check_out]],pilgrims[[#This Row],[packages.second_hotel_check_out]])</f>
        <v>2026-06-02</v>
      </c>
      <c r="Y434" s="1" t="s">
        <v>4</v>
      </c>
      <c r="Z434" s="1" t="s">
        <v>261</v>
      </c>
      <c r="AA434" s="1" t="s">
        <v>981</v>
      </c>
      <c r="AB434" s="1" t="s">
        <v>1435</v>
      </c>
      <c r="AC434" s="1" t="s">
        <v>982</v>
      </c>
      <c r="AD434" s="1" t="s">
        <v>1361</v>
      </c>
      <c r="AE434" s="1" t="s">
        <v>1280</v>
      </c>
      <c r="AF434" s="4">
        <v>46163</v>
      </c>
      <c r="AG434" s="5">
        <v>0.76041666666666663</v>
      </c>
      <c r="AH434" s="1" t="s">
        <v>1298</v>
      </c>
      <c r="AI434" s="1" t="s">
        <v>1281</v>
      </c>
      <c r="AJ434" s="4">
        <v>46175</v>
      </c>
      <c r="AK434" s="5">
        <v>0.21527777777777779</v>
      </c>
      <c r="AL434" s="1" t="s">
        <v>215</v>
      </c>
      <c r="AM434" s="1"/>
    </row>
    <row r="435" spans="1:39" x14ac:dyDescent="0.3">
      <c r="A435" s="1">
        <v>865446</v>
      </c>
      <c r="B435" s="1">
        <v>699288</v>
      </c>
      <c r="C435" s="1" t="s">
        <v>1189</v>
      </c>
      <c r="D435" s="38" t="s">
        <v>1952</v>
      </c>
      <c r="E435" s="4">
        <v>28039</v>
      </c>
      <c r="F435" s="1">
        <v>49</v>
      </c>
      <c r="G435" s="1" t="s">
        <v>212</v>
      </c>
      <c r="H435" s="1" t="s">
        <v>1505</v>
      </c>
      <c r="I435" s="1" t="s">
        <v>1505</v>
      </c>
      <c r="J435" s="1">
        <v>8529</v>
      </c>
      <c r="K435" s="1" t="s">
        <v>82</v>
      </c>
      <c r="L435" s="1" t="s">
        <v>19</v>
      </c>
      <c r="M435" s="1" t="s">
        <v>13</v>
      </c>
      <c r="N435" s="1" t="s">
        <v>20</v>
      </c>
      <c r="O435" s="1" t="s">
        <v>216</v>
      </c>
      <c r="P435" s="1" t="s">
        <v>53</v>
      </c>
      <c r="Q435" s="1" t="s">
        <v>19</v>
      </c>
      <c r="R435" s="1" t="s">
        <v>8</v>
      </c>
      <c r="S435" s="1" t="s">
        <v>21</v>
      </c>
      <c r="T435" s="1" t="s">
        <v>53</v>
      </c>
      <c r="U435" s="1" t="s">
        <v>8</v>
      </c>
      <c r="V435" s="1" t="str">
        <f>IF(pilgrims[[#This Row],[packages.second_hotel_name]]="",pilgrims[[#This Row],[packages.first_hotel_name]],pilgrims[[#This Row],[packages.second_hotel_name]])</f>
        <v>Swissotel Makkah Hotel</v>
      </c>
      <c r="W435" s="1" t="str">
        <f>IF(pilgrims[[#This Row],[packages.second_hotel_name]]="",pilgrims[[#This Row],[packages.first_hotel_check_in]],pilgrims[[#This Row],[packages.second_hotel_check_in]])</f>
        <v>2026-05-21</v>
      </c>
      <c r="X435" s="1" t="str">
        <f>IF(pilgrims[[#This Row],[packages.second_hotel_name]]="",pilgrims[[#This Row],[packages.first_hotel_check_out]],pilgrims[[#This Row],[packages.second_hotel_check_out]])</f>
        <v>2026-05-25</v>
      </c>
      <c r="Y435" s="1" t="s">
        <v>16</v>
      </c>
      <c r="Z435" s="1" t="s">
        <v>261</v>
      </c>
      <c r="AA435" s="1" t="s">
        <v>993</v>
      </c>
      <c r="AB435" s="1" t="s">
        <v>1424</v>
      </c>
      <c r="AC435" s="1" t="s">
        <v>994</v>
      </c>
      <c r="AD435" s="1" t="s">
        <v>1425</v>
      </c>
      <c r="AE435" s="1" t="s">
        <v>1280</v>
      </c>
      <c r="AF435" s="4">
        <v>46160</v>
      </c>
      <c r="AG435" s="5">
        <v>0.88541666666666663</v>
      </c>
      <c r="AH435" s="1" t="s">
        <v>1426</v>
      </c>
      <c r="AI435" s="1" t="s">
        <v>1280</v>
      </c>
      <c r="AJ435" s="4">
        <v>46173</v>
      </c>
      <c r="AK435" s="5">
        <v>0.72916666666666663</v>
      </c>
      <c r="AL435" s="1" t="s">
        <v>215</v>
      </c>
      <c r="AM435" s="1"/>
    </row>
    <row r="436" spans="1:39" x14ac:dyDescent="0.3">
      <c r="A436" s="1">
        <v>550110</v>
      </c>
      <c r="B436" s="1">
        <v>436905</v>
      </c>
      <c r="C436" s="1" t="s">
        <v>1188</v>
      </c>
      <c r="D436" s="38" t="s">
        <v>1953</v>
      </c>
      <c r="E436" s="4">
        <v>23004</v>
      </c>
      <c r="F436" s="1">
        <v>63</v>
      </c>
      <c r="G436" s="1" t="s">
        <v>212</v>
      </c>
      <c r="H436" s="1" t="s">
        <v>1501</v>
      </c>
      <c r="I436" s="1" t="s">
        <v>1501</v>
      </c>
      <c r="J436" s="1">
        <v>8531</v>
      </c>
      <c r="K436" s="1" t="s">
        <v>84</v>
      </c>
      <c r="L436" s="1" t="s">
        <v>8</v>
      </c>
      <c r="M436" s="1" t="s">
        <v>9</v>
      </c>
      <c r="N436" s="1" t="s">
        <v>20</v>
      </c>
      <c r="O436" s="1" t="s">
        <v>216</v>
      </c>
      <c r="P436" s="1" t="s">
        <v>53</v>
      </c>
      <c r="Q436" s="1" t="s">
        <v>8</v>
      </c>
      <c r="R436" s="1" t="s">
        <v>11</v>
      </c>
      <c r="S436" s="1" t="s">
        <v>12</v>
      </c>
      <c r="T436" s="1" t="s">
        <v>53</v>
      </c>
      <c r="U436" s="1" t="s">
        <v>13</v>
      </c>
      <c r="V436" s="1" t="str">
        <f>IF(pilgrims[[#This Row],[packages.second_hotel_name]]="",pilgrims[[#This Row],[packages.first_hotel_name]],pilgrims[[#This Row],[packages.second_hotel_name]])</f>
        <v>Makkah Clock Royal Tower A Fairmont Hotel</v>
      </c>
      <c r="W436" s="1" t="str">
        <f>IF(pilgrims[[#This Row],[packages.second_hotel_name]]="",pilgrims[[#This Row],[packages.first_hotel_check_in]],pilgrims[[#This Row],[packages.second_hotel_check_in]])</f>
        <v>2026-05-31</v>
      </c>
      <c r="X436" s="1" t="str">
        <f>IF(pilgrims[[#This Row],[packages.second_hotel_name]]="",pilgrims[[#This Row],[packages.first_hotel_check_out]],pilgrims[[#This Row],[packages.second_hotel_check_out]])</f>
        <v>2026-06-06</v>
      </c>
      <c r="Y436" s="1" t="s">
        <v>9</v>
      </c>
      <c r="Z436" s="1" t="s">
        <v>261</v>
      </c>
      <c r="AA436" s="1" t="s">
        <v>1001</v>
      </c>
      <c r="AB436" s="1" t="s">
        <v>1427</v>
      </c>
      <c r="AC436" s="1" t="s">
        <v>1002</v>
      </c>
      <c r="AD436" s="1" t="s">
        <v>1428</v>
      </c>
      <c r="AE436" s="1" t="s">
        <v>1280</v>
      </c>
      <c r="AF436" s="4">
        <v>46163</v>
      </c>
      <c r="AG436" s="5">
        <v>0.98958333333333337</v>
      </c>
      <c r="AH436" s="1" t="s">
        <v>1429</v>
      </c>
      <c r="AI436" s="1" t="s">
        <v>1280</v>
      </c>
      <c r="AJ436" s="4">
        <v>46178</v>
      </c>
      <c r="AK436" s="5">
        <v>0.27083333333333331</v>
      </c>
      <c r="AL436" s="1" t="s">
        <v>215</v>
      </c>
      <c r="AM436" s="1"/>
    </row>
    <row r="437" spans="1:39" x14ac:dyDescent="0.3">
      <c r="A437" s="1">
        <v>607353</v>
      </c>
      <c r="B437" s="1">
        <v>436905</v>
      </c>
      <c r="C437" s="1" t="s">
        <v>1189</v>
      </c>
      <c r="D437" s="38" t="s">
        <v>1954</v>
      </c>
      <c r="E437" s="4">
        <v>25116</v>
      </c>
      <c r="F437" s="1">
        <v>57</v>
      </c>
      <c r="G437" s="1" t="s">
        <v>212</v>
      </c>
      <c r="H437" s="1" t="s">
        <v>1501</v>
      </c>
      <c r="I437" s="1" t="s">
        <v>1501</v>
      </c>
      <c r="J437" s="1">
        <v>8531</v>
      </c>
      <c r="K437" s="1" t="s">
        <v>84</v>
      </c>
      <c r="L437" s="1" t="s">
        <v>8</v>
      </c>
      <c r="M437" s="1" t="s">
        <v>9</v>
      </c>
      <c r="N437" s="1" t="s">
        <v>20</v>
      </c>
      <c r="O437" s="1" t="s">
        <v>216</v>
      </c>
      <c r="P437" s="1" t="s">
        <v>53</v>
      </c>
      <c r="Q437" s="1" t="s">
        <v>8</v>
      </c>
      <c r="R437" s="1" t="s">
        <v>11</v>
      </c>
      <c r="S437" s="1" t="s">
        <v>12</v>
      </c>
      <c r="T437" s="1" t="s">
        <v>53</v>
      </c>
      <c r="U437" s="1" t="s">
        <v>13</v>
      </c>
      <c r="V437" s="1" t="str">
        <f>IF(pilgrims[[#This Row],[packages.second_hotel_name]]="",pilgrims[[#This Row],[packages.first_hotel_name]],pilgrims[[#This Row],[packages.second_hotel_name]])</f>
        <v>Makkah Clock Royal Tower A Fairmont Hotel</v>
      </c>
      <c r="W437" s="1" t="str">
        <f>IF(pilgrims[[#This Row],[packages.second_hotel_name]]="",pilgrims[[#This Row],[packages.first_hotel_check_in]],pilgrims[[#This Row],[packages.second_hotel_check_in]])</f>
        <v>2026-05-31</v>
      </c>
      <c r="X437" s="1" t="str">
        <f>IF(pilgrims[[#This Row],[packages.second_hotel_name]]="",pilgrims[[#This Row],[packages.first_hotel_check_out]],pilgrims[[#This Row],[packages.second_hotel_check_out]])</f>
        <v>2026-06-06</v>
      </c>
      <c r="Y437" s="1" t="s">
        <v>9</v>
      </c>
      <c r="Z437" s="1" t="s">
        <v>261</v>
      </c>
      <c r="AA437" s="1" t="s">
        <v>1001</v>
      </c>
      <c r="AB437" s="1" t="s">
        <v>1427</v>
      </c>
      <c r="AC437" s="1" t="s">
        <v>1002</v>
      </c>
      <c r="AD437" s="1" t="s">
        <v>1428</v>
      </c>
      <c r="AE437" s="1" t="s">
        <v>1280</v>
      </c>
      <c r="AF437" s="4">
        <v>46163</v>
      </c>
      <c r="AG437" s="5">
        <v>0.98958333333333337</v>
      </c>
      <c r="AH437" s="1" t="s">
        <v>1429</v>
      </c>
      <c r="AI437" s="1" t="s">
        <v>1280</v>
      </c>
      <c r="AJ437" s="4">
        <v>46178</v>
      </c>
      <c r="AK437" s="5">
        <v>0.27083333333333331</v>
      </c>
      <c r="AL437" s="1" t="s">
        <v>215</v>
      </c>
      <c r="AM437" s="1"/>
    </row>
    <row r="438" spans="1:39" x14ac:dyDescent="0.3">
      <c r="A438" s="1">
        <v>868985</v>
      </c>
      <c r="B438" s="1">
        <v>702286</v>
      </c>
      <c r="C438" s="1" t="s">
        <v>1188</v>
      </c>
      <c r="D438" s="38" t="s">
        <v>1955</v>
      </c>
      <c r="E438" s="4">
        <v>20274</v>
      </c>
      <c r="F438" s="1">
        <v>70</v>
      </c>
      <c r="G438" s="1" t="s">
        <v>212</v>
      </c>
      <c r="H438" s="1" t="s">
        <v>1506</v>
      </c>
      <c r="I438" s="1" t="s">
        <v>1506</v>
      </c>
      <c r="J438" s="1">
        <v>8529</v>
      </c>
      <c r="K438" s="1" t="s">
        <v>82</v>
      </c>
      <c r="L438" s="1" t="s">
        <v>19</v>
      </c>
      <c r="M438" s="1" t="s">
        <v>13</v>
      </c>
      <c r="N438" s="1" t="s">
        <v>20</v>
      </c>
      <c r="O438" s="1" t="s">
        <v>216</v>
      </c>
      <c r="P438" s="1" t="s">
        <v>53</v>
      </c>
      <c r="Q438" s="1" t="s">
        <v>19</v>
      </c>
      <c r="R438" s="1" t="s">
        <v>8</v>
      </c>
      <c r="S438" s="1" t="s">
        <v>21</v>
      </c>
      <c r="T438" s="1" t="s">
        <v>53</v>
      </c>
      <c r="U438" s="1" t="s">
        <v>8</v>
      </c>
      <c r="V438" s="1" t="str">
        <f>IF(pilgrims[[#This Row],[packages.second_hotel_name]]="",pilgrims[[#This Row],[packages.first_hotel_name]],pilgrims[[#This Row],[packages.second_hotel_name]])</f>
        <v>Swissotel Makkah Hotel</v>
      </c>
      <c r="W438" s="1" t="str">
        <f>IF(pilgrims[[#This Row],[packages.second_hotel_name]]="",pilgrims[[#This Row],[packages.first_hotel_check_in]],pilgrims[[#This Row],[packages.second_hotel_check_in]])</f>
        <v>2026-05-21</v>
      </c>
      <c r="X438" s="1" t="str">
        <f>IF(pilgrims[[#This Row],[packages.second_hotel_name]]="",pilgrims[[#This Row],[packages.first_hotel_check_out]],pilgrims[[#This Row],[packages.second_hotel_check_out]])</f>
        <v>2026-05-25</v>
      </c>
      <c r="Y438" s="1" t="s">
        <v>16</v>
      </c>
      <c r="Z438" s="1" t="s">
        <v>261</v>
      </c>
      <c r="AA438" s="1" t="s">
        <v>1007</v>
      </c>
      <c r="AB438" s="1" t="s">
        <v>1439</v>
      </c>
      <c r="AC438" s="1" t="s">
        <v>1008</v>
      </c>
      <c r="AD438" s="1" t="s">
        <v>1440</v>
      </c>
      <c r="AE438" s="1" t="s">
        <v>1280</v>
      </c>
      <c r="AF438" s="4">
        <v>46160</v>
      </c>
      <c r="AG438" s="5">
        <v>0.94791666666666663</v>
      </c>
      <c r="AH438" s="1" t="s">
        <v>1441</v>
      </c>
      <c r="AI438" s="1" t="s">
        <v>1280</v>
      </c>
      <c r="AJ438" s="4">
        <v>46173</v>
      </c>
      <c r="AK438" s="5">
        <v>0.60763888888888884</v>
      </c>
      <c r="AL438" s="1" t="s">
        <v>215</v>
      </c>
      <c r="AM438" s="1"/>
    </row>
    <row r="439" spans="1:39" x14ac:dyDescent="0.3">
      <c r="A439" s="1">
        <v>869123</v>
      </c>
      <c r="B439" s="1">
        <v>702286</v>
      </c>
      <c r="C439" s="1" t="s">
        <v>1189</v>
      </c>
      <c r="D439" s="38" t="s">
        <v>1956</v>
      </c>
      <c r="E439" s="4">
        <v>22485</v>
      </c>
      <c r="F439" s="1">
        <v>64</v>
      </c>
      <c r="G439" s="1" t="s">
        <v>212</v>
      </c>
      <c r="H439" s="1" t="s">
        <v>1506</v>
      </c>
      <c r="I439" s="1" t="s">
        <v>1506</v>
      </c>
      <c r="J439" s="1">
        <v>8529</v>
      </c>
      <c r="K439" s="1" t="s">
        <v>82</v>
      </c>
      <c r="L439" s="1" t="s">
        <v>19</v>
      </c>
      <c r="M439" s="1" t="s">
        <v>13</v>
      </c>
      <c r="N439" s="1" t="s">
        <v>20</v>
      </c>
      <c r="O439" s="1" t="s">
        <v>216</v>
      </c>
      <c r="P439" s="1" t="s">
        <v>53</v>
      </c>
      <c r="Q439" s="1" t="s">
        <v>19</v>
      </c>
      <c r="R439" s="1" t="s">
        <v>8</v>
      </c>
      <c r="S439" s="1" t="s">
        <v>21</v>
      </c>
      <c r="T439" s="1" t="s">
        <v>53</v>
      </c>
      <c r="U439" s="1" t="s">
        <v>8</v>
      </c>
      <c r="V439" s="1" t="str">
        <f>IF(pilgrims[[#This Row],[packages.second_hotel_name]]="",pilgrims[[#This Row],[packages.first_hotel_name]],pilgrims[[#This Row],[packages.second_hotel_name]])</f>
        <v>Swissotel Makkah Hotel</v>
      </c>
      <c r="W439" s="1" t="str">
        <f>IF(pilgrims[[#This Row],[packages.second_hotel_name]]="",pilgrims[[#This Row],[packages.first_hotel_check_in]],pilgrims[[#This Row],[packages.second_hotel_check_in]])</f>
        <v>2026-05-21</v>
      </c>
      <c r="X439" s="1" t="str">
        <f>IF(pilgrims[[#This Row],[packages.second_hotel_name]]="",pilgrims[[#This Row],[packages.first_hotel_check_out]],pilgrims[[#This Row],[packages.second_hotel_check_out]])</f>
        <v>2026-05-25</v>
      </c>
      <c r="Y439" s="1" t="s">
        <v>16</v>
      </c>
      <c r="Z439" s="1" t="s">
        <v>261</v>
      </c>
      <c r="AA439" s="1" t="s">
        <v>1007</v>
      </c>
      <c r="AB439" s="1" t="s">
        <v>1439</v>
      </c>
      <c r="AC439" s="1" t="s">
        <v>1008</v>
      </c>
      <c r="AD439" s="1" t="s">
        <v>1440</v>
      </c>
      <c r="AE439" s="1" t="s">
        <v>1280</v>
      </c>
      <c r="AF439" s="4">
        <v>46160</v>
      </c>
      <c r="AG439" s="5">
        <v>0.94791666666666663</v>
      </c>
      <c r="AH439" s="1" t="s">
        <v>1441</v>
      </c>
      <c r="AI439" s="1" t="s">
        <v>1280</v>
      </c>
      <c r="AJ439" s="4">
        <v>46173</v>
      </c>
      <c r="AK439" s="5">
        <v>0.60763888888888884</v>
      </c>
      <c r="AL439" s="1" t="s">
        <v>215</v>
      </c>
      <c r="AM439" s="1"/>
    </row>
    <row r="440" spans="1:39" x14ac:dyDescent="0.3">
      <c r="A440" s="1">
        <v>548952</v>
      </c>
      <c r="B440" s="1">
        <v>561161</v>
      </c>
      <c r="C440" s="1" t="s">
        <v>1189</v>
      </c>
      <c r="D440" s="38" t="s">
        <v>1957</v>
      </c>
      <c r="E440" s="4">
        <v>28942</v>
      </c>
      <c r="F440" s="1">
        <v>46</v>
      </c>
      <c r="G440" s="1" t="s">
        <v>212</v>
      </c>
      <c r="H440" s="1" t="s">
        <v>1501</v>
      </c>
      <c r="I440" s="1" t="s">
        <v>1501</v>
      </c>
      <c r="J440" s="1">
        <v>8540</v>
      </c>
      <c r="K440" s="1" t="s">
        <v>78</v>
      </c>
      <c r="L440" s="1" t="s">
        <v>8</v>
      </c>
      <c r="M440" s="1" t="s">
        <v>13</v>
      </c>
      <c r="N440" s="1" t="s">
        <v>5</v>
      </c>
      <c r="O440" s="1" t="s">
        <v>216</v>
      </c>
      <c r="P440" s="1" t="s">
        <v>53</v>
      </c>
      <c r="Q440" s="1" t="s">
        <v>8</v>
      </c>
      <c r="R440" s="1" t="s">
        <v>11</v>
      </c>
      <c r="S440" s="1"/>
      <c r="T440" s="1"/>
      <c r="U440" s="1"/>
      <c r="V440" s="1" t="str">
        <f>IF(pilgrims[[#This Row],[packages.second_hotel_name]]="",pilgrims[[#This Row],[packages.first_hotel_name]],pilgrims[[#This Row],[packages.second_hotel_name]])</f>
        <v>Movenpick Anwar Almadinah Hotel</v>
      </c>
      <c r="W440" s="1" t="str">
        <f>IF(pilgrims[[#This Row],[packages.second_hotel_name]]="",pilgrims[[#This Row],[packages.first_hotel_check_in]],pilgrims[[#This Row],[packages.second_hotel_check_in]])</f>
        <v>2026-05-21</v>
      </c>
      <c r="X440" s="1" t="str">
        <f>IF(pilgrims[[#This Row],[packages.second_hotel_name]]="",pilgrims[[#This Row],[packages.first_hotel_check_out]],pilgrims[[#This Row],[packages.second_hotel_check_out]])</f>
        <v>2026-05-24</v>
      </c>
      <c r="Y440" s="1"/>
      <c r="Z440" s="1" t="s">
        <v>261</v>
      </c>
      <c r="AA440" s="1" t="s">
        <v>1018</v>
      </c>
      <c r="AB440" s="1" t="s">
        <v>1433</v>
      </c>
      <c r="AC440" s="1" t="s">
        <v>1019</v>
      </c>
      <c r="AD440" s="1" t="s">
        <v>1434</v>
      </c>
      <c r="AE440" s="1" t="s">
        <v>1280</v>
      </c>
      <c r="AF440" s="4">
        <v>46163</v>
      </c>
      <c r="AG440" s="5">
        <v>0.97569444444444442</v>
      </c>
      <c r="AH440" s="1" t="s">
        <v>1315</v>
      </c>
      <c r="AI440" s="1" t="s">
        <v>1280</v>
      </c>
      <c r="AJ440" s="4">
        <v>46173</v>
      </c>
      <c r="AK440" s="5">
        <v>0.13194444444444445</v>
      </c>
      <c r="AL440" s="1" t="s">
        <v>215</v>
      </c>
      <c r="AM440" s="1"/>
    </row>
    <row r="441" spans="1:39" x14ac:dyDescent="0.3">
      <c r="A441" s="1">
        <v>690538</v>
      </c>
      <c r="B441" s="1">
        <v>561161</v>
      </c>
      <c r="C441" s="1" t="s">
        <v>1188</v>
      </c>
      <c r="D441" s="38" t="s">
        <v>1958</v>
      </c>
      <c r="E441" s="4">
        <v>27388</v>
      </c>
      <c r="F441" s="1">
        <v>51</v>
      </c>
      <c r="G441" s="1" t="s">
        <v>212</v>
      </c>
      <c r="H441" s="1" t="s">
        <v>1501</v>
      </c>
      <c r="I441" s="1" t="s">
        <v>1501</v>
      </c>
      <c r="J441" s="1">
        <v>8540</v>
      </c>
      <c r="K441" s="1" t="s">
        <v>78</v>
      </c>
      <c r="L441" s="1" t="s">
        <v>8</v>
      </c>
      <c r="M441" s="1" t="s">
        <v>13</v>
      </c>
      <c r="N441" s="1" t="s">
        <v>5</v>
      </c>
      <c r="O441" s="1" t="s">
        <v>216</v>
      </c>
      <c r="P441" s="1" t="s">
        <v>53</v>
      </c>
      <c r="Q441" s="1" t="s">
        <v>8</v>
      </c>
      <c r="R441" s="1" t="s">
        <v>11</v>
      </c>
      <c r="S441" s="1"/>
      <c r="T441" s="1"/>
      <c r="U441" s="1"/>
      <c r="V441" s="1" t="str">
        <f>IF(pilgrims[[#This Row],[packages.second_hotel_name]]="",pilgrims[[#This Row],[packages.first_hotel_name]],pilgrims[[#This Row],[packages.second_hotel_name]])</f>
        <v>Movenpick Anwar Almadinah Hotel</v>
      </c>
      <c r="W441" s="1" t="str">
        <f>IF(pilgrims[[#This Row],[packages.second_hotel_name]]="",pilgrims[[#This Row],[packages.first_hotel_check_in]],pilgrims[[#This Row],[packages.second_hotel_check_in]])</f>
        <v>2026-05-21</v>
      </c>
      <c r="X441" s="1" t="str">
        <f>IF(pilgrims[[#This Row],[packages.second_hotel_name]]="",pilgrims[[#This Row],[packages.first_hotel_check_out]],pilgrims[[#This Row],[packages.second_hotel_check_out]])</f>
        <v>2026-05-24</v>
      </c>
      <c r="Y441" s="1"/>
      <c r="Z441" s="1" t="s">
        <v>261</v>
      </c>
      <c r="AA441" s="1" t="s">
        <v>1018</v>
      </c>
      <c r="AB441" s="1" t="s">
        <v>1433</v>
      </c>
      <c r="AC441" s="1" t="s">
        <v>1019</v>
      </c>
      <c r="AD441" s="1" t="s">
        <v>1434</v>
      </c>
      <c r="AE441" s="1" t="s">
        <v>1280</v>
      </c>
      <c r="AF441" s="4">
        <v>46163</v>
      </c>
      <c r="AG441" s="5">
        <v>0.97569444444444442</v>
      </c>
      <c r="AH441" s="1" t="s">
        <v>1315</v>
      </c>
      <c r="AI441" s="1" t="s">
        <v>1280</v>
      </c>
      <c r="AJ441" s="4">
        <v>46173</v>
      </c>
      <c r="AK441" s="5">
        <v>0.13194444444444445</v>
      </c>
      <c r="AL441" s="1" t="s">
        <v>215</v>
      </c>
      <c r="AM441" s="1"/>
    </row>
    <row r="442" spans="1:39" x14ac:dyDescent="0.3">
      <c r="A442" s="1">
        <v>690581</v>
      </c>
      <c r="B442" s="1">
        <v>561161</v>
      </c>
      <c r="C442" s="1" t="s">
        <v>1189</v>
      </c>
      <c r="D442" s="38" t="s">
        <v>1959</v>
      </c>
      <c r="E442" s="4">
        <v>29288</v>
      </c>
      <c r="F442" s="1">
        <v>45</v>
      </c>
      <c r="G442" s="1" t="s">
        <v>212</v>
      </c>
      <c r="H442" s="1" t="s">
        <v>1501</v>
      </c>
      <c r="I442" s="1" t="s">
        <v>1501</v>
      </c>
      <c r="J442" s="1">
        <v>8540</v>
      </c>
      <c r="K442" s="1" t="s">
        <v>78</v>
      </c>
      <c r="L442" s="1" t="s">
        <v>8</v>
      </c>
      <c r="M442" s="1" t="s">
        <v>13</v>
      </c>
      <c r="N442" s="1" t="s">
        <v>5</v>
      </c>
      <c r="O442" s="1" t="s">
        <v>216</v>
      </c>
      <c r="P442" s="1" t="s">
        <v>53</v>
      </c>
      <c r="Q442" s="1" t="s">
        <v>8</v>
      </c>
      <c r="R442" s="1" t="s">
        <v>11</v>
      </c>
      <c r="S442" s="1"/>
      <c r="T442" s="1"/>
      <c r="U442" s="1"/>
      <c r="V442" s="1" t="str">
        <f>IF(pilgrims[[#This Row],[packages.second_hotel_name]]="",pilgrims[[#This Row],[packages.first_hotel_name]],pilgrims[[#This Row],[packages.second_hotel_name]])</f>
        <v>Movenpick Anwar Almadinah Hotel</v>
      </c>
      <c r="W442" s="1" t="str">
        <f>IF(pilgrims[[#This Row],[packages.second_hotel_name]]="",pilgrims[[#This Row],[packages.first_hotel_check_in]],pilgrims[[#This Row],[packages.second_hotel_check_in]])</f>
        <v>2026-05-21</v>
      </c>
      <c r="X442" s="1" t="str">
        <f>IF(pilgrims[[#This Row],[packages.second_hotel_name]]="",pilgrims[[#This Row],[packages.first_hotel_check_out]],pilgrims[[#This Row],[packages.second_hotel_check_out]])</f>
        <v>2026-05-24</v>
      </c>
      <c r="Y442" s="1"/>
      <c r="Z442" s="1" t="s">
        <v>261</v>
      </c>
      <c r="AA442" s="1" t="s">
        <v>1018</v>
      </c>
      <c r="AB442" s="1" t="s">
        <v>1433</v>
      </c>
      <c r="AC442" s="1" t="s">
        <v>1019</v>
      </c>
      <c r="AD442" s="1" t="s">
        <v>1434</v>
      </c>
      <c r="AE442" s="1" t="s">
        <v>1280</v>
      </c>
      <c r="AF442" s="4">
        <v>46163</v>
      </c>
      <c r="AG442" s="5">
        <v>0.97569444444444442</v>
      </c>
      <c r="AH442" s="1" t="s">
        <v>1315</v>
      </c>
      <c r="AI442" s="1" t="s">
        <v>1280</v>
      </c>
      <c r="AJ442" s="4">
        <v>46173</v>
      </c>
      <c r="AK442" s="5">
        <v>0.13194444444444445</v>
      </c>
      <c r="AL442" s="1" t="s">
        <v>215</v>
      </c>
      <c r="AM442" s="1"/>
    </row>
    <row r="443" spans="1:39" x14ac:dyDescent="0.3">
      <c r="A443" s="1">
        <v>339090</v>
      </c>
      <c r="B443" s="1">
        <v>573082</v>
      </c>
      <c r="C443" s="1" t="s">
        <v>1188</v>
      </c>
      <c r="D443" s="38" t="s">
        <v>1960</v>
      </c>
      <c r="E443" s="4">
        <v>24533</v>
      </c>
      <c r="F443" s="1">
        <v>59</v>
      </c>
      <c r="G443" s="1" t="s">
        <v>212</v>
      </c>
      <c r="H443" s="1" t="s">
        <v>1501</v>
      </c>
      <c r="I443" s="1" t="s">
        <v>1501</v>
      </c>
      <c r="J443" s="1">
        <v>8540</v>
      </c>
      <c r="K443" s="1" t="s">
        <v>78</v>
      </c>
      <c r="L443" s="1" t="s">
        <v>8</v>
      </c>
      <c r="M443" s="1" t="s">
        <v>13</v>
      </c>
      <c r="N443" s="1" t="s">
        <v>5</v>
      </c>
      <c r="O443" s="1" t="s">
        <v>216</v>
      </c>
      <c r="P443" s="1" t="s">
        <v>53</v>
      </c>
      <c r="Q443" s="1" t="s">
        <v>8</v>
      </c>
      <c r="R443" s="1" t="s">
        <v>11</v>
      </c>
      <c r="S443" s="1"/>
      <c r="T443" s="1"/>
      <c r="U443" s="1"/>
      <c r="V443" s="1" t="str">
        <f>IF(pilgrims[[#This Row],[packages.second_hotel_name]]="",pilgrims[[#This Row],[packages.first_hotel_name]],pilgrims[[#This Row],[packages.second_hotel_name]])</f>
        <v>Movenpick Anwar Almadinah Hotel</v>
      </c>
      <c r="W443" s="1" t="str">
        <f>IF(pilgrims[[#This Row],[packages.second_hotel_name]]="",pilgrims[[#This Row],[packages.first_hotel_check_in]],pilgrims[[#This Row],[packages.second_hotel_check_in]])</f>
        <v>2026-05-21</v>
      </c>
      <c r="X443" s="1" t="str">
        <f>IF(pilgrims[[#This Row],[packages.second_hotel_name]]="",pilgrims[[#This Row],[packages.first_hotel_check_out]],pilgrims[[#This Row],[packages.second_hotel_check_out]])</f>
        <v>2026-05-24</v>
      </c>
      <c r="Y443" s="1"/>
      <c r="Z443" s="1" t="s">
        <v>261</v>
      </c>
      <c r="AA443" s="1" t="s">
        <v>1025</v>
      </c>
      <c r="AB443" s="1" t="s">
        <v>1442</v>
      </c>
      <c r="AC443" s="1" t="s">
        <v>1026</v>
      </c>
      <c r="AD443" s="1" t="s">
        <v>1343</v>
      </c>
      <c r="AE443" s="1" t="s">
        <v>1281</v>
      </c>
      <c r="AF443" s="4">
        <v>46163</v>
      </c>
      <c r="AG443" s="5">
        <v>0.88888888888888884</v>
      </c>
      <c r="AH443" s="1" t="s">
        <v>1443</v>
      </c>
      <c r="AI443" s="1" t="s">
        <v>1280</v>
      </c>
      <c r="AJ443" s="4">
        <v>46173</v>
      </c>
      <c r="AK443" s="5">
        <v>0.33333333333333331</v>
      </c>
      <c r="AL443" s="1" t="s">
        <v>215</v>
      </c>
      <c r="AM443" s="1"/>
    </row>
    <row r="444" spans="1:39" x14ac:dyDescent="0.3">
      <c r="A444" s="1">
        <v>705789</v>
      </c>
      <c r="B444" s="1">
        <v>573082</v>
      </c>
      <c r="C444" s="1" t="s">
        <v>1189</v>
      </c>
      <c r="D444" s="38" t="s">
        <v>1961</v>
      </c>
      <c r="E444" s="4">
        <v>26852</v>
      </c>
      <c r="F444" s="1">
        <v>52</v>
      </c>
      <c r="G444" s="1" t="s">
        <v>212</v>
      </c>
      <c r="H444" s="1" t="s">
        <v>1501</v>
      </c>
      <c r="I444" s="1" t="s">
        <v>1501</v>
      </c>
      <c r="J444" s="1">
        <v>8540</v>
      </c>
      <c r="K444" s="1" t="s">
        <v>78</v>
      </c>
      <c r="L444" s="1" t="s">
        <v>8</v>
      </c>
      <c r="M444" s="1" t="s">
        <v>13</v>
      </c>
      <c r="N444" s="1" t="s">
        <v>5</v>
      </c>
      <c r="O444" s="1" t="s">
        <v>216</v>
      </c>
      <c r="P444" s="1" t="s">
        <v>53</v>
      </c>
      <c r="Q444" s="1" t="s">
        <v>8</v>
      </c>
      <c r="R444" s="1" t="s">
        <v>11</v>
      </c>
      <c r="S444" s="1"/>
      <c r="T444" s="1"/>
      <c r="U444" s="1"/>
      <c r="V444" s="1" t="str">
        <f>IF(pilgrims[[#This Row],[packages.second_hotel_name]]="",pilgrims[[#This Row],[packages.first_hotel_name]],pilgrims[[#This Row],[packages.second_hotel_name]])</f>
        <v>Movenpick Anwar Almadinah Hotel</v>
      </c>
      <c r="W444" s="1" t="str">
        <f>IF(pilgrims[[#This Row],[packages.second_hotel_name]]="",pilgrims[[#This Row],[packages.first_hotel_check_in]],pilgrims[[#This Row],[packages.second_hotel_check_in]])</f>
        <v>2026-05-21</v>
      </c>
      <c r="X444" s="1" t="str">
        <f>IF(pilgrims[[#This Row],[packages.second_hotel_name]]="",pilgrims[[#This Row],[packages.first_hotel_check_out]],pilgrims[[#This Row],[packages.second_hotel_check_out]])</f>
        <v>2026-05-24</v>
      </c>
      <c r="Y444" s="1"/>
      <c r="Z444" s="1" t="s">
        <v>261</v>
      </c>
      <c r="AA444" s="1" t="s">
        <v>1025</v>
      </c>
      <c r="AB444" s="1" t="s">
        <v>1442</v>
      </c>
      <c r="AC444" s="1" t="s">
        <v>1026</v>
      </c>
      <c r="AD444" s="1" t="s">
        <v>1343</v>
      </c>
      <c r="AE444" s="1" t="s">
        <v>1281</v>
      </c>
      <c r="AF444" s="4">
        <v>46163</v>
      </c>
      <c r="AG444" s="5">
        <v>0.88888888888888884</v>
      </c>
      <c r="AH444" s="1" t="s">
        <v>1443</v>
      </c>
      <c r="AI444" s="1" t="s">
        <v>1280</v>
      </c>
      <c r="AJ444" s="4">
        <v>46173</v>
      </c>
      <c r="AK444" s="5">
        <v>0.33333333333333331</v>
      </c>
      <c r="AL444" s="1" t="s">
        <v>215</v>
      </c>
      <c r="AM444" s="1"/>
    </row>
    <row r="445" spans="1:39" x14ac:dyDescent="0.3">
      <c r="A445" s="1">
        <v>615177</v>
      </c>
      <c r="B445" s="1">
        <v>496481</v>
      </c>
      <c r="C445" s="1" t="s">
        <v>1188</v>
      </c>
      <c r="D445" s="38" t="s">
        <v>1962</v>
      </c>
      <c r="E445" s="4">
        <v>31176</v>
      </c>
      <c r="F445" s="1">
        <v>40</v>
      </c>
      <c r="G445" s="1" t="s">
        <v>212</v>
      </c>
      <c r="H445" s="1" t="s">
        <v>1501</v>
      </c>
      <c r="I445" s="1" t="s">
        <v>1501</v>
      </c>
      <c r="J445" s="1">
        <v>8712</v>
      </c>
      <c r="K445" s="1" t="s">
        <v>101</v>
      </c>
      <c r="L445" s="1" t="s">
        <v>8</v>
      </c>
      <c r="M445" s="1" t="s">
        <v>13</v>
      </c>
      <c r="N445" s="1" t="s">
        <v>10</v>
      </c>
      <c r="O445" s="1" t="s">
        <v>216</v>
      </c>
      <c r="P445" s="1" t="s">
        <v>52</v>
      </c>
      <c r="Q445" s="1" t="s">
        <v>8</v>
      </c>
      <c r="R445" s="1" t="s">
        <v>11</v>
      </c>
      <c r="S445" s="1"/>
      <c r="T445" s="1"/>
      <c r="U445" s="1"/>
      <c r="V445" s="1" t="str">
        <f>IF(pilgrims[[#This Row],[packages.second_hotel_name]]="",pilgrims[[#This Row],[packages.first_hotel_name]],pilgrims[[#This Row],[packages.second_hotel_name]])</f>
        <v>Crowne Plaza Madinah</v>
      </c>
      <c r="W445" s="1" t="str">
        <f>IF(pilgrims[[#This Row],[packages.second_hotel_name]]="",pilgrims[[#This Row],[packages.first_hotel_check_in]],pilgrims[[#This Row],[packages.second_hotel_check_in]])</f>
        <v>2026-05-21</v>
      </c>
      <c r="X445" s="1" t="str">
        <f>IF(pilgrims[[#This Row],[packages.second_hotel_name]]="",pilgrims[[#This Row],[packages.first_hotel_check_out]],pilgrims[[#This Row],[packages.second_hotel_check_out]])</f>
        <v>2026-05-24</v>
      </c>
      <c r="Y445" s="1"/>
      <c r="Z445" s="1" t="s">
        <v>261</v>
      </c>
      <c r="AA445" s="1" t="s">
        <v>1038</v>
      </c>
      <c r="AB445" s="1" t="s">
        <v>1445</v>
      </c>
      <c r="AC445" s="1" t="s">
        <v>1039</v>
      </c>
      <c r="AD445" s="1" t="s">
        <v>1446</v>
      </c>
      <c r="AE445" s="1" t="s">
        <v>1280</v>
      </c>
      <c r="AF445" s="4">
        <v>46163</v>
      </c>
      <c r="AG445" s="5">
        <v>0.98611111111111116</v>
      </c>
      <c r="AH445" s="1" t="s">
        <v>1447</v>
      </c>
      <c r="AI445" s="1" t="s">
        <v>1280</v>
      </c>
      <c r="AJ445" s="4">
        <v>46173</v>
      </c>
      <c r="AK445" s="5">
        <v>0.34722222222222221</v>
      </c>
      <c r="AL445" s="1" t="s">
        <v>215</v>
      </c>
      <c r="AM445" s="1"/>
    </row>
    <row r="446" spans="1:39" x14ac:dyDescent="0.3">
      <c r="A446" s="1">
        <v>540566</v>
      </c>
      <c r="B446" s="1">
        <v>428257</v>
      </c>
      <c r="C446" s="1" t="s">
        <v>1189</v>
      </c>
      <c r="D446" s="38" t="s">
        <v>1963</v>
      </c>
      <c r="E446" s="4">
        <v>25892</v>
      </c>
      <c r="F446" s="1">
        <v>55</v>
      </c>
      <c r="G446" s="1" t="s">
        <v>212</v>
      </c>
      <c r="H446" s="1" t="s">
        <v>1501</v>
      </c>
      <c r="I446" s="1" t="s">
        <v>1501</v>
      </c>
      <c r="J446" s="1">
        <v>8524</v>
      </c>
      <c r="K446" s="1" t="s">
        <v>85</v>
      </c>
      <c r="L446" s="1" t="s">
        <v>8</v>
      </c>
      <c r="M446" s="1" t="s">
        <v>9</v>
      </c>
      <c r="N446" s="1" t="s">
        <v>5</v>
      </c>
      <c r="O446" s="1" t="s">
        <v>216</v>
      </c>
      <c r="P446" s="1" t="s">
        <v>53</v>
      </c>
      <c r="Q446" s="1" t="s">
        <v>8</v>
      </c>
      <c r="R446" s="1" t="s">
        <v>11</v>
      </c>
      <c r="S446" s="1" t="s">
        <v>15</v>
      </c>
      <c r="T446" s="1" t="s">
        <v>53</v>
      </c>
      <c r="U446" s="1" t="s">
        <v>13</v>
      </c>
      <c r="V446" s="1" t="str">
        <f>IF(pilgrims[[#This Row],[packages.second_hotel_name]]="",pilgrims[[#This Row],[packages.first_hotel_name]],pilgrims[[#This Row],[packages.second_hotel_name]])</f>
        <v>Swissotel Al Maqam Makkah</v>
      </c>
      <c r="W446" s="1" t="str">
        <f>IF(pilgrims[[#This Row],[packages.second_hotel_name]]="",pilgrims[[#This Row],[packages.first_hotel_check_in]],pilgrims[[#This Row],[packages.second_hotel_check_in]])</f>
        <v>2026-05-31</v>
      </c>
      <c r="X446" s="1" t="str">
        <f>IF(pilgrims[[#This Row],[packages.second_hotel_name]]="",pilgrims[[#This Row],[packages.first_hotel_check_out]],pilgrims[[#This Row],[packages.second_hotel_check_out]])</f>
        <v>2026-06-06</v>
      </c>
      <c r="Y446" s="1" t="s">
        <v>9</v>
      </c>
      <c r="Z446" s="1" t="s">
        <v>261</v>
      </c>
      <c r="AA446" s="1" t="s">
        <v>1064</v>
      </c>
      <c r="AB446" s="1" t="s">
        <v>1444</v>
      </c>
      <c r="AC446" s="1" t="s">
        <v>1065</v>
      </c>
      <c r="AD446" s="1" t="s">
        <v>1308</v>
      </c>
      <c r="AE446" s="1" t="s">
        <v>1281</v>
      </c>
      <c r="AF446" s="4">
        <v>46163</v>
      </c>
      <c r="AG446" s="5">
        <v>0.78472222222222221</v>
      </c>
      <c r="AH446" s="1" t="s">
        <v>1309</v>
      </c>
      <c r="AI446" s="1" t="s">
        <v>1280</v>
      </c>
      <c r="AJ446" s="4">
        <v>46179</v>
      </c>
      <c r="AK446" s="5">
        <v>0.30902777777777779</v>
      </c>
      <c r="AL446" s="1" t="s">
        <v>215</v>
      </c>
      <c r="AM446" s="1"/>
    </row>
    <row r="447" spans="1:39" x14ac:dyDescent="0.3">
      <c r="A447" s="1">
        <v>617039</v>
      </c>
      <c r="B447" s="1">
        <v>498108</v>
      </c>
      <c r="C447" s="1" t="s">
        <v>1189</v>
      </c>
      <c r="D447" s="38" t="s">
        <v>1964</v>
      </c>
      <c r="E447" s="4">
        <v>36257</v>
      </c>
      <c r="F447" s="1">
        <v>26</v>
      </c>
      <c r="G447" s="1" t="s">
        <v>212</v>
      </c>
      <c r="H447" s="1" t="s">
        <v>1506</v>
      </c>
      <c r="I447" s="1" t="s">
        <v>1506</v>
      </c>
      <c r="J447" s="1">
        <v>8530</v>
      </c>
      <c r="K447" s="1" t="s">
        <v>83</v>
      </c>
      <c r="L447" s="1" t="s">
        <v>19</v>
      </c>
      <c r="M447" s="1" t="s">
        <v>13</v>
      </c>
      <c r="N447" s="1" t="s">
        <v>5</v>
      </c>
      <c r="O447" s="1" t="s">
        <v>216</v>
      </c>
      <c r="P447" s="1" t="s">
        <v>53</v>
      </c>
      <c r="Q447" s="1" t="s">
        <v>19</v>
      </c>
      <c r="R447" s="1" t="s">
        <v>8</v>
      </c>
      <c r="S447" s="1" t="s">
        <v>15</v>
      </c>
      <c r="T447" s="1" t="s">
        <v>53</v>
      </c>
      <c r="U447" s="1" t="s">
        <v>8</v>
      </c>
      <c r="V447" s="1" t="str">
        <f>IF(pilgrims[[#This Row],[packages.second_hotel_name]]="",pilgrims[[#This Row],[packages.first_hotel_name]],pilgrims[[#This Row],[packages.second_hotel_name]])</f>
        <v>Swissotel Al Maqam Makkah</v>
      </c>
      <c r="W447" s="1" t="str">
        <f>IF(pilgrims[[#This Row],[packages.second_hotel_name]]="",pilgrims[[#This Row],[packages.first_hotel_check_in]],pilgrims[[#This Row],[packages.second_hotel_check_in]])</f>
        <v>2026-05-21</v>
      </c>
      <c r="X447" s="1" t="str">
        <f>IF(pilgrims[[#This Row],[packages.second_hotel_name]]="",pilgrims[[#This Row],[packages.first_hotel_check_out]],pilgrims[[#This Row],[packages.second_hotel_check_out]])</f>
        <v>2026-05-25</v>
      </c>
      <c r="Y447" s="1" t="s">
        <v>16</v>
      </c>
      <c r="Z447" s="1" t="s">
        <v>261</v>
      </c>
      <c r="AA447" s="1" t="s">
        <v>1069</v>
      </c>
      <c r="AB447" s="1" t="s">
        <v>1448</v>
      </c>
      <c r="AC447" s="1" t="s">
        <v>1070</v>
      </c>
      <c r="AD447" s="1" t="s">
        <v>1412</v>
      </c>
      <c r="AE447" s="1" t="s">
        <v>1280</v>
      </c>
      <c r="AF447" s="4">
        <v>46160</v>
      </c>
      <c r="AG447" s="5">
        <v>0.78125</v>
      </c>
      <c r="AH447" s="1" t="s">
        <v>1449</v>
      </c>
      <c r="AI447" s="1" t="s">
        <v>1280</v>
      </c>
      <c r="AJ447" s="4">
        <v>46173</v>
      </c>
      <c r="AK447" s="5">
        <v>0.20833333333333334</v>
      </c>
      <c r="AL447" s="1" t="s">
        <v>215</v>
      </c>
      <c r="AM447" s="1"/>
    </row>
    <row r="448" spans="1:39" x14ac:dyDescent="0.3">
      <c r="A448" s="1">
        <v>704843</v>
      </c>
      <c r="B448" s="1">
        <v>498108</v>
      </c>
      <c r="C448" s="1" t="s">
        <v>1188</v>
      </c>
      <c r="D448" s="38" t="s">
        <v>1965</v>
      </c>
      <c r="E448" s="4">
        <v>35989</v>
      </c>
      <c r="F448" s="1">
        <v>27</v>
      </c>
      <c r="G448" s="1" t="s">
        <v>212</v>
      </c>
      <c r="H448" s="1" t="s">
        <v>1506</v>
      </c>
      <c r="I448" s="1" t="s">
        <v>1506</v>
      </c>
      <c r="J448" s="1">
        <v>8530</v>
      </c>
      <c r="K448" s="1" t="s">
        <v>83</v>
      </c>
      <c r="L448" s="1" t="s">
        <v>19</v>
      </c>
      <c r="M448" s="1" t="s">
        <v>13</v>
      </c>
      <c r="N448" s="1" t="s">
        <v>5</v>
      </c>
      <c r="O448" s="1" t="s">
        <v>216</v>
      </c>
      <c r="P448" s="1" t="s">
        <v>53</v>
      </c>
      <c r="Q448" s="1" t="s">
        <v>19</v>
      </c>
      <c r="R448" s="1" t="s">
        <v>8</v>
      </c>
      <c r="S448" s="1" t="s">
        <v>15</v>
      </c>
      <c r="T448" s="1" t="s">
        <v>53</v>
      </c>
      <c r="U448" s="1" t="s">
        <v>8</v>
      </c>
      <c r="V448" s="1" t="str">
        <f>IF(pilgrims[[#This Row],[packages.second_hotel_name]]="",pilgrims[[#This Row],[packages.first_hotel_name]],pilgrims[[#This Row],[packages.second_hotel_name]])</f>
        <v>Swissotel Al Maqam Makkah</v>
      </c>
      <c r="W448" s="1" t="str">
        <f>IF(pilgrims[[#This Row],[packages.second_hotel_name]]="",pilgrims[[#This Row],[packages.first_hotel_check_in]],pilgrims[[#This Row],[packages.second_hotel_check_in]])</f>
        <v>2026-05-21</v>
      </c>
      <c r="X448" s="1" t="str">
        <f>IF(pilgrims[[#This Row],[packages.second_hotel_name]]="",pilgrims[[#This Row],[packages.first_hotel_check_out]],pilgrims[[#This Row],[packages.second_hotel_check_out]])</f>
        <v>2026-05-25</v>
      </c>
      <c r="Y448" s="1" t="s">
        <v>16</v>
      </c>
      <c r="Z448" s="1" t="s">
        <v>261</v>
      </c>
      <c r="AA448" s="1" t="s">
        <v>1069</v>
      </c>
      <c r="AB448" s="1" t="s">
        <v>1448</v>
      </c>
      <c r="AC448" s="1" t="s">
        <v>1070</v>
      </c>
      <c r="AD448" s="1" t="s">
        <v>1412</v>
      </c>
      <c r="AE448" s="1" t="s">
        <v>1280</v>
      </c>
      <c r="AF448" s="4">
        <v>46160</v>
      </c>
      <c r="AG448" s="5">
        <v>0.78125</v>
      </c>
      <c r="AH448" s="1" t="s">
        <v>1449</v>
      </c>
      <c r="AI448" s="1" t="s">
        <v>1280</v>
      </c>
      <c r="AJ448" s="4">
        <v>46173</v>
      </c>
      <c r="AK448" s="5">
        <v>0.20833333333333334</v>
      </c>
      <c r="AL448" s="1" t="s">
        <v>215</v>
      </c>
      <c r="AM448" s="1"/>
    </row>
    <row r="449" spans="1:39" x14ac:dyDescent="0.3">
      <c r="A449" s="1">
        <v>798285</v>
      </c>
      <c r="B449" s="1">
        <v>646051</v>
      </c>
      <c r="C449" s="1" t="s">
        <v>1188</v>
      </c>
      <c r="D449" s="38" t="s">
        <v>1966</v>
      </c>
      <c r="E449" s="4">
        <v>32002</v>
      </c>
      <c r="F449" s="1">
        <v>38</v>
      </c>
      <c r="G449" s="1" t="s">
        <v>212</v>
      </c>
      <c r="H449" s="1" t="s">
        <v>1504</v>
      </c>
      <c r="I449" s="1" t="s">
        <v>1504</v>
      </c>
      <c r="J449" s="1">
        <v>8729</v>
      </c>
      <c r="K449" s="1" t="s">
        <v>100</v>
      </c>
      <c r="L449" s="1" t="s">
        <v>8</v>
      </c>
      <c r="M449" s="1" t="s">
        <v>9</v>
      </c>
      <c r="N449" s="1" t="s">
        <v>10</v>
      </c>
      <c r="O449" s="1" t="s">
        <v>216</v>
      </c>
      <c r="P449" s="1" t="s">
        <v>52</v>
      </c>
      <c r="Q449" s="1" t="s">
        <v>8</v>
      </c>
      <c r="R449" s="1" t="s">
        <v>11</v>
      </c>
      <c r="S449" s="1" t="s">
        <v>21</v>
      </c>
      <c r="T449" s="1" t="s">
        <v>53</v>
      </c>
      <c r="U449" s="1" t="s">
        <v>13</v>
      </c>
      <c r="V449" s="1" t="str">
        <f>IF(pilgrims[[#This Row],[packages.second_hotel_name]]="",pilgrims[[#This Row],[packages.first_hotel_name]],pilgrims[[#This Row],[packages.second_hotel_name]])</f>
        <v>Swissotel Makkah Hotel</v>
      </c>
      <c r="W449" s="1" t="str">
        <f>IF(pilgrims[[#This Row],[packages.second_hotel_name]]="",pilgrims[[#This Row],[packages.first_hotel_check_in]],pilgrims[[#This Row],[packages.second_hotel_check_in]])</f>
        <v>2026-05-31</v>
      </c>
      <c r="X449" s="1" t="str">
        <f>IF(pilgrims[[#This Row],[packages.second_hotel_name]]="",pilgrims[[#This Row],[packages.first_hotel_check_out]],pilgrims[[#This Row],[packages.second_hotel_check_out]])</f>
        <v>2026-06-06</v>
      </c>
      <c r="Y449" s="1" t="s">
        <v>9</v>
      </c>
      <c r="Z449" s="1" t="s">
        <v>261</v>
      </c>
      <c r="AA449" s="1" t="s">
        <v>1088</v>
      </c>
      <c r="AB449" s="1" t="s">
        <v>1459</v>
      </c>
      <c r="AC449" s="1" t="s">
        <v>1089</v>
      </c>
      <c r="AD449" s="1" t="s">
        <v>1460</v>
      </c>
      <c r="AE449" s="1" t="s">
        <v>1281</v>
      </c>
      <c r="AF449" s="4">
        <v>46164</v>
      </c>
      <c r="AG449" s="5">
        <v>0.10416666666666667</v>
      </c>
      <c r="AH449" s="1" t="s">
        <v>1461</v>
      </c>
      <c r="AI449" s="1" t="s">
        <v>1280</v>
      </c>
      <c r="AJ449" s="4">
        <v>46179</v>
      </c>
      <c r="AK449" s="5">
        <v>0.43402777777777779</v>
      </c>
      <c r="AL449" s="1" t="s">
        <v>215</v>
      </c>
      <c r="AM449" s="1"/>
    </row>
    <row r="450" spans="1:39" x14ac:dyDescent="0.3">
      <c r="A450" s="1">
        <v>552800</v>
      </c>
      <c r="B450" s="1">
        <v>439253</v>
      </c>
      <c r="C450" s="1" t="s">
        <v>1188</v>
      </c>
      <c r="D450" s="38" t="s">
        <v>1967</v>
      </c>
      <c r="E450" s="4">
        <v>28406</v>
      </c>
      <c r="F450" s="1">
        <v>48</v>
      </c>
      <c r="G450" s="1" t="s">
        <v>212</v>
      </c>
      <c r="H450" s="1" t="s">
        <v>1501</v>
      </c>
      <c r="I450" s="1" t="s">
        <v>1501</v>
      </c>
      <c r="J450" s="1">
        <v>8672</v>
      </c>
      <c r="K450" s="1" t="s">
        <v>89</v>
      </c>
      <c r="L450" s="1" t="s">
        <v>8</v>
      </c>
      <c r="M450" s="1" t="s">
        <v>13</v>
      </c>
      <c r="N450" s="1" t="s">
        <v>10</v>
      </c>
      <c r="O450" s="1" t="s">
        <v>216</v>
      </c>
      <c r="P450" s="1" t="s">
        <v>52</v>
      </c>
      <c r="Q450" s="1" t="s">
        <v>8</v>
      </c>
      <c r="R450" s="1" t="s">
        <v>11</v>
      </c>
      <c r="S450" s="1"/>
      <c r="T450" s="1"/>
      <c r="U450" s="1"/>
      <c r="V450" s="1" t="str">
        <f>IF(pilgrims[[#This Row],[packages.second_hotel_name]]="",pilgrims[[#This Row],[packages.first_hotel_name]],pilgrims[[#This Row],[packages.second_hotel_name]])</f>
        <v>Crowne Plaza Madinah</v>
      </c>
      <c r="W450" s="1" t="str">
        <f>IF(pilgrims[[#This Row],[packages.second_hotel_name]]="",pilgrims[[#This Row],[packages.first_hotel_check_in]],pilgrims[[#This Row],[packages.second_hotel_check_in]])</f>
        <v>2026-05-21</v>
      </c>
      <c r="X450" s="1" t="str">
        <f>IF(pilgrims[[#This Row],[packages.second_hotel_name]]="",pilgrims[[#This Row],[packages.first_hotel_check_out]],pilgrims[[#This Row],[packages.second_hotel_check_out]])</f>
        <v>2026-05-24</v>
      </c>
      <c r="Y450" s="1"/>
      <c r="Z450" s="1" t="s">
        <v>261</v>
      </c>
      <c r="AA450" s="1" t="s">
        <v>1103</v>
      </c>
      <c r="AB450" s="1" t="s">
        <v>1450</v>
      </c>
      <c r="AC450" s="1" t="s">
        <v>1104</v>
      </c>
      <c r="AD450" s="1" t="s">
        <v>1300</v>
      </c>
      <c r="AE450" s="1" t="s">
        <v>1281</v>
      </c>
      <c r="AF450" s="4">
        <v>46163</v>
      </c>
      <c r="AG450" s="5">
        <v>0.35416666666666669</v>
      </c>
      <c r="AH450" s="1" t="s">
        <v>1301</v>
      </c>
      <c r="AI450" s="1" t="s">
        <v>1280</v>
      </c>
      <c r="AJ450" s="4">
        <v>46173</v>
      </c>
      <c r="AK450" s="5">
        <v>0.31944444444444442</v>
      </c>
      <c r="AL450" s="1" t="s">
        <v>215</v>
      </c>
      <c r="AM450" s="1"/>
    </row>
    <row r="451" spans="1:39" x14ac:dyDescent="0.3">
      <c r="A451" s="1">
        <v>558361</v>
      </c>
      <c r="B451" s="1">
        <v>439253</v>
      </c>
      <c r="C451" s="1" t="s">
        <v>1189</v>
      </c>
      <c r="D451" s="38" t="s">
        <v>1968</v>
      </c>
      <c r="E451" s="4">
        <v>30691</v>
      </c>
      <c r="F451" s="1">
        <v>42</v>
      </c>
      <c r="G451" s="1" t="s">
        <v>212</v>
      </c>
      <c r="H451" s="1" t="s">
        <v>1501</v>
      </c>
      <c r="I451" s="1" t="s">
        <v>1501</v>
      </c>
      <c r="J451" s="1">
        <v>8672</v>
      </c>
      <c r="K451" s="1" t="s">
        <v>89</v>
      </c>
      <c r="L451" s="1" t="s">
        <v>8</v>
      </c>
      <c r="M451" s="1" t="s">
        <v>13</v>
      </c>
      <c r="N451" s="1" t="s">
        <v>10</v>
      </c>
      <c r="O451" s="1" t="s">
        <v>216</v>
      </c>
      <c r="P451" s="1" t="s">
        <v>52</v>
      </c>
      <c r="Q451" s="1" t="s">
        <v>8</v>
      </c>
      <c r="R451" s="1" t="s">
        <v>11</v>
      </c>
      <c r="S451" s="1"/>
      <c r="T451" s="1"/>
      <c r="U451" s="1"/>
      <c r="V451" s="1" t="str">
        <f>IF(pilgrims[[#This Row],[packages.second_hotel_name]]="",pilgrims[[#This Row],[packages.first_hotel_name]],pilgrims[[#This Row],[packages.second_hotel_name]])</f>
        <v>Crowne Plaza Madinah</v>
      </c>
      <c r="W451" s="1" t="str">
        <f>IF(pilgrims[[#This Row],[packages.second_hotel_name]]="",pilgrims[[#This Row],[packages.first_hotel_check_in]],pilgrims[[#This Row],[packages.second_hotel_check_in]])</f>
        <v>2026-05-21</v>
      </c>
      <c r="X451" s="1" t="str">
        <f>IF(pilgrims[[#This Row],[packages.second_hotel_name]]="",pilgrims[[#This Row],[packages.first_hotel_check_out]],pilgrims[[#This Row],[packages.second_hotel_check_out]])</f>
        <v>2026-05-24</v>
      </c>
      <c r="Y451" s="1"/>
      <c r="Z451" s="1" t="s">
        <v>261</v>
      </c>
      <c r="AA451" s="1" t="s">
        <v>1103</v>
      </c>
      <c r="AB451" s="1" t="s">
        <v>1450</v>
      </c>
      <c r="AC451" s="1" t="s">
        <v>1104</v>
      </c>
      <c r="AD451" s="1" t="s">
        <v>1300</v>
      </c>
      <c r="AE451" s="1" t="s">
        <v>1281</v>
      </c>
      <c r="AF451" s="4">
        <v>46163</v>
      </c>
      <c r="AG451" s="5">
        <v>0.35416666666666669</v>
      </c>
      <c r="AH451" s="1" t="s">
        <v>1301</v>
      </c>
      <c r="AI451" s="1" t="s">
        <v>1280</v>
      </c>
      <c r="AJ451" s="4">
        <v>46173</v>
      </c>
      <c r="AK451" s="5">
        <v>0.31944444444444442</v>
      </c>
      <c r="AL451" s="1" t="s">
        <v>215</v>
      </c>
      <c r="AM451" s="1"/>
    </row>
    <row r="452" spans="1:39" x14ac:dyDescent="0.3">
      <c r="A452" s="1">
        <v>48385</v>
      </c>
      <c r="B452" s="1">
        <v>41058</v>
      </c>
      <c r="C452" s="1" t="s">
        <v>1188</v>
      </c>
      <c r="D452" s="38" t="s">
        <v>1969</v>
      </c>
      <c r="E452" s="4">
        <v>23163</v>
      </c>
      <c r="F452" s="1">
        <v>62</v>
      </c>
      <c r="G452" s="1" t="s">
        <v>212</v>
      </c>
      <c r="H452" s="1" t="s">
        <v>1508</v>
      </c>
      <c r="I452" s="1" t="s">
        <v>1508</v>
      </c>
      <c r="J452" s="1">
        <v>8728</v>
      </c>
      <c r="K452" s="1" t="s">
        <v>97</v>
      </c>
      <c r="L452" s="1" t="s">
        <v>8</v>
      </c>
      <c r="M452" s="1" t="s">
        <v>4</v>
      </c>
      <c r="N452" s="1" t="s">
        <v>12</v>
      </c>
      <c r="O452" s="1" t="s">
        <v>216</v>
      </c>
      <c r="P452" s="1" t="s">
        <v>53</v>
      </c>
      <c r="Q452" s="1" t="s">
        <v>8</v>
      </c>
      <c r="R452" s="1" t="s">
        <v>16</v>
      </c>
      <c r="S452" s="1" t="s">
        <v>28</v>
      </c>
      <c r="T452" s="1" t="s">
        <v>52</v>
      </c>
      <c r="U452" s="1" t="s">
        <v>6</v>
      </c>
      <c r="V452" s="1" t="str">
        <f>IF(pilgrims[[#This Row],[packages.second_hotel_name]]="",pilgrims[[#This Row],[packages.first_hotel_name]],pilgrims[[#This Row],[packages.second_hotel_name]])</f>
        <v>Madinah Hilton Hotel</v>
      </c>
      <c r="W452" s="1" t="str">
        <f>IF(pilgrims[[#This Row],[packages.second_hotel_name]]="",pilgrims[[#This Row],[packages.first_hotel_check_in]],pilgrims[[#This Row],[packages.second_hotel_check_in]])</f>
        <v>2026-05-30</v>
      </c>
      <c r="X452" s="1" t="str">
        <f>IF(pilgrims[[#This Row],[packages.second_hotel_name]]="",pilgrims[[#This Row],[packages.first_hotel_check_out]],pilgrims[[#This Row],[packages.second_hotel_check_out]])</f>
        <v>2026-06-02</v>
      </c>
      <c r="Y452" s="1" t="s">
        <v>4</v>
      </c>
      <c r="Z452" s="1" t="s">
        <v>261</v>
      </c>
      <c r="AA452" s="1" t="s">
        <v>1109</v>
      </c>
      <c r="AB452" s="1" t="s">
        <v>1451</v>
      </c>
      <c r="AC452" s="1" t="s">
        <v>1110</v>
      </c>
      <c r="AD452" s="1" t="s">
        <v>1431</v>
      </c>
      <c r="AE452" s="1" t="s">
        <v>1280</v>
      </c>
      <c r="AF452" s="4">
        <v>46165</v>
      </c>
      <c r="AG452" s="5">
        <v>0.61805555555555558</v>
      </c>
      <c r="AH452" s="1" t="s">
        <v>1432</v>
      </c>
      <c r="AI452" s="1" t="s">
        <v>1280</v>
      </c>
      <c r="AJ452" s="4">
        <v>46173</v>
      </c>
      <c r="AK452" s="5">
        <v>3.8194444444444448E-2</v>
      </c>
      <c r="AL452" s="1" t="s">
        <v>215</v>
      </c>
      <c r="AM452" s="1" t="b">
        <v>1</v>
      </c>
    </row>
    <row r="453" spans="1:39" x14ac:dyDescent="0.3">
      <c r="A453" s="1">
        <v>48424</v>
      </c>
      <c r="B453" s="1">
        <v>41058</v>
      </c>
      <c r="C453" s="1" t="s">
        <v>1189</v>
      </c>
      <c r="D453" s="38" t="s">
        <v>1970</v>
      </c>
      <c r="E453" s="4">
        <v>23985</v>
      </c>
      <c r="F453" s="1">
        <v>60</v>
      </c>
      <c r="G453" s="1" t="s">
        <v>212</v>
      </c>
      <c r="H453" s="1" t="s">
        <v>1508</v>
      </c>
      <c r="I453" s="1" t="s">
        <v>1508</v>
      </c>
      <c r="J453" s="1">
        <v>8728</v>
      </c>
      <c r="K453" s="1" t="s">
        <v>97</v>
      </c>
      <c r="L453" s="1" t="s">
        <v>8</v>
      </c>
      <c r="M453" s="1" t="s">
        <v>4</v>
      </c>
      <c r="N453" s="1" t="s">
        <v>12</v>
      </c>
      <c r="O453" s="1" t="s">
        <v>216</v>
      </c>
      <c r="P453" s="1" t="s">
        <v>53</v>
      </c>
      <c r="Q453" s="1" t="s">
        <v>8</v>
      </c>
      <c r="R453" s="1" t="s">
        <v>16</v>
      </c>
      <c r="S453" s="1" t="s">
        <v>28</v>
      </c>
      <c r="T453" s="1" t="s">
        <v>52</v>
      </c>
      <c r="U453" s="1" t="s">
        <v>6</v>
      </c>
      <c r="V453" s="1" t="str">
        <f>IF(pilgrims[[#This Row],[packages.second_hotel_name]]="",pilgrims[[#This Row],[packages.first_hotel_name]],pilgrims[[#This Row],[packages.second_hotel_name]])</f>
        <v>Madinah Hilton Hotel</v>
      </c>
      <c r="W453" s="1" t="str">
        <f>IF(pilgrims[[#This Row],[packages.second_hotel_name]]="",pilgrims[[#This Row],[packages.first_hotel_check_in]],pilgrims[[#This Row],[packages.second_hotel_check_in]])</f>
        <v>2026-05-30</v>
      </c>
      <c r="X453" s="1" t="str">
        <f>IF(pilgrims[[#This Row],[packages.second_hotel_name]]="",pilgrims[[#This Row],[packages.first_hotel_check_out]],pilgrims[[#This Row],[packages.second_hotel_check_out]])</f>
        <v>2026-06-02</v>
      </c>
      <c r="Y453" s="1" t="s">
        <v>4</v>
      </c>
      <c r="Z453" s="1" t="s">
        <v>261</v>
      </c>
      <c r="AA453" s="1" t="s">
        <v>1109</v>
      </c>
      <c r="AB453" s="1" t="s">
        <v>1451</v>
      </c>
      <c r="AC453" s="1" t="s">
        <v>1110</v>
      </c>
      <c r="AD453" s="1" t="s">
        <v>1431</v>
      </c>
      <c r="AE453" s="1" t="s">
        <v>1280</v>
      </c>
      <c r="AF453" s="4">
        <v>46165</v>
      </c>
      <c r="AG453" s="5">
        <v>0.61805555555555558</v>
      </c>
      <c r="AH453" s="1" t="s">
        <v>1432</v>
      </c>
      <c r="AI453" s="1" t="s">
        <v>1280</v>
      </c>
      <c r="AJ453" s="4">
        <v>46173</v>
      </c>
      <c r="AK453" s="5">
        <v>3.8194444444444448E-2</v>
      </c>
      <c r="AL453" s="1" t="s">
        <v>215</v>
      </c>
      <c r="AM453" s="1" t="b">
        <v>1</v>
      </c>
    </row>
    <row r="454" spans="1:39" x14ac:dyDescent="0.3">
      <c r="A454" s="1">
        <v>464839</v>
      </c>
      <c r="B454" s="1">
        <v>364589</v>
      </c>
      <c r="C454" s="1" t="s">
        <v>1188</v>
      </c>
      <c r="D454" s="38" t="s">
        <v>1971</v>
      </c>
      <c r="E454" s="4">
        <v>33384</v>
      </c>
      <c r="F454" s="1">
        <v>34</v>
      </c>
      <c r="G454" s="1" t="s">
        <v>212</v>
      </c>
      <c r="H454" s="1" t="s">
        <v>1508</v>
      </c>
      <c r="I454" s="1" t="s">
        <v>1508</v>
      </c>
      <c r="J454" s="1">
        <v>8728</v>
      </c>
      <c r="K454" s="1" t="s">
        <v>97</v>
      </c>
      <c r="L454" s="1" t="s">
        <v>8</v>
      </c>
      <c r="M454" s="1" t="s">
        <v>4</v>
      </c>
      <c r="N454" s="1" t="s">
        <v>12</v>
      </c>
      <c r="O454" s="1" t="s">
        <v>216</v>
      </c>
      <c r="P454" s="1" t="s">
        <v>53</v>
      </c>
      <c r="Q454" s="1" t="s">
        <v>8</v>
      </c>
      <c r="R454" s="1" t="s">
        <v>16</v>
      </c>
      <c r="S454" s="1" t="s">
        <v>28</v>
      </c>
      <c r="T454" s="1" t="s">
        <v>52</v>
      </c>
      <c r="U454" s="1" t="s">
        <v>6</v>
      </c>
      <c r="V454" s="1" t="str">
        <f>IF(pilgrims[[#This Row],[packages.second_hotel_name]]="",pilgrims[[#This Row],[packages.first_hotel_name]],pilgrims[[#This Row],[packages.second_hotel_name]])</f>
        <v>Madinah Hilton Hotel</v>
      </c>
      <c r="W454" s="1" t="str">
        <f>IF(pilgrims[[#This Row],[packages.second_hotel_name]]="",pilgrims[[#This Row],[packages.first_hotel_check_in]],pilgrims[[#This Row],[packages.second_hotel_check_in]])</f>
        <v>2026-05-30</v>
      </c>
      <c r="X454" s="1" t="str">
        <f>IF(pilgrims[[#This Row],[packages.second_hotel_name]]="",pilgrims[[#This Row],[packages.first_hotel_check_out]],pilgrims[[#This Row],[packages.second_hotel_check_out]])</f>
        <v>2026-06-02</v>
      </c>
      <c r="Y454" s="1" t="s">
        <v>4</v>
      </c>
      <c r="Z454" s="1" t="s">
        <v>261</v>
      </c>
      <c r="AA454" s="1" t="s">
        <v>1113</v>
      </c>
      <c r="AB454" s="1" t="s">
        <v>1457</v>
      </c>
      <c r="AC454" s="1" t="s">
        <v>1114</v>
      </c>
      <c r="AD454" s="1" t="s">
        <v>1431</v>
      </c>
      <c r="AE454" s="1" t="s">
        <v>1280</v>
      </c>
      <c r="AF454" s="4">
        <v>46165</v>
      </c>
      <c r="AG454" s="5">
        <v>0.61805555555555558</v>
      </c>
      <c r="AH454" s="1" t="s">
        <v>1432</v>
      </c>
      <c r="AI454" s="1" t="s">
        <v>1280</v>
      </c>
      <c r="AJ454" s="4">
        <v>46173</v>
      </c>
      <c r="AK454" s="5">
        <v>3.8194444444444448E-2</v>
      </c>
      <c r="AL454" s="1" t="s">
        <v>215</v>
      </c>
      <c r="AM454" s="1"/>
    </row>
    <row r="455" spans="1:39" x14ac:dyDescent="0.3">
      <c r="A455" s="1">
        <v>781825</v>
      </c>
      <c r="B455" s="1">
        <v>633457</v>
      </c>
      <c r="C455" s="1" t="s">
        <v>1188</v>
      </c>
      <c r="D455" s="38" t="s">
        <v>1972</v>
      </c>
      <c r="E455" s="4">
        <v>24877</v>
      </c>
      <c r="F455" s="1">
        <v>58</v>
      </c>
      <c r="G455" s="1" t="s">
        <v>212</v>
      </c>
      <c r="H455" s="1" t="s">
        <v>1509</v>
      </c>
      <c r="I455" s="1" t="s">
        <v>1509</v>
      </c>
      <c r="J455" s="1">
        <v>8530</v>
      </c>
      <c r="K455" s="1" t="s">
        <v>83</v>
      </c>
      <c r="L455" s="1" t="s">
        <v>19</v>
      </c>
      <c r="M455" s="1" t="s">
        <v>13</v>
      </c>
      <c r="N455" s="1" t="s">
        <v>5</v>
      </c>
      <c r="O455" s="1" t="s">
        <v>216</v>
      </c>
      <c r="P455" s="1" t="s">
        <v>53</v>
      </c>
      <c r="Q455" s="1" t="s">
        <v>19</v>
      </c>
      <c r="R455" s="1" t="s">
        <v>8</v>
      </c>
      <c r="S455" s="1" t="s">
        <v>15</v>
      </c>
      <c r="T455" s="1" t="s">
        <v>53</v>
      </c>
      <c r="U455" s="1" t="s">
        <v>8</v>
      </c>
      <c r="V455" s="1" t="str">
        <f>IF(pilgrims[[#This Row],[packages.second_hotel_name]]="",pilgrims[[#This Row],[packages.first_hotel_name]],pilgrims[[#This Row],[packages.second_hotel_name]])</f>
        <v>Swissotel Al Maqam Makkah</v>
      </c>
      <c r="W455" s="1" t="str">
        <f>IF(pilgrims[[#This Row],[packages.second_hotel_name]]="",pilgrims[[#This Row],[packages.first_hotel_check_in]],pilgrims[[#This Row],[packages.second_hotel_check_in]])</f>
        <v>2026-05-21</v>
      </c>
      <c r="X455" s="1" t="str">
        <f>IF(pilgrims[[#This Row],[packages.second_hotel_name]]="",pilgrims[[#This Row],[packages.first_hotel_check_out]],pilgrims[[#This Row],[packages.second_hotel_check_out]])</f>
        <v>2026-05-25</v>
      </c>
      <c r="Y455" s="1" t="s">
        <v>16</v>
      </c>
      <c r="Z455" s="1" t="s">
        <v>261</v>
      </c>
      <c r="AA455" s="1" t="s">
        <v>1118</v>
      </c>
      <c r="AB455" s="1" t="s">
        <v>1458</v>
      </c>
      <c r="AC455" s="1" t="s">
        <v>1119</v>
      </c>
      <c r="AD455" s="1" t="s">
        <v>1317</v>
      </c>
      <c r="AE455" s="1" t="s">
        <v>1281</v>
      </c>
      <c r="AF455" s="4">
        <v>46160</v>
      </c>
      <c r="AG455" s="5">
        <v>0.67361111111111116</v>
      </c>
      <c r="AH455" s="1" t="s">
        <v>1292</v>
      </c>
      <c r="AI455" s="1" t="s">
        <v>1280</v>
      </c>
      <c r="AJ455" s="4">
        <v>46173</v>
      </c>
      <c r="AK455" s="5">
        <v>2.7777777777777776E-2</v>
      </c>
      <c r="AL455" s="1" t="s">
        <v>215</v>
      </c>
      <c r="AM455" s="1"/>
    </row>
    <row r="456" spans="1:39" x14ac:dyDescent="0.3">
      <c r="A456" s="1">
        <v>498937</v>
      </c>
      <c r="B456" s="1">
        <v>393356</v>
      </c>
      <c r="C456" s="1" t="s">
        <v>1188</v>
      </c>
      <c r="D456" s="38" t="s">
        <v>1973</v>
      </c>
      <c r="E456" s="4">
        <v>31327</v>
      </c>
      <c r="F456" s="1">
        <v>40</v>
      </c>
      <c r="G456" s="1" t="s">
        <v>212</v>
      </c>
      <c r="H456" s="1" t="s">
        <v>1509</v>
      </c>
      <c r="I456" s="1" t="s">
        <v>1509</v>
      </c>
      <c r="J456" s="1">
        <v>8716</v>
      </c>
      <c r="K456" s="1" t="s">
        <v>98</v>
      </c>
      <c r="L456" s="1" t="s">
        <v>8</v>
      </c>
      <c r="M456" s="1" t="s">
        <v>4</v>
      </c>
      <c r="N456" s="1" t="s">
        <v>21</v>
      </c>
      <c r="O456" s="1" t="s">
        <v>216</v>
      </c>
      <c r="P456" s="1" t="s">
        <v>53</v>
      </c>
      <c r="Q456" s="1" t="s">
        <v>8</v>
      </c>
      <c r="R456" s="1" t="s">
        <v>16</v>
      </c>
      <c r="S456" s="1" t="s">
        <v>5</v>
      </c>
      <c r="T456" s="1" t="s">
        <v>53</v>
      </c>
      <c r="U456" s="1" t="s">
        <v>6</v>
      </c>
      <c r="V456" s="1" t="str">
        <f>IF(pilgrims[[#This Row],[packages.second_hotel_name]]="",pilgrims[[#This Row],[packages.first_hotel_name]],pilgrims[[#This Row],[packages.second_hotel_name]])</f>
        <v>Movenpick Anwar Almadinah Hotel</v>
      </c>
      <c r="W456" s="1" t="str">
        <f>IF(pilgrims[[#This Row],[packages.second_hotel_name]]="",pilgrims[[#This Row],[packages.first_hotel_check_in]],pilgrims[[#This Row],[packages.second_hotel_check_in]])</f>
        <v>2026-05-30</v>
      </c>
      <c r="X456" s="1" t="str">
        <f>IF(pilgrims[[#This Row],[packages.second_hotel_name]]="",pilgrims[[#This Row],[packages.first_hotel_check_out]],pilgrims[[#This Row],[packages.second_hotel_check_out]])</f>
        <v>2026-06-02</v>
      </c>
      <c r="Y456" s="1" t="s">
        <v>4</v>
      </c>
      <c r="Z456" s="1" t="s">
        <v>261</v>
      </c>
      <c r="AA456" s="1" t="s">
        <v>1123</v>
      </c>
      <c r="AB456" s="1" t="s">
        <v>1452</v>
      </c>
      <c r="AC456" s="1" t="s">
        <v>1124</v>
      </c>
      <c r="AD456" s="1" t="s">
        <v>1453</v>
      </c>
      <c r="AE456" s="1" t="s">
        <v>1280</v>
      </c>
      <c r="AF456" s="4">
        <v>46163</v>
      </c>
      <c r="AG456" s="5">
        <v>0.1388888888888889</v>
      </c>
      <c r="AH456" s="1" t="s">
        <v>1398</v>
      </c>
      <c r="AI456" s="1" t="s">
        <v>1281</v>
      </c>
      <c r="AJ456" s="4">
        <v>46175</v>
      </c>
      <c r="AK456" s="5">
        <v>0.19791666666666666</v>
      </c>
      <c r="AL456" s="1" t="s">
        <v>215</v>
      </c>
      <c r="AM456" s="1"/>
    </row>
    <row r="457" spans="1:39" x14ac:dyDescent="0.3">
      <c r="A457" s="1">
        <v>499001</v>
      </c>
      <c r="B457" s="1">
        <v>393356</v>
      </c>
      <c r="C457" s="1" t="s">
        <v>1189</v>
      </c>
      <c r="D457" s="38" t="s">
        <v>1974</v>
      </c>
      <c r="E457" s="4">
        <v>33649</v>
      </c>
      <c r="F457" s="1">
        <v>34</v>
      </c>
      <c r="G457" s="1" t="s">
        <v>212</v>
      </c>
      <c r="H457" s="1" t="s">
        <v>1509</v>
      </c>
      <c r="I457" s="1" t="s">
        <v>1506</v>
      </c>
      <c r="J457" s="1">
        <v>8716</v>
      </c>
      <c r="K457" s="1" t="s">
        <v>98</v>
      </c>
      <c r="L457" s="1" t="s">
        <v>8</v>
      </c>
      <c r="M457" s="1" t="s">
        <v>4</v>
      </c>
      <c r="N457" s="1" t="s">
        <v>21</v>
      </c>
      <c r="O457" s="1" t="s">
        <v>216</v>
      </c>
      <c r="P457" s="1" t="s">
        <v>53</v>
      </c>
      <c r="Q457" s="1" t="s">
        <v>8</v>
      </c>
      <c r="R457" s="1" t="s">
        <v>16</v>
      </c>
      <c r="S457" s="1" t="s">
        <v>5</v>
      </c>
      <c r="T457" s="1" t="s">
        <v>53</v>
      </c>
      <c r="U457" s="1" t="s">
        <v>6</v>
      </c>
      <c r="V457" s="1" t="str">
        <f>IF(pilgrims[[#This Row],[packages.second_hotel_name]]="",pilgrims[[#This Row],[packages.first_hotel_name]],pilgrims[[#This Row],[packages.second_hotel_name]])</f>
        <v>Movenpick Anwar Almadinah Hotel</v>
      </c>
      <c r="W457" s="1" t="str">
        <f>IF(pilgrims[[#This Row],[packages.second_hotel_name]]="",pilgrims[[#This Row],[packages.first_hotel_check_in]],pilgrims[[#This Row],[packages.second_hotel_check_in]])</f>
        <v>2026-05-30</v>
      </c>
      <c r="X457" s="1" t="str">
        <f>IF(pilgrims[[#This Row],[packages.second_hotel_name]]="",pilgrims[[#This Row],[packages.first_hotel_check_out]],pilgrims[[#This Row],[packages.second_hotel_check_out]])</f>
        <v>2026-06-02</v>
      </c>
      <c r="Y457" s="1" t="s">
        <v>4</v>
      </c>
      <c r="Z457" s="1" t="s">
        <v>261</v>
      </c>
      <c r="AA457" s="1" t="s">
        <v>1123</v>
      </c>
      <c r="AB457" s="1" t="s">
        <v>1452</v>
      </c>
      <c r="AC457" s="1" t="s">
        <v>1124</v>
      </c>
      <c r="AD457" s="1" t="s">
        <v>1453</v>
      </c>
      <c r="AE457" s="1" t="s">
        <v>1280</v>
      </c>
      <c r="AF457" s="4">
        <v>46163</v>
      </c>
      <c r="AG457" s="5">
        <v>0.1388888888888889</v>
      </c>
      <c r="AH457" s="1" t="s">
        <v>1398</v>
      </c>
      <c r="AI457" s="1" t="s">
        <v>1281</v>
      </c>
      <c r="AJ457" s="4">
        <v>46175</v>
      </c>
      <c r="AK457" s="5">
        <v>0.19791666666666666</v>
      </c>
      <c r="AL457" s="1" t="s">
        <v>215</v>
      </c>
      <c r="AM457" s="1"/>
    </row>
    <row r="458" spans="1:39" x14ac:dyDescent="0.3">
      <c r="A458" s="1">
        <v>499005</v>
      </c>
      <c r="B458" s="1">
        <v>393356</v>
      </c>
      <c r="C458" s="1" t="s">
        <v>1188</v>
      </c>
      <c r="D458" s="38" t="s">
        <v>1975</v>
      </c>
      <c r="E458" s="4">
        <v>28581</v>
      </c>
      <c r="F458" s="1">
        <v>47</v>
      </c>
      <c r="G458" s="1" t="s">
        <v>212</v>
      </c>
      <c r="H458" s="1" t="s">
        <v>1509</v>
      </c>
      <c r="I458" s="1" t="s">
        <v>1509</v>
      </c>
      <c r="J458" s="1">
        <v>8716</v>
      </c>
      <c r="K458" s="1" t="s">
        <v>98</v>
      </c>
      <c r="L458" s="1" t="s">
        <v>8</v>
      </c>
      <c r="M458" s="1" t="s">
        <v>4</v>
      </c>
      <c r="N458" s="1" t="s">
        <v>21</v>
      </c>
      <c r="O458" s="1" t="s">
        <v>216</v>
      </c>
      <c r="P458" s="1" t="s">
        <v>53</v>
      </c>
      <c r="Q458" s="1" t="s">
        <v>8</v>
      </c>
      <c r="R458" s="1" t="s">
        <v>16</v>
      </c>
      <c r="S458" s="1" t="s">
        <v>5</v>
      </c>
      <c r="T458" s="1" t="s">
        <v>53</v>
      </c>
      <c r="U458" s="1" t="s">
        <v>6</v>
      </c>
      <c r="V458" s="1" t="str">
        <f>IF(pilgrims[[#This Row],[packages.second_hotel_name]]="",pilgrims[[#This Row],[packages.first_hotel_name]],pilgrims[[#This Row],[packages.second_hotel_name]])</f>
        <v>Movenpick Anwar Almadinah Hotel</v>
      </c>
      <c r="W458" s="1" t="str">
        <f>IF(pilgrims[[#This Row],[packages.second_hotel_name]]="",pilgrims[[#This Row],[packages.first_hotel_check_in]],pilgrims[[#This Row],[packages.second_hotel_check_in]])</f>
        <v>2026-05-30</v>
      </c>
      <c r="X458" s="1" t="str">
        <f>IF(pilgrims[[#This Row],[packages.second_hotel_name]]="",pilgrims[[#This Row],[packages.first_hotel_check_out]],pilgrims[[#This Row],[packages.second_hotel_check_out]])</f>
        <v>2026-06-02</v>
      </c>
      <c r="Y458" s="1" t="s">
        <v>4</v>
      </c>
      <c r="Z458" s="1" t="s">
        <v>261</v>
      </c>
      <c r="AA458" s="1" t="s">
        <v>1123</v>
      </c>
      <c r="AB458" s="1" t="s">
        <v>1452</v>
      </c>
      <c r="AC458" s="1" t="s">
        <v>1124</v>
      </c>
      <c r="AD458" s="1" t="s">
        <v>1453</v>
      </c>
      <c r="AE458" s="1" t="s">
        <v>1280</v>
      </c>
      <c r="AF458" s="4">
        <v>46163</v>
      </c>
      <c r="AG458" s="5">
        <v>0.1388888888888889</v>
      </c>
      <c r="AH458" s="1" t="s">
        <v>1398</v>
      </c>
      <c r="AI458" s="1" t="s">
        <v>1281</v>
      </c>
      <c r="AJ458" s="4">
        <v>46175</v>
      </c>
      <c r="AK458" s="5">
        <v>0.19791666666666666</v>
      </c>
      <c r="AL458" s="1" t="s">
        <v>215</v>
      </c>
      <c r="AM458" s="1"/>
    </row>
    <row r="459" spans="1:39" x14ac:dyDescent="0.3">
      <c r="A459" s="1">
        <v>781897</v>
      </c>
      <c r="B459" s="1">
        <v>393356</v>
      </c>
      <c r="C459" s="1" t="s">
        <v>1189</v>
      </c>
      <c r="D459" s="38" t="s">
        <v>1976</v>
      </c>
      <c r="E459" s="4">
        <v>30498</v>
      </c>
      <c r="F459" s="1">
        <v>42</v>
      </c>
      <c r="G459" s="1" t="s">
        <v>212</v>
      </c>
      <c r="H459" s="1" t="s">
        <v>1509</v>
      </c>
      <c r="I459" s="1" t="s">
        <v>1509</v>
      </c>
      <c r="J459" s="1">
        <v>8716</v>
      </c>
      <c r="K459" s="1" t="s">
        <v>98</v>
      </c>
      <c r="L459" s="1" t="s">
        <v>8</v>
      </c>
      <c r="M459" s="1" t="s">
        <v>4</v>
      </c>
      <c r="N459" s="1" t="s">
        <v>21</v>
      </c>
      <c r="O459" s="1" t="s">
        <v>216</v>
      </c>
      <c r="P459" s="1" t="s">
        <v>53</v>
      </c>
      <c r="Q459" s="1" t="s">
        <v>8</v>
      </c>
      <c r="R459" s="1" t="s">
        <v>16</v>
      </c>
      <c r="S459" s="1" t="s">
        <v>5</v>
      </c>
      <c r="T459" s="1" t="s">
        <v>53</v>
      </c>
      <c r="U459" s="1" t="s">
        <v>6</v>
      </c>
      <c r="V459" s="1" t="str">
        <f>IF(pilgrims[[#This Row],[packages.second_hotel_name]]="",pilgrims[[#This Row],[packages.first_hotel_name]],pilgrims[[#This Row],[packages.second_hotel_name]])</f>
        <v>Movenpick Anwar Almadinah Hotel</v>
      </c>
      <c r="W459" s="1" t="str">
        <f>IF(pilgrims[[#This Row],[packages.second_hotel_name]]="",pilgrims[[#This Row],[packages.first_hotel_check_in]],pilgrims[[#This Row],[packages.second_hotel_check_in]])</f>
        <v>2026-05-30</v>
      </c>
      <c r="X459" s="1" t="str">
        <f>IF(pilgrims[[#This Row],[packages.second_hotel_name]]="",pilgrims[[#This Row],[packages.first_hotel_check_out]],pilgrims[[#This Row],[packages.second_hotel_check_out]])</f>
        <v>2026-06-02</v>
      </c>
      <c r="Y459" s="1" t="s">
        <v>4</v>
      </c>
      <c r="Z459" s="1" t="s">
        <v>261</v>
      </c>
      <c r="AA459" s="1" t="s">
        <v>1123</v>
      </c>
      <c r="AB459" s="1" t="s">
        <v>1452</v>
      </c>
      <c r="AC459" s="1" t="s">
        <v>1124</v>
      </c>
      <c r="AD459" s="1" t="s">
        <v>1453</v>
      </c>
      <c r="AE459" s="1" t="s">
        <v>1280</v>
      </c>
      <c r="AF459" s="4">
        <v>46163</v>
      </c>
      <c r="AG459" s="5">
        <v>0.1388888888888889</v>
      </c>
      <c r="AH459" s="1" t="s">
        <v>1398</v>
      </c>
      <c r="AI459" s="1" t="s">
        <v>1281</v>
      </c>
      <c r="AJ459" s="4">
        <v>46175</v>
      </c>
      <c r="AK459" s="5">
        <v>0.19791666666666666</v>
      </c>
      <c r="AL459" s="1" t="s">
        <v>215</v>
      </c>
      <c r="AM459" s="1"/>
    </row>
    <row r="460" spans="1:39" x14ac:dyDescent="0.3">
      <c r="A460" s="1">
        <v>154540</v>
      </c>
      <c r="B460" s="1">
        <v>118516</v>
      </c>
      <c r="C460" s="1" t="s">
        <v>1189</v>
      </c>
      <c r="D460" s="38" t="s">
        <v>1977</v>
      </c>
      <c r="E460" s="4">
        <v>23233</v>
      </c>
      <c r="F460" s="1">
        <v>62</v>
      </c>
      <c r="G460" s="1" t="s">
        <v>212</v>
      </c>
      <c r="H460" s="1" t="s">
        <v>1504</v>
      </c>
      <c r="I460" s="1" t="s">
        <v>1504</v>
      </c>
      <c r="J460" s="1">
        <v>8570</v>
      </c>
      <c r="K460" s="1" t="s">
        <v>103</v>
      </c>
      <c r="L460" s="1" t="s">
        <v>8</v>
      </c>
      <c r="M460" s="1" t="s">
        <v>9</v>
      </c>
      <c r="N460" s="1" t="s">
        <v>10</v>
      </c>
      <c r="O460" s="1" t="s">
        <v>216</v>
      </c>
      <c r="P460" s="1" t="s">
        <v>52</v>
      </c>
      <c r="Q460" s="1" t="s">
        <v>8</v>
      </c>
      <c r="R460" s="1" t="s">
        <v>11</v>
      </c>
      <c r="S460" s="1" t="s">
        <v>21</v>
      </c>
      <c r="T460" s="1" t="s">
        <v>53</v>
      </c>
      <c r="U460" s="1" t="s">
        <v>13</v>
      </c>
      <c r="V460" s="1" t="str">
        <f>IF(pilgrims[[#This Row],[packages.second_hotel_name]]="",pilgrims[[#This Row],[packages.first_hotel_name]],pilgrims[[#This Row],[packages.second_hotel_name]])</f>
        <v>Swissotel Makkah Hotel</v>
      </c>
      <c r="W460" s="1" t="str">
        <f>IF(pilgrims[[#This Row],[packages.second_hotel_name]]="",pilgrims[[#This Row],[packages.first_hotel_check_in]],pilgrims[[#This Row],[packages.second_hotel_check_in]])</f>
        <v>2026-05-31</v>
      </c>
      <c r="X460" s="1" t="str">
        <f>IF(pilgrims[[#This Row],[packages.second_hotel_name]]="",pilgrims[[#This Row],[packages.first_hotel_check_out]],pilgrims[[#This Row],[packages.second_hotel_check_out]])</f>
        <v>2026-06-06</v>
      </c>
      <c r="Y460" s="1" t="s">
        <v>9</v>
      </c>
      <c r="Z460" s="1" t="s">
        <v>261</v>
      </c>
      <c r="AA460" s="1" t="s">
        <v>1131</v>
      </c>
      <c r="AB460" s="1" t="s">
        <v>1463</v>
      </c>
      <c r="AC460" s="1" t="s">
        <v>1132</v>
      </c>
      <c r="AD460" s="1" t="s">
        <v>1371</v>
      </c>
      <c r="AE460" s="1" t="s">
        <v>1281</v>
      </c>
      <c r="AF460" s="4">
        <v>46163</v>
      </c>
      <c r="AG460" s="5">
        <v>0.18402777777777779</v>
      </c>
      <c r="AH460" s="1" t="s">
        <v>1329</v>
      </c>
      <c r="AI460" s="1" t="s">
        <v>1280</v>
      </c>
      <c r="AJ460" s="4">
        <v>46179</v>
      </c>
      <c r="AK460" s="5">
        <v>0.54166666666666663</v>
      </c>
      <c r="AL460" s="1" t="s">
        <v>215</v>
      </c>
      <c r="AM460" s="1"/>
    </row>
    <row r="461" spans="1:39" x14ac:dyDescent="0.3">
      <c r="A461" s="1">
        <v>499764</v>
      </c>
      <c r="B461" s="1">
        <v>394069</v>
      </c>
      <c r="C461" s="1" t="s">
        <v>1188</v>
      </c>
      <c r="D461" s="38" t="s">
        <v>1978</v>
      </c>
      <c r="E461" s="4">
        <v>25890</v>
      </c>
      <c r="F461" s="1">
        <v>55</v>
      </c>
      <c r="G461" s="1" t="s">
        <v>212</v>
      </c>
      <c r="H461" s="1" t="s">
        <v>1510</v>
      </c>
      <c r="I461" s="1" t="s">
        <v>1510</v>
      </c>
      <c r="J461" s="1">
        <v>8570</v>
      </c>
      <c r="K461" s="1" t="s">
        <v>103</v>
      </c>
      <c r="L461" s="1" t="s">
        <v>8</v>
      </c>
      <c r="M461" s="1" t="s">
        <v>9</v>
      </c>
      <c r="N461" s="1" t="s">
        <v>10</v>
      </c>
      <c r="O461" s="1" t="s">
        <v>216</v>
      </c>
      <c r="P461" s="1" t="s">
        <v>52</v>
      </c>
      <c r="Q461" s="1" t="s">
        <v>8</v>
      </c>
      <c r="R461" s="1" t="s">
        <v>11</v>
      </c>
      <c r="S461" s="1" t="s">
        <v>21</v>
      </c>
      <c r="T461" s="1" t="s">
        <v>53</v>
      </c>
      <c r="U461" s="1" t="s">
        <v>13</v>
      </c>
      <c r="V461" s="1" t="str">
        <f>IF(pilgrims[[#This Row],[packages.second_hotel_name]]="",pilgrims[[#This Row],[packages.first_hotel_name]],pilgrims[[#This Row],[packages.second_hotel_name]])</f>
        <v>Swissotel Makkah Hotel</v>
      </c>
      <c r="W461" s="1" t="str">
        <f>IF(pilgrims[[#This Row],[packages.second_hotel_name]]="",pilgrims[[#This Row],[packages.first_hotel_check_in]],pilgrims[[#This Row],[packages.second_hotel_check_in]])</f>
        <v>2026-05-31</v>
      </c>
      <c r="X461" s="1" t="str">
        <f>IF(pilgrims[[#This Row],[packages.second_hotel_name]]="",pilgrims[[#This Row],[packages.first_hotel_check_out]],pilgrims[[#This Row],[packages.second_hotel_check_out]])</f>
        <v>2026-06-06</v>
      </c>
      <c r="Y461" s="1" t="s">
        <v>9</v>
      </c>
      <c r="Z461" s="1" t="s">
        <v>261</v>
      </c>
      <c r="AA461" s="1" t="s">
        <v>1137</v>
      </c>
      <c r="AB461" s="1" t="s">
        <v>1462</v>
      </c>
      <c r="AC461" s="1" t="s">
        <v>1138</v>
      </c>
      <c r="AD461" s="1" t="s">
        <v>1371</v>
      </c>
      <c r="AE461" s="1" t="s">
        <v>1281</v>
      </c>
      <c r="AF461" s="4">
        <v>46163</v>
      </c>
      <c r="AG461" s="5">
        <v>0.18402777777777779</v>
      </c>
      <c r="AH461" s="1" t="s">
        <v>1372</v>
      </c>
      <c r="AI461" s="1" t="s">
        <v>1280</v>
      </c>
      <c r="AJ461" s="4">
        <v>46179</v>
      </c>
      <c r="AK461" s="5">
        <v>6.9444444444444448E-2</v>
      </c>
      <c r="AL461" s="1" t="s">
        <v>215</v>
      </c>
      <c r="AM461" s="1"/>
    </row>
    <row r="462" spans="1:39" x14ac:dyDescent="0.3">
      <c r="A462" s="1">
        <v>667783</v>
      </c>
      <c r="B462" s="1">
        <v>394069</v>
      </c>
      <c r="C462" s="1" t="s">
        <v>1189</v>
      </c>
      <c r="D462" s="38" t="s">
        <v>1979</v>
      </c>
      <c r="E462" s="4">
        <v>26374</v>
      </c>
      <c r="F462" s="1">
        <v>53</v>
      </c>
      <c r="G462" s="1" t="s">
        <v>212</v>
      </c>
      <c r="H462" s="1" t="s">
        <v>1510</v>
      </c>
      <c r="I462" s="1" t="s">
        <v>1518</v>
      </c>
      <c r="J462" s="1">
        <v>8570</v>
      </c>
      <c r="K462" s="1" t="s">
        <v>103</v>
      </c>
      <c r="L462" s="1" t="s">
        <v>8</v>
      </c>
      <c r="M462" s="1" t="s">
        <v>9</v>
      </c>
      <c r="N462" s="1" t="s">
        <v>10</v>
      </c>
      <c r="O462" s="1" t="s">
        <v>216</v>
      </c>
      <c r="P462" s="1" t="s">
        <v>52</v>
      </c>
      <c r="Q462" s="1" t="s">
        <v>8</v>
      </c>
      <c r="R462" s="1" t="s">
        <v>11</v>
      </c>
      <c r="S462" s="1" t="s">
        <v>21</v>
      </c>
      <c r="T462" s="1" t="s">
        <v>53</v>
      </c>
      <c r="U462" s="1" t="s">
        <v>13</v>
      </c>
      <c r="V462" s="1" t="str">
        <f>IF(pilgrims[[#This Row],[packages.second_hotel_name]]="",pilgrims[[#This Row],[packages.first_hotel_name]],pilgrims[[#This Row],[packages.second_hotel_name]])</f>
        <v>Swissotel Makkah Hotel</v>
      </c>
      <c r="W462" s="1" t="str">
        <f>IF(pilgrims[[#This Row],[packages.second_hotel_name]]="",pilgrims[[#This Row],[packages.first_hotel_check_in]],pilgrims[[#This Row],[packages.second_hotel_check_in]])</f>
        <v>2026-05-31</v>
      </c>
      <c r="X462" s="1" t="str">
        <f>IF(pilgrims[[#This Row],[packages.second_hotel_name]]="",pilgrims[[#This Row],[packages.first_hotel_check_out]],pilgrims[[#This Row],[packages.second_hotel_check_out]])</f>
        <v>2026-06-06</v>
      </c>
      <c r="Y462" s="1" t="s">
        <v>9</v>
      </c>
      <c r="Z462" s="1" t="s">
        <v>261</v>
      </c>
      <c r="AA462" s="1" t="s">
        <v>1137</v>
      </c>
      <c r="AB462" s="1" t="s">
        <v>1462</v>
      </c>
      <c r="AC462" s="1" t="s">
        <v>1138</v>
      </c>
      <c r="AD462" s="1" t="s">
        <v>1371</v>
      </c>
      <c r="AE462" s="1" t="s">
        <v>1281</v>
      </c>
      <c r="AF462" s="4">
        <v>46163</v>
      </c>
      <c r="AG462" s="5">
        <v>0.18402777777777779</v>
      </c>
      <c r="AH462" s="1" t="s">
        <v>1372</v>
      </c>
      <c r="AI462" s="1" t="s">
        <v>1280</v>
      </c>
      <c r="AJ462" s="4">
        <v>46179</v>
      </c>
      <c r="AK462" s="5">
        <v>6.9444444444444448E-2</v>
      </c>
      <c r="AL462" s="1" t="s">
        <v>215</v>
      </c>
      <c r="AM462" s="1"/>
    </row>
    <row r="463" spans="1:39" x14ac:dyDescent="0.3">
      <c r="A463" s="1">
        <v>353674</v>
      </c>
      <c r="B463" s="1">
        <v>278619</v>
      </c>
      <c r="C463" s="1" t="s">
        <v>1188</v>
      </c>
      <c r="D463" s="38" t="s">
        <v>1980</v>
      </c>
      <c r="E463" s="4">
        <v>30626</v>
      </c>
      <c r="F463" s="1">
        <v>42</v>
      </c>
      <c r="G463" s="1" t="s">
        <v>212</v>
      </c>
      <c r="H463" s="1" t="s">
        <v>1504</v>
      </c>
      <c r="I463" s="1" t="s">
        <v>1504</v>
      </c>
      <c r="J463" s="1">
        <v>8676</v>
      </c>
      <c r="K463" s="1" t="s">
        <v>104</v>
      </c>
      <c r="L463" s="1" t="s">
        <v>3</v>
      </c>
      <c r="M463" s="1" t="s">
        <v>4</v>
      </c>
      <c r="N463" s="1" t="s">
        <v>5</v>
      </c>
      <c r="O463" s="1" t="s">
        <v>216</v>
      </c>
      <c r="P463" s="1" t="s">
        <v>53</v>
      </c>
      <c r="Q463" s="1" t="s">
        <v>6</v>
      </c>
      <c r="R463" s="1" t="s">
        <v>4</v>
      </c>
      <c r="S463" s="1"/>
      <c r="T463" s="1"/>
      <c r="U463" s="1"/>
      <c r="V463" s="1" t="str">
        <f>IF(pilgrims[[#This Row],[packages.second_hotel_name]]="",pilgrims[[#This Row],[packages.first_hotel_name]],pilgrims[[#This Row],[packages.second_hotel_name]])</f>
        <v>Movenpick Anwar Almadinah Hotel</v>
      </c>
      <c r="W463" s="1" t="str">
        <f>IF(pilgrims[[#This Row],[packages.second_hotel_name]]="",pilgrims[[#This Row],[packages.first_hotel_check_in]],pilgrims[[#This Row],[packages.second_hotel_check_in]])</f>
        <v>2026-05-30</v>
      </c>
      <c r="X463" s="1" t="str">
        <f>IF(pilgrims[[#This Row],[packages.second_hotel_name]]="",pilgrims[[#This Row],[packages.first_hotel_check_out]],pilgrims[[#This Row],[packages.second_hotel_check_out]])</f>
        <v>2026-06-02</v>
      </c>
      <c r="Y463" s="1"/>
      <c r="Z463" s="1" t="s">
        <v>261</v>
      </c>
      <c r="AA463" s="1" t="s">
        <v>1145</v>
      </c>
      <c r="AB463" s="1" t="s">
        <v>1466</v>
      </c>
      <c r="AC463" s="1" t="s">
        <v>1146</v>
      </c>
      <c r="AD463" s="1" t="s">
        <v>1446</v>
      </c>
      <c r="AE463" s="1" t="s">
        <v>1280</v>
      </c>
      <c r="AF463" s="4">
        <v>46165</v>
      </c>
      <c r="AG463" s="5">
        <v>0.98611111111111116</v>
      </c>
      <c r="AH463" s="1" t="s">
        <v>1447</v>
      </c>
      <c r="AI463" s="1" t="s">
        <v>1280</v>
      </c>
      <c r="AJ463" s="4">
        <v>46175</v>
      </c>
      <c r="AK463" s="5">
        <v>0.34722222222222221</v>
      </c>
      <c r="AL463" s="1" t="s">
        <v>215</v>
      </c>
      <c r="AM463" s="1"/>
    </row>
    <row r="464" spans="1:39" x14ac:dyDescent="0.3">
      <c r="A464" s="1">
        <v>840272</v>
      </c>
      <c r="B464" s="1">
        <v>679294</v>
      </c>
      <c r="C464" s="1" t="s">
        <v>1188</v>
      </c>
      <c r="D464" s="38" t="s">
        <v>1981</v>
      </c>
      <c r="E464" s="4">
        <v>17424</v>
      </c>
      <c r="F464" s="1">
        <v>78</v>
      </c>
      <c r="G464" s="1" t="s">
        <v>212</v>
      </c>
      <c r="H464" s="1" t="s">
        <v>1511</v>
      </c>
      <c r="I464" s="1" t="s">
        <v>1511</v>
      </c>
      <c r="J464" s="1">
        <v>8531</v>
      </c>
      <c r="K464" s="1" t="s">
        <v>84</v>
      </c>
      <c r="L464" s="1" t="s">
        <v>8</v>
      </c>
      <c r="M464" s="1" t="s">
        <v>9</v>
      </c>
      <c r="N464" s="1" t="s">
        <v>20</v>
      </c>
      <c r="O464" s="1" t="s">
        <v>216</v>
      </c>
      <c r="P464" s="1" t="s">
        <v>53</v>
      </c>
      <c r="Q464" s="1" t="s">
        <v>8</v>
      </c>
      <c r="R464" s="1" t="s">
        <v>11</v>
      </c>
      <c r="S464" s="1" t="s">
        <v>12</v>
      </c>
      <c r="T464" s="1" t="s">
        <v>53</v>
      </c>
      <c r="U464" s="1" t="s">
        <v>13</v>
      </c>
      <c r="V464" s="1" t="str">
        <f>IF(pilgrims[[#This Row],[packages.second_hotel_name]]="",pilgrims[[#This Row],[packages.first_hotel_name]],pilgrims[[#This Row],[packages.second_hotel_name]])</f>
        <v>Makkah Clock Royal Tower A Fairmont Hotel</v>
      </c>
      <c r="W464" s="1" t="str">
        <f>IF(pilgrims[[#This Row],[packages.second_hotel_name]]="",pilgrims[[#This Row],[packages.first_hotel_check_in]],pilgrims[[#This Row],[packages.second_hotel_check_in]])</f>
        <v>2026-05-31</v>
      </c>
      <c r="X464" s="1" t="str">
        <f>IF(pilgrims[[#This Row],[packages.second_hotel_name]]="",pilgrims[[#This Row],[packages.first_hotel_check_out]],pilgrims[[#This Row],[packages.second_hotel_check_out]])</f>
        <v>2026-06-06</v>
      </c>
      <c r="Y464" s="1" t="s">
        <v>9</v>
      </c>
      <c r="Z464" s="1" t="s">
        <v>261</v>
      </c>
      <c r="AA464" s="1" t="s">
        <v>1150</v>
      </c>
      <c r="AB464" s="1" t="s">
        <v>1464</v>
      </c>
      <c r="AC464" s="1" t="s">
        <v>1151</v>
      </c>
      <c r="AD464" s="1" t="s">
        <v>1328</v>
      </c>
      <c r="AE464" s="1" t="s">
        <v>1281</v>
      </c>
      <c r="AF464" s="4">
        <v>46163</v>
      </c>
      <c r="AG464" s="5">
        <v>1.7361111111111112E-2</v>
      </c>
      <c r="AH464" s="1" t="s">
        <v>1429</v>
      </c>
      <c r="AI464" s="1" t="s">
        <v>1280</v>
      </c>
      <c r="AJ464" s="4">
        <v>46179</v>
      </c>
      <c r="AK464" s="5">
        <v>0.25347222222222221</v>
      </c>
      <c r="AL464" s="1" t="s">
        <v>215</v>
      </c>
      <c r="AM464" s="1"/>
    </row>
    <row r="465" spans="1:39" x14ac:dyDescent="0.3">
      <c r="A465" s="1">
        <v>840463</v>
      </c>
      <c r="B465" s="1">
        <v>679294</v>
      </c>
      <c r="C465" s="1" t="s">
        <v>1189</v>
      </c>
      <c r="D465" s="38" t="s">
        <v>1982</v>
      </c>
      <c r="E465" s="4">
        <v>19191</v>
      </c>
      <c r="F465" s="1">
        <v>73</v>
      </c>
      <c r="G465" s="1" t="s">
        <v>212</v>
      </c>
      <c r="H465" s="1" t="s">
        <v>1511</v>
      </c>
      <c r="I465" s="1" t="s">
        <v>1511</v>
      </c>
      <c r="J465" s="1">
        <v>8531</v>
      </c>
      <c r="K465" s="1" t="s">
        <v>84</v>
      </c>
      <c r="L465" s="1" t="s">
        <v>8</v>
      </c>
      <c r="M465" s="1" t="s">
        <v>9</v>
      </c>
      <c r="N465" s="1" t="s">
        <v>20</v>
      </c>
      <c r="O465" s="1" t="s">
        <v>216</v>
      </c>
      <c r="P465" s="1" t="s">
        <v>53</v>
      </c>
      <c r="Q465" s="1" t="s">
        <v>8</v>
      </c>
      <c r="R465" s="1" t="s">
        <v>11</v>
      </c>
      <c r="S465" s="1" t="s">
        <v>12</v>
      </c>
      <c r="T465" s="1" t="s">
        <v>53</v>
      </c>
      <c r="U465" s="1" t="s">
        <v>13</v>
      </c>
      <c r="V465" s="1" t="str">
        <f>IF(pilgrims[[#This Row],[packages.second_hotel_name]]="",pilgrims[[#This Row],[packages.first_hotel_name]],pilgrims[[#This Row],[packages.second_hotel_name]])</f>
        <v>Makkah Clock Royal Tower A Fairmont Hotel</v>
      </c>
      <c r="W465" s="1" t="str">
        <f>IF(pilgrims[[#This Row],[packages.second_hotel_name]]="",pilgrims[[#This Row],[packages.first_hotel_check_in]],pilgrims[[#This Row],[packages.second_hotel_check_in]])</f>
        <v>2026-05-31</v>
      </c>
      <c r="X465" s="1" t="str">
        <f>IF(pilgrims[[#This Row],[packages.second_hotel_name]]="",pilgrims[[#This Row],[packages.first_hotel_check_out]],pilgrims[[#This Row],[packages.second_hotel_check_out]])</f>
        <v>2026-06-06</v>
      </c>
      <c r="Y465" s="1" t="s">
        <v>9</v>
      </c>
      <c r="Z465" s="1" t="s">
        <v>261</v>
      </c>
      <c r="AA465" s="1" t="s">
        <v>1150</v>
      </c>
      <c r="AB465" s="1" t="s">
        <v>1464</v>
      </c>
      <c r="AC465" s="1" t="s">
        <v>1151</v>
      </c>
      <c r="AD465" s="1" t="s">
        <v>1328</v>
      </c>
      <c r="AE465" s="1" t="s">
        <v>1281</v>
      </c>
      <c r="AF465" s="4">
        <v>46163</v>
      </c>
      <c r="AG465" s="5">
        <v>1.7361111111111112E-2</v>
      </c>
      <c r="AH465" s="1" t="s">
        <v>1429</v>
      </c>
      <c r="AI465" s="1" t="s">
        <v>1280</v>
      </c>
      <c r="AJ465" s="4">
        <v>46179</v>
      </c>
      <c r="AK465" s="5">
        <v>0.25347222222222221</v>
      </c>
      <c r="AL465" s="1" t="s">
        <v>215</v>
      </c>
      <c r="AM465" s="1"/>
    </row>
    <row r="466" spans="1:39" x14ac:dyDescent="0.3">
      <c r="A466" s="1">
        <v>628802</v>
      </c>
      <c r="B466" s="1">
        <v>509328</v>
      </c>
      <c r="C466" s="1" t="s">
        <v>1188</v>
      </c>
      <c r="D466" s="38" t="s">
        <v>1983</v>
      </c>
      <c r="E466" s="4">
        <v>29270</v>
      </c>
      <c r="F466" s="1">
        <v>46</v>
      </c>
      <c r="G466" s="1" t="s">
        <v>212</v>
      </c>
      <c r="H466" s="1" t="s">
        <v>1502</v>
      </c>
      <c r="I466" s="1" t="s">
        <v>1502</v>
      </c>
      <c r="J466" s="1">
        <v>8728</v>
      </c>
      <c r="K466" s="1" t="s">
        <v>97</v>
      </c>
      <c r="L466" s="1" t="s">
        <v>8</v>
      </c>
      <c r="M466" s="1" t="s">
        <v>4</v>
      </c>
      <c r="N466" s="1" t="s">
        <v>12</v>
      </c>
      <c r="O466" s="1" t="s">
        <v>216</v>
      </c>
      <c r="P466" s="1" t="s">
        <v>53</v>
      </c>
      <c r="Q466" s="1" t="s">
        <v>8</v>
      </c>
      <c r="R466" s="1" t="s">
        <v>16</v>
      </c>
      <c r="S466" s="1" t="s">
        <v>28</v>
      </c>
      <c r="T466" s="1" t="s">
        <v>52</v>
      </c>
      <c r="U466" s="1" t="s">
        <v>6</v>
      </c>
      <c r="V466" s="1" t="str">
        <f>IF(pilgrims[[#This Row],[packages.second_hotel_name]]="",pilgrims[[#This Row],[packages.first_hotel_name]],pilgrims[[#This Row],[packages.second_hotel_name]])</f>
        <v>Madinah Hilton Hotel</v>
      </c>
      <c r="W466" s="1" t="str">
        <f>IF(pilgrims[[#This Row],[packages.second_hotel_name]]="",pilgrims[[#This Row],[packages.first_hotel_check_in]],pilgrims[[#This Row],[packages.second_hotel_check_in]])</f>
        <v>2026-05-30</v>
      </c>
      <c r="X466" s="1" t="str">
        <f>IF(pilgrims[[#This Row],[packages.second_hotel_name]]="",pilgrims[[#This Row],[packages.first_hotel_check_out]],pilgrims[[#This Row],[packages.second_hotel_check_out]])</f>
        <v>2026-06-02</v>
      </c>
      <c r="Y466" s="1" t="s">
        <v>4</v>
      </c>
      <c r="Z466" s="1" t="s">
        <v>261</v>
      </c>
      <c r="AA466" s="1" t="s">
        <v>389</v>
      </c>
      <c r="AB466" s="1"/>
      <c r="AC466" s="1"/>
      <c r="AD466" s="1"/>
      <c r="AE466" s="1"/>
      <c r="AF466" s="4"/>
      <c r="AG466" s="5"/>
      <c r="AH466" s="1"/>
      <c r="AI466" s="1"/>
      <c r="AJ466" s="4"/>
      <c r="AK466" s="5"/>
      <c r="AL466" s="1" t="s">
        <v>215</v>
      </c>
      <c r="AM466" s="1"/>
    </row>
    <row r="467" spans="1:39" x14ac:dyDescent="0.3">
      <c r="A467" s="1">
        <v>669448</v>
      </c>
      <c r="B467" s="1">
        <v>509328</v>
      </c>
      <c r="C467" s="1" t="s">
        <v>1189</v>
      </c>
      <c r="D467" s="38" t="s">
        <v>1984</v>
      </c>
      <c r="E467" s="4">
        <v>33777</v>
      </c>
      <c r="F467" s="1">
        <v>33</v>
      </c>
      <c r="G467" s="1" t="s">
        <v>212</v>
      </c>
      <c r="H467" s="1" t="s">
        <v>1502</v>
      </c>
      <c r="I467" s="1" t="s">
        <v>1502</v>
      </c>
      <c r="J467" s="1">
        <v>8728</v>
      </c>
      <c r="K467" s="1" t="s">
        <v>97</v>
      </c>
      <c r="L467" s="1" t="s">
        <v>8</v>
      </c>
      <c r="M467" s="1" t="s">
        <v>4</v>
      </c>
      <c r="N467" s="1" t="s">
        <v>12</v>
      </c>
      <c r="O467" s="1" t="s">
        <v>216</v>
      </c>
      <c r="P467" s="1" t="s">
        <v>53</v>
      </c>
      <c r="Q467" s="1" t="s">
        <v>8</v>
      </c>
      <c r="R467" s="1" t="s">
        <v>16</v>
      </c>
      <c r="S467" s="1" t="s">
        <v>28</v>
      </c>
      <c r="T467" s="1" t="s">
        <v>52</v>
      </c>
      <c r="U467" s="1" t="s">
        <v>6</v>
      </c>
      <c r="V467" s="1" t="str">
        <f>IF(pilgrims[[#This Row],[packages.second_hotel_name]]="",pilgrims[[#This Row],[packages.first_hotel_name]],pilgrims[[#This Row],[packages.second_hotel_name]])</f>
        <v>Madinah Hilton Hotel</v>
      </c>
      <c r="W467" s="1" t="str">
        <f>IF(pilgrims[[#This Row],[packages.second_hotel_name]]="",pilgrims[[#This Row],[packages.first_hotel_check_in]],pilgrims[[#This Row],[packages.second_hotel_check_in]])</f>
        <v>2026-05-30</v>
      </c>
      <c r="X467" s="1" t="str">
        <f>IF(pilgrims[[#This Row],[packages.second_hotel_name]]="",pilgrims[[#This Row],[packages.first_hotel_check_out]],pilgrims[[#This Row],[packages.second_hotel_check_out]])</f>
        <v>2026-06-02</v>
      </c>
      <c r="Y467" s="1" t="s">
        <v>4</v>
      </c>
      <c r="Z467" s="1" t="s">
        <v>261</v>
      </c>
      <c r="AA467" s="1" t="s">
        <v>389</v>
      </c>
      <c r="AB467" s="1"/>
      <c r="AC467" s="1"/>
      <c r="AD467" s="1"/>
      <c r="AE467" s="1"/>
      <c r="AF467" s="4"/>
      <c r="AG467" s="5"/>
      <c r="AH467" s="1"/>
      <c r="AI467" s="1"/>
      <c r="AJ467" s="4"/>
      <c r="AK467" s="5"/>
      <c r="AL467" s="1" t="s">
        <v>215</v>
      </c>
      <c r="AM467" s="1"/>
    </row>
    <row r="468" spans="1:39" x14ac:dyDescent="0.3">
      <c r="A468" s="1">
        <v>724678</v>
      </c>
      <c r="B468" s="1">
        <v>98851</v>
      </c>
      <c r="C468" s="1" t="s">
        <v>1188</v>
      </c>
      <c r="D468" s="38" t="s">
        <v>1985</v>
      </c>
      <c r="E468" s="4">
        <v>23420</v>
      </c>
      <c r="F468" s="1">
        <v>62</v>
      </c>
      <c r="G468" s="1" t="s">
        <v>212</v>
      </c>
      <c r="H468" s="1" t="s">
        <v>1501</v>
      </c>
      <c r="I468" s="1" t="s">
        <v>1501</v>
      </c>
      <c r="J468" s="1">
        <v>8540</v>
      </c>
      <c r="K468" s="1" t="s">
        <v>78</v>
      </c>
      <c r="L468" s="1" t="s">
        <v>8</v>
      </c>
      <c r="M468" s="1" t="s">
        <v>13</v>
      </c>
      <c r="N468" s="1" t="s">
        <v>5</v>
      </c>
      <c r="O468" s="1" t="s">
        <v>216</v>
      </c>
      <c r="P468" s="1" t="s">
        <v>53</v>
      </c>
      <c r="Q468" s="1" t="s">
        <v>8</v>
      </c>
      <c r="R468" s="1" t="s">
        <v>11</v>
      </c>
      <c r="S468" s="1"/>
      <c r="T468" s="1"/>
      <c r="U468" s="1"/>
      <c r="V468" s="1" t="str">
        <f>IF(pilgrims[[#This Row],[packages.second_hotel_name]]="",pilgrims[[#This Row],[packages.first_hotel_name]],pilgrims[[#This Row],[packages.second_hotel_name]])</f>
        <v>Movenpick Anwar Almadinah Hotel</v>
      </c>
      <c r="W468" s="1" t="str">
        <f>IF(pilgrims[[#This Row],[packages.second_hotel_name]]="",pilgrims[[#This Row],[packages.first_hotel_check_in]],pilgrims[[#This Row],[packages.second_hotel_check_in]])</f>
        <v>2026-05-21</v>
      </c>
      <c r="X468" s="1" t="str">
        <f>IF(pilgrims[[#This Row],[packages.second_hotel_name]]="",pilgrims[[#This Row],[packages.first_hotel_check_out]],pilgrims[[#This Row],[packages.second_hotel_check_out]])</f>
        <v>2026-05-24</v>
      </c>
      <c r="Y468" s="1"/>
      <c r="Z468" s="1" t="s">
        <v>261</v>
      </c>
      <c r="AA468" s="1" t="s">
        <v>597</v>
      </c>
      <c r="AB468" s="1"/>
      <c r="AC468" s="1"/>
      <c r="AD468" s="1"/>
      <c r="AE468" s="1"/>
      <c r="AF468" s="4"/>
      <c r="AG468" s="5"/>
      <c r="AH468" s="1"/>
      <c r="AI468" s="1"/>
      <c r="AJ468" s="4"/>
      <c r="AK468" s="5"/>
      <c r="AL468" s="1" t="s">
        <v>215</v>
      </c>
      <c r="AM468" s="1"/>
    </row>
    <row r="469" spans="1:39" x14ac:dyDescent="0.3">
      <c r="A469" s="1">
        <v>792976</v>
      </c>
      <c r="B469" s="1">
        <v>641990</v>
      </c>
      <c r="C469" s="1" t="s">
        <v>1189</v>
      </c>
      <c r="D469" s="38" t="s">
        <v>1986</v>
      </c>
      <c r="E469" s="4">
        <v>22662</v>
      </c>
      <c r="F469" s="1">
        <v>64</v>
      </c>
      <c r="G469" s="1" t="s">
        <v>212</v>
      </c>
      <c r="H469" s="1" t="s">
        <v>1501</v>
      </c>
      <c r="I469" s="1" t="s">
        <v>1501</v>
      </c>
      <c r="J469" s="1">
        <v>8540</v>
      </c>
      <c r="K469" s="1" t="s">
        <v>78</v>
      </c>
      <c r="L469" s="1" t="s">
        <v>8</v>
      </c>
      <c r="M469" s="1" t="s">
        <v>13</v>
      </c>
      <c r="N469" s="1" t="s">
        <v>5</v>
      </c>
      <c r="O469" s="1" t="s">
        <v>216</v>
      </c>
      <c r="P469" s="1" t="s">
        <v>53</v>
      </c>
      <c r="Q469" s="1" t="s">
        <v>8</v>
      </c>
      <c r="R469" s="1" t="s">
        <v>11</v>
      </c>
      <c r="S469" s="1"/>
      <c r="T469" s="1"/>
      <c r="U469" s="1"/>
      <c r="V469" s="1" t="str">
        <f>IF(pilgrims[[#This Row],[packages.second_hotel_name]]="",pilgrims[[#This Row],[packages.first_hotel_name]],pilgrims[[#This Row],[packages.second_hotel_name]])</f>
        <v>Movenpick Anwar Almadinah Hotel</v>
      </c>
      <c r="W469" s="1" t="str">
        <f>IF(pilgrims[[#This Row],[packages.second_hotel_name]]="",pilgrims[[#This Row],[packages.first_hotel_check_in]],pilgrims[[#This Row],[packages.second_hotel_check_in]])</f>
        <v>2026-05-21</v>
      </c>
      <c r="X469" s="1" t="str">
        <f>IF(pilgrims[[#This Row],[packages.second_hotel_name]]="",pilgrims[[#This Row],[packages.first_hotel_check_out]],pilgrims[[#This Row],[packages.second_hotel_check_out]])</f>
        <v>2026-05-24</v>
      </c>
      <c r="Y469" s="1"/>
      <c r="Z469" s="1" t="s">
        <v>261</v>
      </c>
      <c r="AA469" s="1" t="s">
        <v>636</v>
      </c>
      <c r="AB469" s="1"/>
      <c r="AC469" s="1"/>
      <c r="AD469" s="1"/>
      <c r="AE469" s="1"/>
      <c r="AF469" s="4"/>
      <c r="AG469" s="5"/>
      <c r="AH469" s="1"/>
      <c r="AI469" s="1"/>
      <c r="AJ469" s="4"/>
      <c r="AK469" s="5"/>
      <c r="AL469" s="1" t="s">
        <v>215</v>
      </c>
      <c r="AM469" s="1"/>
    </row>
    <row r="470" spans="1:39" x14ac:dyDescent="0.3">
      <c r="A470" s="1">
        <v>619393</v>
      </c>
      <c r="B470" s="1">
        <v>500233</v>
      </c>
      <c r="C470" s="1" t="s">
        <v>1188</v>
      </c>
      <c r="D470" s="38" t="s">
        <v>1987</v>
      </c>
      <c r="E470" s="4">
        <v>36489</v>
      </c>
      <c r="F470" s="1">
        <v>26</v>
      </c>
      <c r="G470" s="1" t="s">
        <v>212</v>
      </c>
      <c r="H470" s="1" t="s">
        <v>1506</v>
      </c>
      <c r="I470" s="1" t="s">
        <v>1506</v>
      </c>
      <c r="J470" s="1">
        <v>8530</v>
      </c>
      <c r="K470" s="1" t="s">
        <v>83</v>
      </c>
      <c r="L470" s="1" t="s">
        <v>19</v>
      </c>
      <c r="M470" s="1" t="s">
        <v>13</v>
      </c>
      <c r="N470" s="1" t="s">
        <v>5</v>
      </c>
      <c r="O470" s="1" t="s">
        <v>216</v>
      </c>
      <c r="P470" s="1" t="s">
        <v>53</v>
      </c>
      <c r="Q470" s="1" t="s">
        <v>19</v>
      </c>
      <c r="R470" s="1" t="s">
        <v>8</v>
      </c>
      <c r="S470" s="1" t="s">
        <v>15</v>
      </c>
      <c r="T470" s="1" t="s">
        <v>53</v>
      </c>
      <c r="U470" s="1" t="s">
        <v>8</v>
      </c>
      <c r="V470" s="1" t="str">
        <f>IF(pilgrims[[#This Row],[packages.second_hotel_name]]="",pilgrims[[#This Row],[packages.first_hotel_name]],pilgrims[[#This Row],[packages.second_hotel_name]])</f>
        <v>Swissotel Al Maqam Makkah</v>
      </c>
      <c r="W470" s="1" t="str">
        <f>IF(pilgrims[[#This Row],[packages.second_hotel_name]]="",pilgrims[[#This Row],[packages.first_hotel_check_in]],pilgrims[[#This Row],[packages.second_hotel_check_in]])</f>
        <v>2026-05-21</v>
      </c>
      <c r="X470" s="1" t="str">
        <f>IF(pilgrims[[#This Row],[packages.second_hotel_name]]="",pilgrims[[#This Row],[packages.first_hotel_check_out]],pilgrims[[#This Row],[packages.second_hotel_check_out]])</f>
        <v>2026-05-25</v>
      </c>
      <c r="Y470" s="1" t="s">
        <v>16</v>
      </c>
      <c r="Z470" s="1" t="s">
        <v>261</v>
      </c>
      <c r="AA470" s="1" t="s">
        <v>781</v>
      </c>
      <c r="AB470" s="1"/>
      <c r="AC470" s="1"/>
      <c r="AD470" s="1"/>
      <c r="AE470" s="1"/>
      <c r="AF470" s="4"/>
      <c r="AG470" s="5"/>
      <c r="AH470" s="1"/>
      <c r="AI470" s="1"/>
      <c r="AJ470" s="4"/>
      <c r="AK470" s="5"/>
      <c r="AL470" s="1" t="s">
        <v>215</v>
      </c>
      <c r="AM470" s="1"/>
    </row>
    <row r="471" spans="1:39" x14ac:dyDescent="0.3">
      <c r="A471" s="1">
        <v>732889</v>
      </c>
      <c r="B471" s="1">
        <v>5847</v>
      </c>
      <c r="C471" s="1" t="s">
        <v>1189</v>
      </c>
      <c r="D471" s="38" t="s">
        <v>1988</v>
      </c>
      <c r="E471" s="4">
        <v>28425</v>
      </c>
      <c r="F471" s="1">
        <v>48</v>
      </c>
      <c r="G471" s="1" t="s">
        <v>212</v>
      </c>
      <c r="H471" s="1" t="s">
        <v>1501</v>
      </c>
      <c r="I471" s="1" t="s">
        <v>1519</v>
      </c>
      <c r="J471" s="1">
        <v>8531</v>
      </c>
      <c r="K471" s="1" t="s">
        <v>84</v>
      </c>
      <c r="L471" s="1" t="s">
        <v>8</v>
      </c>
      <c r="M471" s="1" t="s">
        <v>9</v>
      </c>
      <c r="N471" s="1" t="s">
        <v>20</v>
      </c>
      <c r="O471" s="1" t="s">
        <v>216</v>
      </c>
      <c r="P471" s="1" t="s">
        <v>53</v>
      </c>
      <c r="Q471" s="1" t="s">
        <v>8</v>
      </c>
      <c r="R471" s="1" t="s">
        <v>11</v>
      </c>
      <c r="S471" s="1" t="s">
        <v>12</v>
      </c>
      <c r="T471" s="1" t="s">
        <v>53</v>
      </c>
      <c r="U471" s="1" t="s">
        <v>13</v>
      </c>
      <c r="V471" s="1" t="str">
        <f>IF(pilgrims[[#This Row],[packages.second_hotel_name]]="",pilgrims[[#This Row],[packages.first_hotel_name]],pilgrims[[#This Row],[packages.second_hotel_name]])</f>
        <v>Makkah Clock Royal Tower A Fairmont Hotel</v>
      </c>
      <c r="W471" s="1" t="str">
        <f>IF(pilgrims[[#This Row],[packages.second_hotel_name]]="",pilgrims[[#This Row],[packages.first_hotel_check_in]],pilgrims[[#This Row],[packages.second_hotel_check_in]])</f>
        <v>2026-05-31</v>
      </c>
      <c r="X471" s="1" t="str">
        <f>IF(pilgrims[[#This Row],[packages.second_hotel_name]]="",pilgrims[[#This Row],[packages.first_hotel_check_out]],pilgrims[[#This Row],[packages.second_hotel_check_out]])</f>
        <v>2026-06-06</v>
      </c>
      <c r="Y471" s="1" t="s">
        <v>9</v>
      </c>
      <c r="Z471" s="1" t="s">
        <v>261</v>
      </c>
      <c r="AA471" s="1" t="s">
        <v>974</v>
      </c>
      <c r="AB471" s="1"/>
      <c r="AC471" s="1"/>
      <c r="AD471" s="1"/>
      <c r="AE471" s="1"/>
      <c r="AF471" s="4"/>
      <c r="AG471" s="5"/>
      <c r="AH471" s="1"/>
      <c r="AI471" s="1"/>
      <c r="AJ471" s="4"/>
      <c r="AK471" s="5"/>
      <c r="AL471" s="1" t="s">
        <v>215</v>
      </c>
      <c r="AM471" s="1"/>
    </row>
    <row r="472" spans="1:39" x14ac:dyDescent="0.3">
      <c r="A472" s="1">
        <v>423776</v>
      </c>
      <c r="B472" s="1">
        <v>331194</v>
      </c>
      <c r="C472" s="1" t="s">
        <v>1189</v>
      </c>
      <c r="D472" s="38" t="s">
        <v>1989</v>
      </c>
      <c r="E472" s="4">
        <v>32711</v>
      </c>
      <c r="F472" s="1">
        <v>36</v>
      </c>
      <c r="G472" s="1" t="s">
        <v>212</v>
      </c>
      <c r="H472" s="1" t="s">
        <v>1507</v>
      </c>
      <c r="I472" s="1" t="s">
        <v>1507</v>
      </c>
      <c r="J472" s="1">
        <v>8544</v>
      </c>
      <c r="K472" s="1" t="s">
        <v>90</v>
      </c>
      <c r="L472" s="1" t="s">
        <v>19</v>
      </c>
      <c r="M472" s="1" t="s">
        <v>13</v>
      </c>
      <c r="N472" s="1" t="s">
        <v>5</v>
      </c>
      <c r="O472" s="1" t="s">
        <v>216</v>
      </c>
      <c r="P472" s="1" t="s">
        <v>53</v>
      </c>
      <c r="Q472" s="1" t="s">
        <v>19</v>
      </c>
      <c r="R472" s="1" t="s">
        <v>8</v>
      </c>
      <c r="S472" s="1" t="s">
        <v>21</v>
      </c>
      <c r="T472" s="1" t="s">
        <v>53</v>
      </c>
      <c r="U472" s="1" t="s">
        <v>8</v>
      </c>
      <c r="V472" s="1" t="str">
        <f>IF(pilgrims[[#This Row],[packages.second_hotel_name]]="",pilgrims[[#This Row],[packages.first_hotel_name]],pilgrims[[#This Row],[packages.second_hotel_name]])</f>
        <v>Swissotel Makkah Hotel</v>
      </c>
      <c r="W472" s="1" t="str">
        <f>IF(pilgrims[[#This Row],[packages.second_hotel_name]]="",pilgrims[[#This Row],[packages.first_hotel_check_in]],pilgrims[[#This Row],[packages.second_hotel_check_in]])</f>
        <v>2026-05-21</v>
      </c>
      <c r="X472" s="1" t="str">
        <f>IF(pilgrims[[#This Row],[packages.second_hotel_name]]="",pilgrims[[#This Row],[packages.first_hotel_check_out]],pilgrims[[#This Row],[packages.second_hotel_check_out]])</f>
        <v>2026-05-24</v>
      </c>
      <c r="Y472" s="1" t="s">
        <v>11</v>
      </c>
      <c r="Z472" s="1" t="s">
        <v>261</v>
      </c>
      <c r="AA472" s="1" t="s">
        <v>1031</v>
      </c>
      <c r="AB472" s="1"/>
      <c r="AC472" s="1"/>
      <c r="AD472" s="1"/>
      <c r="AE472" s="1"/>
      <c r="AF472" s="4"/>
      <c r="AG472" s="5"/>
      <c r="AH472" s="1"/>
      <c r="AI472" s="1"/>
      <c r="AJ472" s="4"/>
      <c r="AK472" s="5"/>
      <c r="AL472" s="1" t="s">
        <v>215</v>
      </c>
      <c r="AM472" s="1"/>
    </row>
    <row r="473" spans="1:39" x14ac:dyDescent="0.3">
      <c r="A473" s="1">
        <v>880902</v>
      </c>
      <c r="B473" s="1">
        <v>712236</v>
      </c>
      <c r="C473" s="1" t="s">
        <v>1188</v>
      </c>
      <c r="D473" s="38" t="s">
        <v>1990</v>
      </c>
      <c r="E473" s="4">
        <v>35580</v>
      </c>
      <c r="F473" s="1">
        <v>28</v>
      </c>
      <c r="G473" s="1" t="s">
        <v>212</v>
      </c>
      <c r="H473" s="1" t="s">
        <v>1509</v>
      </c>
      <c r="I473" s="1" t="s">
        <v>1509</v>
      </c>
      <c r="J473" s="1">
        <v>8714</v>
      </c>
      <c r="K473" s="1" t="s">
        <v>96</v>
      </c>
      <c r="L473" s="1" t="s">
        <v>19</v>
      </c>
      <c r="M473" s="1" t="s">
        <v>13</v>
      </c>
      <c r="N473" s="1" t="s">
        <v>5</v>
      </c>
      <c r="O473" s="1" t="s">
        <v>216</v>
      </c>
      <c r="P473" s="1" t="s">
        <v>53</v>
      </c>
      <c r="Q473" s="1" t="s">
        <v>19</v>
      </c>
      <c r="R473" s="1" t="s">
        <v>8</v>
      </c>
      <c r="S473" s="1" t="s">
        <v>21</v>
      </c>
      <c r="T473" s="1" t="s">
        <v>53</v>
      </c>
      <c r="U473" s="1" t="s">
        <v>8</v>
      </c>
      <c r="V473" s="1" t="str">
        <f>IF(pilgrims[[#This Row],[packages.second_hotel_name]]="",pilgrims[[#This Row],[packages.first_hotel_name]],pilgrims[[#This Row],[packages.second_hotel_name]])</f>
        <v>Swissotel Makkah Hotel</v>
      </c>
      <c r="W473" s="1" t="str">
        <f>IF(pilgrims[[#This Row],[packages.second_hotel_name]]="",pilgrims[[#This Row],[packages.first_hotel_check_in]],pilgrims[[#This Row],[packages.second_hotel_check_in]])</f>
        <v>2026-05-21</v>
      </c>
      <c r="X473" s="1" t="str">
        <f>IF(pilgrims[[#This Row],[packages.second_hotel_name]]="",pilgrims[[#This Row],[packages.first_hotel_check_out]],pilgrims[[#This Row],[packages.second_hotel_check_out]])</f>
        <v>2026-05-25</v>
      </c>
      <c r="Y473" s="1" t="s">
        <v>16</v>
      </c>
      <c r="Z473" s="1" t="s">
        <v>261</v>
      </c>
      <c r="AA473" s="1" t="s">
        <v>1157</v>
      </c>
      <c r="AB473" s="1"/>
      <c r="AC473" s="1"/>
      <c r="AD473" s="1"/>
      <c r="AE473" s="1"/>
      <c r="AF473" s="4"/>
      <c r="AG473" s="5"/>
      <c r="AH473" s="1"/>
      <c r="AI473" s="1"/>
      <c r="AJ473" s="4"/>
      <c r="AK473" s="5"/>
      <c r="AL473" s="1" t="s">
        <v>215</v>
      </c>
      <c r="AM473" s="1"/>
    </row>
    <row r="474" spans="1:39" x14ac:dyDescent="0.3">
      <c r="A474" s="1">
        <v>880931</v>
      </c>
      <c r="B474" s="1">
        <v>712236</v>
      </c>
      <c r="C474" s="1" t="s">
        <v>1189</v>
      </c>
      <c r="D474" s="38" t="s">
        <v>1991</v>
      </c>
      <c r="E474" s="4">
        <v>36325</v>
      </c>
      <c r="F474" s="1">
        <v>26</v>
      </c>
      <c r="G474" s="1" t="s">
        <v>212</v>
      </c>
      <c r="H474" s="1" t="s">
        <v>1509</v>
      </c>
      <c r="I474" s="1" t="s">
        <v>1506</v>
      </c>
      <c r="J474" s="1">
        <v>8714</v>
      </c>
      <c r="K474" s="1" t="s">
        <v>96</v>
      </c>
      <c r="L474" s="1" t="s">
        <v>19</v>
      </c>
      <c r="M474" s="1" t="s">
        <v>13</v>
      </c>
      <c r="N474" s="1" t="s">
        <v>5</v>
      </c>
      <c r="O474" s="1" t="s">
        <v>216</v>
      </c>
      <c r="P474" s="1" t="s">
        <v>53</v>
      </c>
      <c r="Q474" s="1" t="s">
        <v>19</v>
      </c>
      <c r="R474" s="1" t="s">
        <v>8</v>
      </c>
      <c r="S474" s="1" t="s">
        <v>21</v>
      </c>
      <c r="T474" s="1" t="s">
        <v>53</v>
      </c>
      <c r="U474" s="1" t="s">
        <v>8</v>
      </c>
      <c r="V474" s="1" t="str">
        <f>IF(pilgrims[[#This Row],[packages.second_hotel_name]]="",pilgrims[[#This Row],[packages.first_hotel_name]],pilgrims[[#This Row],[packages.second_hotel_name]])</f>
        <v>Swissotel Makkah Hotel</v>
      </c>
      <c r="W474" s="1" t="str">
        <f>IF(pilgrims[[#This Row],[packages.second_hotel_name]]="",pilgrims[[#This Row],[packages.first_hotel_check_in]],pilgrims[[#This Row],[packages.second_hotel_check_in]])</f>
        <v>2026-05-21</v>
      </c>
      <c r="X474" s="1" t="str">
        <f>IF(pilgrims[[#This Row],[packages.second_hotel_name]]="",pilgrims[[#This Row],[packages.first_hotel_check_out]],pilgrims[[#This Row],[packages.second_hotel_check_out]])</f>
        <v>2026-05-25</v>
      </c>
      <c r="Y474" s="1" t="s">
        <v>16</v>
      </c>
      <c r="Z474" s="1" t="s">
        <v>261</v>
      </c>
      <c r="AA474" s="1" t="s">
        <v>1157</v>
      </c>
      <c r="AB474" s="1"/>
      <c r="AC474" s="1"/>
      <c r="AD474" s="1"/>
      <c r="AE474" s="1"/>
      <c r="AF474" s="4"/>
      <c r="AG474" s="5"/>
      <c r="AH474" s="1"/>
      <c r="AI474" s="1"/>
      <c r="AJ474" s="4"/>
      <c r="AK474" s="5"/>
      <c r="AL474" s="1" t="s">
        <v>215</v>
      </c>
      <c r="AM474" s="1"/>
    </row>
    <row r="475" spans="1:39" x14ac:dyDescent="0.3">
      <c r="A475" s="1">
        <v>857428</v>
      </c>
      <c r="B475" s="1">
        <v>692990</v>
      </c>
      <c r="C475" s="1" t="s">
        <v>1188</v>
      </c>
      <c r="D475" s="38" t="s">
        <v>1992</v>
      </c>
      <c r="E475" s="4">
        <v>31535</v>
      </c>
      <c r="F475" s="1">
        <v>39</v>
      </c>
      <c r="G475" s="1" t="s">
        <v>212</v>
      </c>
      <c r="H475" s="1" t="s">
        <v>1512</v>
      </c>
      <c r="I475" s="1" t="s">
        <v>1512</v>
      </c>
      <c r="J475" s="1">
        <v>8529</v>
      </c>
      <c r="K475" s="1" t="s">
        <v>82</v>
      </c>
      <c r="L475" s="1" t="s">
        <v>19</v>
      </c>
      <c r="M475" s="1" t="s">
        <v>13</v>
      </c>
      <c r="N475" s="1" t="s">
        <v>20</v>
      </c>
      <c r="O475" s="1" t="s">
        <v>216</v>
      </c>
      <c r="P475" s="1" t="s">
        <v>53</v>
      </c>
      <c r="Q475" s="1" t="s">
        <v>19</v>
      </c>
      <c r="R475" s="1" t="s">
        <v>8</v>
      </c>
      <c r="S475" s="1" t="s">
        <v>21</v>
      </c>
      <c r="T475" s="1" t="s">
        <v>53</v>
      </c>
      <c r="U475" s="1" t="s">
        <v>8</v>
      </c>
      <c r="V475" s="1" t="str">
        <f>IF(pilgrims[[#This Row],[packages.second_hotel_name]]="",pilgrims[[#This Row],[packages.first_hotel_name]],pilgrims[[#This Row],[packages.second_hotel_name]])</f>
        <v>Swissotel Makkah Hotel</v>
      </c>
      <c r="W475" s="1" t="str">
        <f>IF(pilgrims[[#This Row],[packages.second_hotel_name]]="",pilgrims[[#This Row],[packages.first_hotel_check_in]],pilgrims[[#This Row],[packages.second_hotel_check_in]])</f>
        <v>2026-05-21</v>
      </c>
      <c r="X475" s="1" t="str">
        <f>IF(pilgrims[[#This Row],[packages.second_hotel_name]]="",pilgrims[[#This Row],[packages.first_hotel_check_out]],pilgrims[[#This Row],[packages.second_hotel_check_out]])</f>
        <v>2026-05-25</v>
      </c>
      <c r="Y475" s="1" t="s">
        <v>16</v>
      </c>
      <c r="Z475" s="1" t="s">
        <v>261</v>
      </c>
      <c r="AA475" s="1" t="s">
        <v>1163</v>
      </c>
      <c r="AB475" s="1"/>
      <c r="AC475" s="1"/>
      <c r="AD475" s="1"/>
      <c r="AE475" s="1"/>
      <c r="AF475" s="4"/>
      <c r="AG475" s="5"/>
      <c r="AH475" s="1"/>
      <c r="AI475" s="1"/>
      <c r="AJ475" s="4"/>
      <c r="AK475" s="5"/>
      <c r="AL475" s="1" t="s">
        <v>215</v>
      </c>
      <c r="AM475" s="1"/>
    </row>
    <row r="476" spans="1:39" x14ac:dyDescent="0.3">
      <c r="A476" s="1">
        <v>858055</v>
      </c>
      <c r="B476" s="1">
        <v>692990</v>
      </c>
      <c r="C476" s="1" t="s">
        <v>1189</v>
      </c>
      <c r="D476" s="38" t="s">
        <v>1993</v>
      </c>
      <c r="E476" s="4">
        <v>24473</v>
      </c>
      <c r="F476" s="1">
        <v>59</v>
      </c>
      <c r="G476" s="1" t="s">
        <v>212</v>
      </c>
      <c r="H476" s="1" t="s">
        <v>1512</v>
      </c>
      <c r="I476" s="1" t="s">
        <v>1512</v>
      </c>
      <c r="J476" s="1">
        <v>8529</v>
      </c>
      <c r="K476" s="1" t="s">
        <v>82</v>
      </c>
      <c r="L476" s="1" t="s">
        <v>19</v>
      </c>
      <c r="M476" s="1" t="s">
        <v>13</v>
      </c>
      <c r="N476" s="1" t="s">
        <v>20</v>
      </c>
      <c r="O476" s="1" t="s">
        <v>216</v>
      </c>
      <c r="P476" s="1" t="s">
        <v>53</v>
      </c>
      <c r="Q476" s="1" t="s">
        <v>19</v>
      </c>
      <c r="R476" s="1" t="s">
        <v>8</v>
      </c>
      <c r="S476" s="1" t="s">
        <v>21</v>
      </c>
      <c r="T476" s="1" t="s">
        <v>53</v>
      </c>
      <c r="U476" s="1" t="s">
        <v>8</v>
      </c>
      <c r="V476" s="1" t="str">
        <f>IF(pilgrims[[#This Row],[packages.second_hotel_name]]="",pilgrims[[#This Row],[packages.first_hotel_name]],pilgrims[[#This Row],[packages.second_hotel_name]])</f>
        <v>Swissotel Makkah Hotel</v>
      </c>
      <c r="W476" s="1" t="str">
        <f>IF(pilgrims[[#This Row],[packages.second_hotel_name]]="",pilgrims[[#This Row],[packages.first_hotel_check_in]],pilgrims[[#This Row],[packages.second_hotel_check_in]])</f>
        <v>2026-05-21</v>
      </c>
      <c r="X476" s="1" t="str">
        <f>IF(pilgrims[[#This Row],[packages.second_hotel_name]]="",pilgrims[[#This Row],[packages.first_hotel_check_out]],pilgrims[[#This Row],[packages.second_hotel_check_out]])</f>
        <v>2026-05-25</v>
      </c>
      <c r="Y476" s="1" t="s">
        <v>16</v>
      </c>
      <c r="Z476" s="1" t="s">
        <v>261</v>
      </c>
      <c r="AA476" s="1" t="s">
        <v>1163</v>
      </c>
      <c r="AB476" s="1"/>
      <c r="AC476" s="1"/>
      <c r="AD476" s="1"/>
      <c r="AE476" s="1"/>
      <c r="AF476" s="4"/>
      <c r="AG476" s="5"/>
      <c r="AH476" s="1"/>
      <c r="AI476" s="1"/>
      <c r="AJ476" s="4"/>
      <c r="AK476" s="5"/>
      <c r="AL476" s="1" t="s">
        <v>215</v>
      </c>
      <c r="AM476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5CCF9-27AD-48DF-BE8C-7C43AAD08E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normalize</vt:lpstr>
      <vt:lpstr>pilgrims_source</vt:lpstr>
      <vt:lpstr>flights</vt:lpstr>
      <vt:lpstr>flights_actual_B2B</vt:lpstr>
      <vt:lpstr>flights_actual_B2C</vt:lpstr>
      <vt:lpstr>packages_flights</vt:lpstr>
      <vt:lpstr>All_flights_simple</vt:lpstr>
      <vt:lpstr>packages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Almashaer</dc:creator>
  <cp:lastModifiedBy>tayyam hany</cp:lastModifiedBy>
  <cp:lastPrinted>2026-01-24T11:10:11Z</cp:lastPrinted>
  <dcterms:created xsi:type="dcterms:W3CDTF">2026-01-22T08:54:02Z</dcterms:created>
  <dcterms:modified xsi:type="dcterms:W3CDTF">2026-03-02T15:19:44Z</dcterms:modified>
</cp:coreProperties>
</file>